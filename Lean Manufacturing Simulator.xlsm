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C750" lockStructure="1"/>
  <bookViews>
    <workbookView xWindow="0" yWindow="15" windowWidth="12120" windowHeight="8250" firstSheet="8" activeTab="8"/>
  </bookViews>
  <sheets>
    <sheet name="Manuf - Route" sheetId="4" r:id="rId1"/>
    <sheet name="Manuf - BOM" sheetId="1" state="hidden" r:id="rId2"/>
    <sheet name="Packaging" sheetId="8" state="hidden" r:id="rId3"/>
    <sheet name="DataSheet" sheetId="3" state="hidden" r:id="rId4"/>
    <sheet name="Estimated Cost" sheetId="6" state="hidden" r:id="rId5"/>
    <sheet name="cost extract" sheetId="7" state="hidden" r:id="rId6"/>
    <sheet name="Split Cost" sheetId="9" state="hidden" r:id="rId7"/>
    <sheet name="Simulator" sheetId="10" state="hidden" r:id="rId8"/>
    <sheet name="Graphical Simulator" sheetId="12" r:id="rId9"/>
    <sheet name="Chart Data" sheetId="14" state="hidden" r:id="rId10"/>
  </sheets>
  <externalReferences>
    <externalReference r:id="rId11"/>
  </externalReferences>
  <definedNames>
    <definedName name="_xlnm._FilterDatabase" localSheetId="2" hidden="1">Packaging!$B$13:$D$21</definedName>
    <definedName name="_xlnm.Print_Area" localSheetId="1">'Manuf - BOM'!$A$1:$R$48</definedName>
    <definedName name="_xlnm.Print_Area" localSheetId="0">'Manuf - Route'!$A$1:$H$27</definedName>
    <definedName name="_xlnm.Print_Area" localSheetId="2">Packaging!$A$1:$R$42</definedName>
  </definedNames>
  <calcPr calcId="144525" fullPrecision="0"/>
</workbook>
</file>

<file path=xl/calcChain.xml><?xml version="1.0" encoding="utf-8"?>
<calcChain xmlns="http://schemas.openxmlformats.org/spreadsheetml/2006/main">
  <c r="I32" i="10" l="1"/>
  <c r="G32" i="10" l="1"/>
  <c r="H32" i="10"/>
  <c r="L5" i="12" l="1"/>
  <c r="N38" i="10" l="1"/>
  <c r="L38" i="10"/>
  <c r="L27" i="12" l="1"/>
  <c r="L26" i="12"/>
  <c r="L23" i="12"/>
  <c r="I25" i="12"/>
  <c r="I15" i="12"/>
  <c r="F22" i="12"/>
  <c r="C23" i="12"/>
  <c r="C22" i="12"/>
  <c r="I13" i="12"/>
  <c r="F13" i="12"/>
  <c r="C13" i="12"/>
  <c r="I4" i="12"/>
  <c r="F4" i="12"/>
  <c r="C5" i="12"/>
  <c r="C4" i="12"/>
  <c r="K21" i="10"/>
  <c r="F24" i="12" s="1"/>
  <c r="K5" i="10"/>
  <c r="F6" i="12" s="1"/>
  <c r="K6" i="10"/>
  <c r="I6" i="12" s="1"/>
  <c r="K7" i="10"/>
  <c r="C15" i="12" s="1"/>
  <c r="K8" i="10"/>
  <c r="F15" i="12" s="1"/>
  <c r="J21" i="10"/>
  <c r="F25" i="12" s="1"/>
  <c r="J6" i="10"/>
  <c r="I7" i="12" s="1"/>
  <c r="J7" i="10"/>
  <c r="C16" i="12" s="1"/>
  <c r="J8" i="10"/>
  <c r="F16" i="12" s="1"/>
  <c r="J9" i="10"/>
  <c r="I16" i="12" s="1"/>
  <c r="J5" i="10"/>
  <c r="F7" i="12" s="1"/>
  <c r="I22" i="12"/>
  <c r="E38" i="10"/>
  <c r="G25" i="9"/>
  <c r="G26" i="9"/>
  <c r="G27" i="9"/>
  <c r="G28" i="9"/>
  <c r="G12" i="9"/>
  <c r="G13" i="9"/>
  <c r="G2" i="9"/>
  <c r="G3" i="9"/>
  <c r="G4" i="9"/>
  <c r="G5" i="9"/>
  <c r="G6" i="9"/>
  <c r="G7" i="9"/>
  <c r="G8" i="9"/>
  <c r="G9" i="9"/>
  <c r="G10" i="9"/>
  <c r="I28" i="1"/>
  <c r="C9" i="8" s="1"/>
  <c r="M9" i="10"/>
  <c r="F19" i="4"/>
  <c r="P27" i="8"/>
  <c r="O25" i="8"/>
  <c r="O21" i="8"/>
  <c r="O20" i="8"/>
  <c r="O17" i="8"/>
  <c r="O16" i="8"/>
  <c r="O14" i="8"/>
  <c r="P29" i="8" s="1"/>
  <c r="O10" i="8"/>
  <c r="O5" i="8"/>
  <c r="M27" i="8"/>
  <c r="L21" i="8"/>
  <c r="L20" i="8"/>
  <c r="L17" i="8"/>
  <c r="M29" i="8" s="1"/>
  <c r="L16" i="8"/>
  <c r="M28" i="8" s="1"/>
  <c r="L14" i="8"/>
  <c r="L10" i="8"/>
  <c r="L5" i="8"/>
  <c r="J27" i="8"/>
  <c r="I25" i="8"/>
  <c r="I21" i="8"/>
  <c r="I20" i="8"/>
  <c r="I17" i="8"/>
  <c r="J29" i="8" s="1"/>
  <c r="I16" i="8"/>
  <c r="J28" i="8" s="1"/>
  <c r="I14" i="8"/>
  <c r="I10" i="8"/>
  <c r="I5" i="8"/>
  <c r="G27" i="8"/>
  <c r="F25" i="8"/>
  <c r="F21" i="8"/>
  <c r="F20" i="8"/>
  <c r="G28" i="8" s="1"/>
  <c r="F17" i="8"/>
  <c r="G29" i="8" s="1"/>
  <c r="F16" i="8"/>
  <c r="F14" i="8"/>
  <c r="F10" i="8"/>
  <c r="F5" i="8"/>
  <c r="P28" i="8"/>
  <c r="C25" i="8"/>
  <c r="N26" i="6"/>
  <c r="N28" i="6"/>
  <c r="N29" i="6"/>
  <c r="K28" i="6"/>
  <c r="L28" i="6" s="1"/>
  <c r="K29" i="6"/>
  <c r="O29" i="6" s="1"/>
  <c r="K30" i="6"/>
  <c r="O30" i="6"/>
  <c r="K24" i="6"/>
  <c r="E21" i="10" s="1"/>
  <c r="O24" i="6"/>
  <c r="K25" i="6"/>
  <c r="E22" i="10" s="1"/>
  <c r="O25" i="6"/>
  <c r="K26" i="6"/>
  <c r="E23" i="10" s="1"/>
  <c r="Q26" i="6"/>
  <c r="R26" i="6" s="1"/>
  <c r="L26" i="6"/>
  <c r="F23" i="10" s="1"/>
  <c r="L25" i="6"/>
  <c r="F22" i="10" s="1"/>
  <c r="N22" i="6"/>
  <c r="R22" i="6" s="1"/>
  <c r="C21" i="8"/>
  <c r="C20" i="8"/>
  <c r="C14" i="8"/>
  <c r="CM86" i="8"/>
  <c r="CM85" i="8"/>
  <c r="CM84" i="8"/>
  <c r="CM83" i="8"/>
  <c r="CM82" i="8"/>
  <c r="CM81" i="8"/>
  <c r="CM80" i="8"/>
  <c r="CM79" i="8"/>
  <c r="CM78" i="8"/>
  <c r="CM77" i="8"/>
  <c r="CM76" i="8"/>
  <c r="CM75" i="8"/>
  <c r="CM74" i="8"/>
  <c r="CM73" i="8"/>
  <c r="CM72" i="8"/>
  <c r="CM71" i="8"/>
  <c r="CM70" i="8"/>
  <c r="CM69" i="8"/>
  <c r="CM68" i="8"/>
  <c r="CM67" i="8"/>
  <c r="CM66" i="8"/>
  <c r="CM65" i="8"/>
  <c r="CM64" i="8"/>
  <c r="CM63" i="8"/>
  <c r="CM62" i="8"/>
  <c r="CM61" i="8"/>
  <c r="CM60" i="8"/>
  <c r="CM59" i="8"/>
  <c r="CM58" i="8"/>
  <c r="CM57" i="8"/>
  <c r="CM56" i="8"/>
  <c r="CM55" i="8"/>
  <c r="CM54" i="8"/>
  <c r="CM53" i="8"/>
  <c r="CM52" i="8"/>
  <c r="CM51" i="8"/>
  <c r="CM50" i="8"/>
  <c r="CM49" i="8"/>
  <c r="CM48" i="8"/>
  <c r="CM47" i="8"/>
  <c r="CV46" i="8"/>
  <c r="CM46" i="8"/>
  <c r="CV45" i="8"/>
  <c r="CM45" i="8"/>
  <c r="CV44" i="8"/>
  <c r="CM44" i="8"/>
  <c r="CV43" i="8"/>
  <c r="CM43" i="8"/>
  <c r="CV42" i="8"/>
  <c r="CM42" i="8"/>
  <c r="CV41" i="8"/>
  <c r="CM41" i="8"/>
  <c r="CV40" i="8"/>
  <c r="CM40" i="8"/>
  <c r="CV39" i="8"/>
  <c r="CM39" i="8"/>
  <c r="CV38" i="8"/>
  <c r="CM38" i="8"/>
  <c r="CV37" i="8"/>
  <c r="CM37" i="8"/>
  <c r="CV36" i="8"/>
  <c r="CM36" i="8"/>
  <c r="CV35" i="8"/>
  <c r="CM35" i="8"/>
  <c r="CV34" i="8"/>
  <c r="CM34" i="8"/>
  <c r="CV33" i="8"/>
  <c r="CM33" i="8"/>
  <c r="C41" i="8"/>
  <c r="I38" i="8"/>
  <c r="CV32" i="8"/>
  <c r="CM32" i="8"/>
  <c r="CV31" i="8"/>
  <c r="CM31" i="8"/>
  <c r="CV30" i="8"/>
  <c r="CM30" i="8"/>
  <c r="CV29" i="8"/>
  <c r="CM29" i="8"/>
  <c r="CV28" i="8"/>
  <c r="CM28" i="8"/>
  <c r="CV27" i="8"/>
  <c r="CM27" i="8"/>
  <c r="CV26" i="8"/>
  <c r="CM26" i="8"/>
  <c r="CV25" i="8"/>
  <c r="CM25" i="8"/>
  <c r="CV24" i="8"/>
  <c r="CM24" i="8"/>
  <c r="CV23" i="8"/>
  <c r="CM23" i="8"/>
  <c r="CV22" i="8"/>
  <c r="CM22" i="8"/>
  <c r="CV21" i="8"/>
  <c r="CM21" i="8"/>
  <c r="CV20" i="8"/>
  <c r="CM20" i="8"/>
  <c r="D27" i="8"/>
  <c r="CV19" i="8"/>
  <c r="CM19" i="8"/>
  <c r="CV18" i="8"/>
  <c r="CM18" i="8"/>
  <c r="CV17" i="8"/>
  <c r="CM17" i="8"/>
  <c r="CV16" i="8"/>
  <c r="CM16" i="8"/>
  <c r="CV15" i="8"/>
  <c r="CM15" i="8"/>
  <c r="C17" i="8"/>
  <c r="C16" i="8"/>
  <c r="CV14" i="8"/>
  <c r="CM14" i="8"/>
  <c r="CV13" i="8"/>
  <c r="CM13" i="8"/>
  <c r="CV12" i="8"/>
  <c r="CM12" i="8"/>
  <c r="CV11" i="8"/>
  <c r="CM11" i="8"/>
  <c r="CV10" i="8"/>
  <c r="CM10" i="8"/>
  <c r="CV9" i="8"/>
  <c r="CM9" i="8"/>
  <c r="CV8" i="8"/>
  <c r="CM8" i="8"/>
  <c r="CV7" i="8"/>
  <c r="CM7" i="8"/>
  <c r="CV6" i="8"/>
  <c r="CM6" i="8"/>
  <c r="R6" i="8"/>
  <c r="CV5" i="8"/>
  <c r="CM5" i="8"/>
  <c r="C5" i="8"/>
  <c r="CV4" i="8"/>
  <c r="CM4" i="8"/>
  <c r="R4" i="8"/>
  <c r="CV3" i="8"/>
  <c r="CM3" i="8"/>
  <c r="CV2" i="8"/>
  <c r="O31" i="8" s="1"/>
  <c r="CM2" i="8"/>
  <c r="B1" i="8"/>
  <c r="K49" i="6"/>
  <c r="A37" i="6"/>
  <c r="E14" i="10" s="1"/>
  <c r="B37" i="6"/>
  <c r="F14" i="10" s="1"/>
  <c r="A38" i="6"/>
  <c r="E15" i="10" s="1"/>
  <c r="D38" i="6"/>
  <c r="A39" i="6"/>
  <c r="D39" i="6"/>
  <c r="A36" i="6"/>
  <c r="F36" i="6"/>
  <c r="H11" i="9" s="1"/>
  <c r="A34" i="6"/>
  <c r="D34" i="6"/>
  <c r="A25" i="6"/>
  <c r="E6" i="10" s="1"/>
  <c r="A26" i="6"/>
  <c r="E7" i="10" s="1"/>
  <c r="A27" i="6"/>
  <c r="F27" i="6" s="1"/>
  <c r="A28" i="6"/>
  <c r="E9" i="10" s="1"/>
  <c r="A29" i="6"/>
  <c r="E10" i="10" s="1"/>
  <c r="A30" i="6"/>
  <c r="E11" i="10" s="1"/>
  <c r="F30" i="6"/>
  <c r="A31" i="6"/>
  <c r="E12" i="10" s="1"/>
  <c r="A32" i="6"/>
  <c r="E13" i="10" s="1"/>
  <c r="A33" i="6"/>
  <c r="A24" i="6"/>
  <c r="E5" i="10" s="1"/>
  <c r="F35" i="6"/>
  <c r="G35" i="6" s="1"/>
  <c r="F28" i="6"/>
  <c r="Q25" i="6"/>
  <c r="Q30" i="6"/>
  <c r="R30" i="6" s="1"/>
  <c r="Q31" i="6"/>
  <c r="Q32" i="6"/>
  <c r="Q33" i="6"/>
  <c r="R33" i="6" s="1"/>
  <c r="Q34" i="6"/>
  <c r="Q35" i="6"/>
  <c r="Q36" i="6"/>
  <c r="Q37" i="6"/>
  <c r="R37" i="6"/>
  <c r="Q38" i="6"/>
  <c r="Q39" i="6"/>
  <c r="R39" i="6" s="1"/>
  <c r="O31" i="6"/>
  <c r="O32" i="6"/>
  <c r="O33" i="6"/>
  <c r="O34" i="6"/>
  <c r="O35" i="6"/>
  <c r="O36" i="6"/>
  <c r="O37" i="6"/>
  <c r="O38" i="6"/>
  <c r="O39" i="6"/>
  <c r="L30" i="6"/>
  <c r="L31" i="6"/>
  <c r="L32" i="6"/>
  <c r="L33" i="6"/>
  <c r="L34" i="6"/>
  <c r="L35" i="6"/>
  <c r="L36" i="6"/>
  <c r="L37" i="6"/>
  <c r="L38" i="6"/>
  <c r="L39" i="6"/>
  <c r="F25" i="6"/>
  <c r="F29" i="6"/>
  <c r="F33" i="6"/>
  <c r="F39" i="6"/>
  <c r="D25" i="6"/>
  <c r="D28" i="6"/>
  <c r="D29" i="6"/>
  <c r="D32" i="6"/>
  <c r="D33" i="6"/>
  <c r="D35" i="6"/>
  <c r="B25" i="6"/>
  <c r="F6" i="10" s="1"/>
  <c r="B27" i="6"/>
  <c r="F8" i="10" s="1"/>
  <c r="B28" i="6"/>
  <c r="F9" i="10" s="1"/>
  <c r="B29" i="6"/>
  <c r="F10" i="10" s="1"/>
  <c r="B32" i="6"/>
  <c r="F13" i="10" s="1"/>
  <c r="B33" i="6"/>
  <c r="B34" i="6"/>
  <c r="B35" i="6"/>
  <c r="B39" i="6"/>
  <c r="AL880" i="7"/>
  <c r="AL835" i="7"/>
  <c r="AL824" i="7"/>
  <c r="I57" i="6"/>
  <c r="H57" i="6"/>
  <c r="J55" i="6"/>
  <c r="I55" i="6"/>
  <c r="I56" i="6"/>
  <c r="I59" i="6" s="1"/>
  <c r="H55" i="6"/>
  <c r="J54" i="6"/>
  <c r="J56" i="6"/>
  <c r="I54" i="6"/>
  <c r="H54" i="6"/>
  <c r="J50" i="6"/>
  <c r="J57" i="6"/>
  <c r="R38" i="6"/>
  <c r="R36" i="6"/>
  <c r="R35" i="6"/>
  <c r="R34" i="6"/>
  <c r="R32" i="6"/>
  <c r="R31" i="6"/>
  <c r="D17" i="6"/>
  <c r="D16" i="6"/>
  <c r="B22" i="1"/>
  <c r="B23" i="1"/>
  <c r="B20" i="1"/>
  <c r="B21" i="1"/>
  <c r="B6" i="1"/>
  <c r="B7" i="1"/>
  <c r="B8" i="1"/>
  <c r="B9" i="1"/>
  <c r="B10" i="1"/>
  <c r="B11" i="1"/>
  <c r="B12" i="1"/>
  <c r="B13" i="1"/>
  <c r="B14" i="1"/>
  <c r="B15" i="1"/>
  <c r="B5" i="1"/>
  <c r="H33" i="1"/>
  <c r="I15" i="1"/>
  <c r="J15" i="1" s="1"/>
  <c r="I5" i="1"/>
  <c r="J5" i="1" s="1"/>
  <c r="I6" i="1"/>
  <c r="J6" i="1" s="1"/>
  <c r="I7" i="1"/>
  <c r="J7" i="1" s="1"/>
  <c r="I8" i="1"/>
  <c r="I9" i="1"/>
  <c r="J9" i="1" s="1"/>
  <c r="I10" i="1"/>
  <c r="I11" i="1"/>
  <c r="J11" i="1" s="1"/>
  <c r="I12" i="1"/>
  <c r="J12" i="1"/>
  <c r="O12" i="1"/>
  <c r="I13" i="1"/>
  <c r="I14" i="1"/>
  <c r="J14" i="1"/>
  <c r="I20" i="1"/>
  <c r="J20" i="1"/>
  <c r="I21" i="1"/>
  <c r="I22" i="1"/>
  <c r="J22" i="1" s="1"/>
  <c r="I23" i="1"/>
  <c r="J23" i="1" s="1"/>
  <c r="C26" i="1" a="1"/>
  <c r="C26" i="1" s="1"/>
  <c r="D26" i="1"/>
  <c r="P17" i="1"/>
  <c r="Q13" i="1"/>
  <c r="Q10" i="1"/>
  <c r="Q11" i="1"/>
  <c r="Q12" i="1"/>
  <c r="Q14" i="1"/>
  <c r="Q15" i="1"/>
  <c r="C18" i="1" a="1"/>
  <c r="C18" i="1" s="1"/>
  <c r="D18" i="1"/>
  <c r="Q23" i="1"/>
  <c r="P25" i="1"/>
  <c r="O13" i="1"/>
  <c r="O15" i="1"/>
  <c r="O14" i="1"/>
  <c r="O10" i="1"/>
  <c r="N15" i="1"/>
  <c r="N14" i="1"/>
  <c r="N13" i="1"/>
  <c r="N10" i="1"/>
  <c r="K34" i="1"/>
  <c r="K36" i="1"/>
  <c r="N23" i="1"/>
  <c r="O23" i="1"/>
  <c r="F6" i="4"/>
  <c r="E16" i="4"/>
  <c r="F9" i="4"/>
  <c r="F7" i="4"/>
  <c r="N12" i="1"/>
  <c r="J8" i="1"/>
  <c r="N11" i="1"/>
  <c r="O11" i="1"/>
  <c r="D36" i="6"/>
  <c r="B36" i="6"/>
  <c r="F24" i="6"/>
  <c r="F34" i="6"/>
  <c r="D30" i="6"/>
  <c r="D24" i="6"/>
  <c r="D31" i="6"/>
  <c r="D27" i="6"/>
  <c r="F38" i="6"/>
  <c r="F13" i="4"/>
  <c r="F15" i="4"/>
  <c r="O28" i="6"/>
  <c r="Q28" i="6"/>
  <c r="R28" i="6"/>
  <c r="P31" i="8"/>
  <c r="M31" i="8"/>
  <c r="G31" i="8"/>
  <c r="J31" i="8"/>
  <c r="K27" i="6"/>
  <c r="E24" i="10" s="1"/>
  <c r="N24" i="6"/>
  <c r="R5" i="8"/>
  <c r="N25" i="6"/>
  <c r="N27" i="6"/>
  <c r="O38" i="8"/>
  <c r="L38" i="8"/>
  <c r="F38" i="8"/>
  <c r="C38" i="8"/>
  <c r="O26" i="6"/>
  <c r="Q24" i="6"/>
  <c r="L24" i="6"/>
  <c r="F21" i="10" s="1"/>
  <c r="L27" i="6"/>
  <c r="F24" i="10" s="1"/>
  <c r="O27" i="6"/>
  <c r="Q27" i="6"/>
  <c r="R27" i="6"/>
  <c r="F31" i="8"/>
  <c r="I31" i="8"/>
  <c r="L31" i="8"/>
  <c r="J21" i="1"/>
  <c r="B38" i="6"/>
  <c r="F15" i="10" s="1"/>
  <c r="D37" i="6"/>
  <c r="F37" i="6"/>
  <c r="B30" i="6"/>
  <c r="F11" i="10" s="1"/>
  <c r="B26" i="6"/>
  <c r="F7" i="10" s="1"/>
  <c r="K8" i="1"/>
  <c r="C27" i="6" s="1"/>
  <c r="G8" i="10" s="1"/>
  <c r="C8" i="10" s="1"/>
  <c r="H25" i="9" l="1"/>
  <c r="H12" i="9"/>
  <c r="L5" i="1"/>
  <c r="B31" i="6"/>
  <c r="F12" i="10" s="1"/>
  <c r="H2" i="9"/>
  <c r="E22" i="3"/>
  <c r="O12" i="8" s="1"/>
  <c r="O36" i="8" s="1"/>
  <c r="O37" i="8" s="1"/>
  <c r="B12" i="4"/>
  <c r="H28" i="9"/>
  <c r="K15" i="1"/>
  <c r="C34" i="6" s="1"/>
  <c r="G34" i="6" s="1"/>
  <c r="H34" i="6" s="1"/>
  <c r="I34" i="6" s="1"/>
  <c r="K5" i="1"/>
  <c r="L12" i="1"/>
  <c r="O7" i="8"/>
  <c r="K21" i="1"/>
  <c r="C37" i="6" s="1"/>
  <c r="G37" i="6" s="1"/>
  <c r="H14" i="10" s="1"/>
  <c r="I6" i="8"/>
  <c r="K23" i="1"/>
  <c r="C39" i="6" s="1"/>
  <c r="G39" i="6" s="1"/>
  <c r="H39" i="6" s="1"/>
  <c r="I39" i="6" s="1"/>
  <c r="H22" i="6"/>
  <c r="L9" i="1"/>
  <c r="K14" i="1"/>
  <c r="C33" i="6" s="1"/>
  <c r="G33" i="6" s="1"/>
  <c r="L7" i="8"/>
  <c r="L8" i="1"/>
  <c r="L6" i="1"/>
  <c r="O6" i="8"/>
  <c r="I7" i="8"/>
  <c r="F7" i="8"/>
  <c r="B25" i="4"/>
  <c r="C7" i="8"/>
  <c r="L15" i="1"/>
  <c r="K6" i="1"/>
  <c r="C25" i="6" s="1"/>
  <c r="K12" i="1"/>
  <c r="C31" i="6" s="1"/>
  <c r="G12" i="10" s="1"/>
  <c r="C12" i="10" s="1"/>
  <c r="F6" i="8"/>
  <c r="K20" i="1"/>
  <c r="C36" i="6" s="1"/>
  <c r="G36" i="6" s="1"/>
  <c r="D11" i="9" s="1"/>
  <c r="L6" i="8"/>
  <c r="L22" i="1"/>
  <c r="K9" i="1"/>
  <c r="C28" i="6" s="1"/>
  <c r="G28" i="6" s="1"/>
  <c r="H28" i="6" s="1"/>
  <c r="I28" i="6" s="1"/>
  <c r="L21" i="1"/>
  <c r="K22" i="1"/>
  <c r="C38" i="6" s="1"/>
  <c r="G15" i="10" s="1"/>
  <c r="B15" i="10" s="1"/>
  <c r="C6" i="8"/>
  <c r="F33" i="1"/>
  <c r="L14" i="1"/>
  <c r="K11" i="1"/>
  <c r="C30" i="6" s="1"/>
  <c r="G30" i="6" s="1"/>
  <c r="D8" i="9" s="1"/>
  <c r="C21" i="9"/>
  <c r="N9" i="10" s="1"/>
  <c r="I14" i="12" s="1"/>
  <c r="E2" i="3"/>
  <c r="E20" i="3"/>
  <c r="L23" i="1"/>
  <c r="E19" i="3"/>
  <c r="B19" i="4" s="1"/>
  <c r="E50" i="6" s="1"/>
  <c r="C19" i="9" s="1"/>
  <c r="N7" i="10" s="1"/>
  <c r="C14" i="12" s="1"/>
  <c r="H13" i="9"/>
  <c r="H5" i="9"/>
  <c r="H6" i="9"/>
  <c r="H7" i="9"/>
  <c r="H3" i="9"/>
  <c r="H26" i="9"/>
  <c r="H8" i="9"/>
  <c r="E9" i="3"/>
  <c r="G8" i="4" s="1"/>
  <c r="C10" i="8"/>
  <c r="G23" i="10"/>
  <c r="B23" i="10" s="1"/>
  <c r="G21" i="10"/>
  <c r="D27" i="9"/>
  <c r="H23" i="10" s="1"/>
  <c r="D28" i="9"/>
  <c r="H24" i="10" s="1"/>
  <c r="G24" i="10"/>
  <c r="C24" i="10" s="1"/>
  <c r="L11" i="1"/>
  <c r="L7" i="1"/>
  <c r="C12" i="4"/>
  <c r="R24" i="6"/>
  <c r="J25" i="1"/>
  <c r="I25" i="1" s="1"/>
  <c r="L20" i="1"/>
  <c r="J13" i="1"/>
  <c r="L13" i="1" s="1"/>
  <c r="K13" i="1"/>
  <c r="C32" i="6" s="1"/>
  <c r="J59" i="6"/>
  <c r="C15" i="10"/>
  <c r="G6" i="10"/>
  <c r="G25" i="6"/>
  <c r="G38" i="6"/>
  <c r="C58" i="6"/>
  <c r="J10" i="1"/>
  <c r="L10" i="1" s="1"/>
  <c r="K10" i="1"/>
  <c r="C29" i="6" s="1"/>
  <c r="B8" i="10"/>
  <c r="G11" i="10"/>
  <c r="K7" i="1"/>
  <c r="G27" i="6"/>
  <c r="R25" i="6"/>
  <c r="D26" i="9" s="1"/>
  <c r="H22" i="10" s="1"/>
  <c r="G22" i="10"/>
  <c r="H56" i="6"/>
  <c r="H59" i="6" s="1"/>
  <c r="H35" i="6"/>
  <c r="I35" i="6" s="1"/>
  <c r="F31" i="6"/>
  <c r="D26" i="6"/>
  <c r="L29" i="6"/>
  <c r="Q29" i="6"/>
  <c r="R29" i="6" s="1"/>
  <c r="L24" i="12"/>
  <c r="E8" i="10"/>
  <c r="H27" i="9"/>
  <c r="B24" i="6"/>
  <c r="F5" i="10" s="1"/>
  <c r="F32" i="6"/>
  <c r="H10" i="9" s="1"/>
  <c r="F26" i="6"/>
  <c r="H4" i="9" s="1"/>
  <c r="C24" i="6" l="1"/>
  <c r="G5" i="10" s="1"/>
  <c r="M4" i="1"/>
  <c r="C12" i="8"/>
  <c r="C36" i="8" s="1"/>
  <c r="C32" i="9" s="1"/>
  <c r="N21" i="10" s="1"/>
  <c r="F23" i="12" s="1"/>
  <c r="L12" i="8"/>
  <c r="L36" i="8" s="1"/>
  <c r="L37" i="8" s="1"/>
  <c r="F12" i="8"/>
  <c r="F36" i="8" s="1"/>
  <c r="F37" i="8" s="1"/>
  <c r="I12" i="8"/>
  <c r="I36" i="8" s="1"/>
  <c r="I37" i="8" s="1"/>
  <c r="G24" i="6"/>
  <c r="H24" i="6" s="1"/>
  <c r="D12" i="9"/>
  <c r="H37" i="6"/>
  <c r="I37" i="6" s="1"/>
  <c r="G14" i="10"/>
  <c r="B14" i="10" s="1"/>
  <c r="H33" i="6"/>
  <c r="I33" i="6" s="1"/>
  <c r="H11" i="10"/>
  <c r="G9" i="10"/>
  <c r="B9" i="10" s="1"/>
  <c r="H36" i="6"/>
  <c r="I36" i="6" s="1"/>
  <c r="L25" i="1"/>
  <c r="K25" i="1" s="1"/>
  <c r="B12" i="10"/>
  <c r="G21" i="9"/>
  <c r="O9" i="10" s="1"/>
  <c r="H30" i="6"/>
  <c r="I30" i="6" s="1"/>
  <c r="C19" i="4"/>
  <c r="E49" i="6" s="1"/>
  <c r="E55" i="6" s="1"/>
  <c r="E57" i="6"/>
  <c r="C23" i="10"/>
  <c r="H9" i="10"/>
  <c r="D6" i="9"/>
  <c r="B24" i="10"/>
  <c r="H29" i="9"/>
  <c r="D25" i="10" s="1"/>
  <c r="C24" i="12" s="1"/>
  <c r="L17" i="1"/>
  <c r="K17" i="1" s="1"/>
  <c r="B21" i="10"/>
  <c r="C21" i="10"/>
  <c r="C22" i="10"/>
  <c r="B22" i="10"/>
  <c r="C26" i="6"/>
  <c r="H9" i="9"/>
  <c r="H14" i="9" s="1"/>
  <c r="D16" i="10" s="1"/>
  <c r="G31" i="6"/>
  <c r="B11" i="10"/>
  <c r="C11" i="10"/>
  <c r="J17" i="1"/>
  <c r="C14" i="6"/>
  <c r="K58" i="6"/>
  <c r="H25" i="6"/>
  <c r="I25" i="6" s="1"/>
  <c r="H6" i="10"/>
  <c r="D3" i="9"/>
  <c r="H27" i="6"/>
  <c r="I27" i="6" s="1"/>
  <c r="H8" i="10"/>
  <c r="D5" i="9"/>
  <c r="G29" i="6"/>
  <c r="G10" i="10"/>
  <c r="C14" i="10"/>
  <c r="B6" i="10"/>
  <c r="C6" i="10"/>
  <c r="G32" i="6"/>
  <c r="G13" i="10"/>
  <c r="D13" i="9"/>
  <c r="H38" i="6"/>
  <c r="I38" i="6" s="1"/>
  <c r="H15" i="10"/>
  <c r="D25" i="9"/>
  <c r="R40" i="6"/>
  <c r="C8" i="6" s="1"/>
  <c r="D8" i="6" s="1"/>
  <c r="B5" i="10" l="1"/>
  <c r="C5" i="10"/>
  <c r="H5" i="10"/>
  <c r="G50" i="6"/>
  <c r="G57" i="6" s="1"/>
  <c r="C37" i="8"/>
  <c r="G49" i="6" s="1"/>
  <c r="G55" i="6" s="1"/>
  <c r="D2" i="9"/>
  <c r="B24" i="4"/>
  <c r="C9" i="10"/>
  <c r="I17" i="12"/>
  <c r="O46" i="10"/>
  <c r="K27" i="1"/>
  <c r="D43" i="1"/>
  <c r="E43" i="1" s="1"/>
  <c r="D45" i="1"/>
  <c r="E45" i="1" s="1"/>
  <c r="D47" i="1"/>
  <c r="E47" i="1" s="1"/>
  <c r="B19" i="9"/>
  <c r="M7" i="10" s="1"/>
  <c r="E54" i="6"/>
  <c r="E56" i="6" s="1"/>
  <c r="E59" i="6" s="1"/>
  <c r="D46" i="1"/>
  <c r="E46" i="1" s="1"/>
  <c r="D44" i="1"/>
  <c r="E44" i="1" s="1"/>
  <c r="C6" i="12"/>
  <c r="G38" i="10"/>
  <c r="B10" i="10"/>
  <c r="C10" i="10"/>
  <c r="I24" i="6"/>
  <c r="D7" i="9"/>
  <c r="H29" i="6"/>
  <c r="I29" i="6" s="1"/>
  <c r="H10" i="10"/>
  <c r="L58" i="6"/>
  <c r="M6" i="1"/>
  <c r="M8" i="1"/>
  <c r="M7" i="1"/>
  <c r="M5" i="1"/>
  <c r="E5" i="4"/>
  <c r="E8" i="4"/>
  <c r="G5" i="4"/>
  <c r="B5" i="4" s="1"/>
  <c r="M9" i="1"/>
  <c r="F10" i="4"/>
  <c r="D29" i="9"/>
  <c r="K16" i="9" s="1"/>
  <c r="H21" i="10"/>
  <c r="H25" i="10" s="1"/>
  <c r="B13" i="10"/>
  <c r="C13" i="10"/>
  <c r="D14" i="6"/>
  <c r="D9" i="9"/>
  <c r="H31" i="6"/>
  <c r="I31" i="6" s="1"/>
  <c r="H12" i="10"/>
  <c r="G26" i="6"/>
  <c r="G7" i="10"/>
  <c r="C40" i="6"/>
  <c r="D10" i="9"/>
  <c r="H13" i="10"/>
  <c r="H32" i="6"/>
  <c r="I32" i="6" s="1"/>
  <c r="J27" i="1"/>
  <c r="I17" i="1"/>
  <c r="M19" i="1" l="1"/>
  <c r="M20" i="1" s="1"/>
  <c r="Q20" i="1" s="1"/>
  <c r="G54" i="6"/>
  <c r="G56" i="6" s="1"/>
  <c r="G59" i="6" s="1"/>
  <c r="B32" i="9"/>
  <c r="M21" i="10" s="1"/>
  <c r="C25" i="12"/>
  <c r="O47" i="10"/>
  <c r="G19" i="9"/>
  <c r="O7" i="10" s="1"/>
  <c r="C5" i="4"/>
  <c r="Q7" i="1"/>
  <c r="O7" i="1"/>
  <c r="N7" i="1"/>
  <c r="Q8" i="1"/>
  <c r="O8" i="1"/>
  <c r="N8" i="1"/>
  <c r="N6" i="1"/>
  <c r="O6" i="1"/>
  <c r="Q6" i="1"/>
  <c r="B7" i="10"/>
  <c r="C7" i="10"/>
  <c r="I6" i="10"/>
  <c r="I27" i="1"/>
  <c r="G20" i="4"/>
  <c r="H26" i="6"/>
  <c r="H7" i="10"/>
  <c r="H16" i="10" s="1"/>
  <c r="O41" i="10" s="1"/>
  <c r="D4" i="9"/>
  <c r="D14" i="9" s="1"/>
  <c r="K14" i="9" s="1"/>
  <c r="G40" i="6"/>
  <c r="C7" i="6" s="1"/>
  <c r="O9" i="1"/>
  <c r="Q9" i="1"/>
  <c r="N9" i="1"/>
  <c r="N5" i="1"/>
  <c r="O5" i="1"/>
  <c r="Q5" i="1"/>
  <c r="M21" i="1" l="1"/>
  <c r="O21" i="1" s="1"/>
  <c r="E20" i="4"/>
  <c r="M22" i="1"/>
  <c r="Q22" i="1" s="1"/>
  <c r="I34" i="1"/>
  <c r="B20" i="4"/>
  <c r="F50" i="6" s="1"/>
  <c r="F57" i="6" s="1"/>
  <c r="G32" i="9"/>
  <c r="G33" i="9" s="1"/>
  <c r="K17" i="9" s="1"/>
  <c r="M18" i="1"/>
  <c r="O20" i="1"/>
  <c r="N21" i="1"/>
  <c r="C17" i="12"/>
  <c r="O44" i="10"/>
  <c r="N20" i="1"/>
  <c r="O17" i="1"/>
  <c r="N17" i="1" s="1"/>
  <c r="C7" i="12"/>
  <c r="I26" i="6"/>
  <c r="I40" i="6" s="1"/>
  <c r="J40" i="6" s="1"/>
  <c r="H40" i="6"/>
  <c r="D7" i="6"/>
  <c r="C9" i="6"/>
  <c r="O22" i="1" l="1"/>
  <c r="O25" i="1" s="1"/>
  <c r="Q21" i="1"/>
  <c r="M26" i="1" s="1"/>
  <c r="N22" i="1"/>
  <c r="C20" i="4"/>
  <c r="F49" i="6" s="1"/>
  <c r="F55" i="6" s="1"/>
  <c r="C20" i="9"/>
  <c r="N8" i="10" s="1"/>
  <c r="F14" i="12" s="1"/>
  <c r="O21" i="10"/>
  <c r="O48" i="10" s="1"/>
  <c r="D9" i="6"/>
  <c r="D36" i="1"/>
  <c r="E36" i="1" s="1"/>
  <c r="D38" i="1"/>
  <c r="E38" i="1" s="1"/>
  <c r="F11" i="4"/>
  <c r="B8" i="4" s="1"/>
  <c r="D35" i="1"/>
  <c r="E35" i="1" s="1"/>
  <c r="D34" i="1"/>
  <c r="E34" i="1" s="1"/>
  <c r="D37" i="1"/>
  <c r="E37" i="1" s="1"/>
  <c r="F17" i="4"/>
  <c r="F18" i="4"/>
  <c r="N25" i="1" l="1"/>
  <c r="E4" i="4"/>
  <c r="C4" i="4"/>
  <c r="C49" i="6" s="1"/>
  <c r="B17" i="9" s="1"/>
  <c r="C17" i="9" s="1"/>
  <c r="F54" i="6"/>
  <c r="F56" i="6" s="1"/>
  <c r="F59" i="6" s="1"/>
  <c r="B20" i="9"/>
  <c r="M8" i="10" s="1"/>
  <c r="F26" i="12"/>
  <c r="C8" i="4"/>
  <c r="B16" i="4"/>
  <c r="C16" i="4" s="1"/>
  <c r="C50" i="6" l="1"/>
  <c r="C57" i="6" s="1"/>
  <c r="C54" i="6"/>
  <c r="C55" i="6"/>
  <c r="G20" i="9"/>
  <c r="O8" i="10" s="1"/>
  <c r="F17" i="12" s="1"/>
  <c r="G17" i="9"/>
  <c r="N5" i="10"/>
  <c r="D50" i="6"/>
  <c r="C18" i="9" s="1"/>
  <c r="N6" i="10" s="1"/>
  <c r="B22" i="4"/>
  <c r="M5" i="10"/>
  <c r="D49" i="6"/>
  <c r="C22" i="4"/>
  <c r="C56" i="6" l="1"/>
  <c r="C59" i="6" s="1"/>
  <c r="O45" i="10"/>
  <c r="D57" i="6"/>
  <c r="C13" i="6" s="1"/>
  <c r="D13" i="6" s="1"/>
  <c r="B18" i="9"/>
  <c r="G18" i="9" s="1"/>
  <c r="D54" i="6"/>
  <c r="D55" i="6"/>
  <c r="F5" i="12"/>
  <c r="O5" i="10"/>
  <c r="O42" i="10" s="1"/>
  <c r="I5" i="12"/>
  <c r="N10" i="10"/>
  <c r="K57" i="6" l="1"/>
  <c r="L57" i="6" s="1"/>
  <c r="F8" i="12"/>
  <c r="M6" i="10"/>
  <c r="M10" i="10" s="1"/>
  <c r="D56" i="6"/>
  <c r="D59" i="6" s="1"/>
  <c r="C11" i="6"/>
  <c r="D11" i="6" s="1"/>
  <c r="K55" i="6"/>
  <c r="K54" i="6"/>
  <c r="C10" i="6"/>
  <c r="K56" i="6" l="1"/>
  <c r="L55" i="6"/>
  <c r="D10" i="6"/>
  <c r="C12" i="6"/>
  <c r="L54" i="6"/>
  <c r="O6" i="10"/>
  <c r="O43" i="10" s="1"/>
  <c r="G22" i="9"/>
  <c r="K15" i="9" s="1"/>
  <c r="K18" i="9" s="1"/>
  <c r="I8" i="12" l="1"/>
  <c r="O10" i="10"/>
  <c r="J38" i="10" s="1"/>
  <c r="L56" i="6"/>
  <c r="K59" i="6"/>
  <c r="D12" i="6"/>
  <c r="I7" i="6" s="1"/>
  <c r="H10" i="6"/>
  <c r="I10" i="6" s="1"/>
  <c r="H11" i="6"/>
  <c r="I11" i="6" s="1"/>
  <c r="H7" i="6"/>
  <c r="H12" i="6"/>
  <c r="I12" i="6" s="1"/>
  <c r="H9" i="6"/>
  <c r="I9" i="6" s="1"/>
  <c r="C15" i="6"/>
  <c r="L59" i="6" l="1"/>
  <c r="H18" i="6"/>
  <c r="I18" i="6" s="1"/>
  <c r="H17" i="6"/>
  <c r="I17" i="6" s="1"/>
  <c r="H16" i="6"/>
  <c r="I16" i="6" s="1"/>
  <c r="C18" i="6"/>
  <c r="D15" i="6"/>
  <c r="L25" i="12"/>
  <c r="K38" i="10"/>
  <c r="L22" i="12" l="1"/>
  <c r="K32" i="10"/>
  <c r="H14" i="6"/>
  <c r="D18" i="6"/>
  <c r="I14" i="6" s="1"/>
  <c r="I26" i="12" l="1"/>
  <c r="I38" i="10"/>
</calcChain>
</file>

<file path=xl/comments1.xml><?xml version="1.0" encoding="utf-8"?>
<comments xmlns="http://schemas.openxmlformats.org/spreadsheetml/2006/main">
  <authors>
    <author>Amy Liu</author>
  </authors>
  <commentList>
    <comment ref="R22" authorId="0">
      <text>
        <r>
          <rPr>
            <b/>
            <sz val="8"/>
            <color indexed="81"/>
            <rFont val="Tahoma"/>
            <family val="2"/>
          </rPr>
          <t>Amy Liu:</t>
        </r>
        <r>
          <rPr>
            <sz val="8"/>
            <color indexed="81"/>
            <rFont val="Tahoma"/>
            <family val="2"/>
          </rPr>
          <t xml:space="preserve">
Bulk QTY required * Scp factor on Parents' bom
</t>
        </r>
      </text>
    </comment>
    <comment ref="C43" authorId="0">
      <text>
        <r>
          <rPr>
            <b/>
            <sz val="8"/>
            <color indexed="81"/>
            <rFont val="Tahoma"/>
            <family val="2"/>
          </rPr>
          <t>Amy Liu:</t>
        </r>
        <r>
          <rPr>
            <sz val="8"/>
            <color indexed="81"/>
            <rFont val="Tahoma"/>
            <family val="2"/>
          </rPr>
          <t xml:space="preserve">
8101 
</t>
        </r>
      </text>
    </comment>
    <comment ref="D43" authorId="0">
      <text>
        <r>
          <rPr>
            <b/>
            <sz val="8"/>
            <color indexed="81"/>
            <rFont val="Tahoma"/>
            <family val="2"/>
          </rPr>
          <t>Amy Liu:</t>
        </r>
        <r>
          <rPr>
            <sz val="8"/>
            <color indexed="81"/>
            <rFont val="Tahoma"/>
            <family val="2"/>
          </rPr>
          <t xml:space="preserve">
8245 8246 8230 8210 8220 8223 8226 8222 </t>
        </r>
      </text>
    </comment>
    <comment ref="E43" authorId="0">
      <text>
        <r>
          <rPr>
            <b/>
            <sz val="8"/>
            <color indexed="81"/>
            <rFont val="Tahoma"/>
            <family val="2"/>
          </rPr>
          <t>Amy Liu:</t>
        </r>
        <r>
          <rPr>
            <sz val="8"/>
            <color indexed="81"/>
            <rFont val="Tahoma"/>
            <family val="2"/>
          </rPr>
          <t xml:space="preserve">
8451 8453 8440 8449 8446 8450 8448 </t>
        </r>
      </text>
    </comment>
    <comment ref="F43" authorId="0">
      <text>
        <r>
          <rPr>
            <b/>
            <sz val="8"/>
            <color indexed="81"/>
            <rFont val="Tahoma"/>
            <family val="2"/>
          </rPr>
          <t>Amy Liu:</t>
        </r>
        <r>
          <rPr>
            <sz val="8"/>
            <color indexed="81"/>
            <rFont val="Tahoma"/>
            <family val="2"/>
          </rPr>
          <t xml:space="preserve">
8522 8520 8521 </t>
        </r>
      </text>
    </comment>
    <comment ref="G43" authorId="0">
      <text>
        <r>
          <rPr>
            <b/>
            <sz val="8"/>
            <color indexed="81"/>
            <rFont val="Tahoma"/>
            <family val="2"/>
          </rPr>
          <t>Amy Liu:</t>
        </r>
        <r>
          <rPr>
            <sz val="8"/>
            <color indexed="81"/>
            <rFont val="Tahoma"/>
            <family val="2"/>
          </rPr>
          <t xml:space="preserve">
8803 8801 8802 </t>
        </r>
      </text>
    </comment>
    <comment ref="H43" authorId="0">
      <text>
        <r>
          <rPr>
            <b/>
            <sz val="8"/>
            <color indexed="81"/>
            <rFont val="Tahoma"/>
            <family val="2"/>
          </rPr>
          <t>Amy Liu:</t>
        </r>
        <r>
          <rPr>
            <sz val="8"/>
            <color indexed="81"/>
            <rFont val="Tahoma"/>
            <family val="2"/>
          </rPr>
          <t xml:space="preserve">
8821 8822 8825 </t>
        </r>
      </text>
    </comment>
    <comment ref="I43" authorId="0">
      <text>
        <r>
          <rPr>
            <b/>
            <sz val="8"/>
            <color indexed="81"/>
            <rFont val="Tahoma"/>
            <family val="2"/>
          </rPr>
          <t>Amy Liu:</t>
        </r>
        <r>
          <rPr>
            <sz val="8"/>
            <color indexed="81"/>
            <rFont val="Tahoma"/>
            <family val="2"/>
          </rPr>
          <t xml:space="preserve">
8835 </t>
        </r>
      </text>
    </comment>
    <comment ref="J43" authorId="0">
      <text>
        <r>
          <rPr>
            <b/>
            <sz val="8"/>
            <color indexed="81"/>
            <rFont val="Tahoma"/>
            <family val="2"/>
          </rPr>
          <t>Amy Liu:</t>
        </r>
        <r>
          <rPr>
            <sz val="8"/>
            <color indexed="81"/>
            <rFont val="Tahoma"/>
            <family val="2"/>
          </rPr>
          <t xml:space="preserve">
8829 8831 </t>
        </r>
      </text>
    </comment>
    <comment ref="K43" authorId="0">
      <text>
        <r>
          <rPr>
            <b/>
            <sz val="8"/>
            <color indexed="81"/>
            <rFont val="Tahoma"/>
            <family val="2"/>
          </rPr>
          <t>Amy Liu:</t>
        </r>
        <r>
          <rPr>
            <sz val="8"/>
            <color indexed="81"/>
            <rFont val="Tahoma"/>
            <family val="2"/>
          </rPr>
          <t xml:space="preserve">
3900
</t>
        </r>
      </text>
    </comment>
  </commentList>
</comments>
</file>

<file path=xl/comments2.xml><?xml version="1.0" encoding="utf-8"?>
<comments xmlns="http://schemas.openxmlformats.org/spreadsheetml/2006/main">
  <authors>
    <author>Santhosh Thiyagarajan</author>
  </authors>
  <commentList>
    <comment ref="L3" authorId="0">
      <text>
        <r>
          <rPr>
            <sz val="8"/>
            <color indexed="81"/>
            <rFont val="Tahoma"/>
            <family val="2"/>
          </rPr>
          <t>Choose the factory Type.</t>
        </r>
      </text>
    </comment>
    <comment ref="L4" authorId="0">
      <text>
        <r>
          <rPr>
            <sz val="8"/>
            <color indexed="81"/>
            <rFont val="Tahoma"/>
            <family val="2"/>
          </rPr>
          <t>Enter between 200 and 5000 days.</t>
        </r>
      </text>
    </comment>
    <comment ref="L6" authorId="0">
      <text>
        <r>
          <rPr>
            <sz val="8"/>
            <color indexed="81"/>
            <rFont val="Tahoma"/>
            <family val="2"/>
          </rPr>
          <t>This varies the speed of the simulator. Lower the value faster it is.</t>
        </r>
      </text>
    </comment>
    <comment ref="L14" authorId="0">
      <text>
        <r>
          <rPr>
            <sz val="8"/>
            <color indexed="81"/>
            <rFont val="Tahoma"/>
            <family val="2"/>
          </rPr>
          <t>Equivalent to x batches</t>
        </r>
      </text>
    </comment>
    <comment ref="L15" authorId="0">
      <text>
        <r>
          <rPr>
            <sz val="8"/>
            <color indexed="81"/>
            <rFont val="Tahoma"/>
            <family val="2"/>
          </rPr>
          <t>Equivalent to x batches</t>
        </r>
      </text>
    </comment>
    <comment ref="L16" authorId="0">
      <text>
        <r>
          <rPr>
            <sz val="8"/>
            <color indexed="81"/>
            <rFont val="Tahoma"/>
            <family val="2"/>
          </rPr>
          <t>Equivalent to x months supply</t>
        </r>
      </text>
    </comment>
    <comment ref="L17" authorId="0">
      <text>
        <r>
          <rPr>
            <sz val="8"/>
            <color indexed="81"/>
            <rFont val="Tahoma"/>
            <family val="2"/>
          </rPr>
          <t>Equivalent to x months supply</t>
        </r>
      </text>
    </comment>
    <comment ref="L18" authorId="0">
      <text>
        <r>
          <rPr>
            <sz val="8"/>
            <color indexed="81"/>
            <rFont val="Tahoma"/>
            <family val="2"/>
          </rPr>
          <t>X% of manufacturing time</t>
        </r>
      </text>
    </comment>
    <comment ref="I23" authorId="0">
      <text>
        <r>
          <rPr>
            <sz val="8"/>
            <color indexed="81"/>
            <rFont val="Tahoma"/>
            <family val="2"/>
          </rPr>
          <t>This figure can be modified.</t>
        </r>
      </text>
    </comment>
    <comment ref="I24" authorId="0">
      <text>
        <r>
          <rPr>
            <sz val="8"/>
            <color indexed="81"/>
            <rFont val="Tahoma"/>
            <family val="2"/>
          </rPr>
          <t>This figure can also be modified.</t>
        </r>
      </text>
    </comment>
    <comment ref="L26" authorId="0">
      <text>
        <r>
          <rPr>
            <sz val="8"/>
            <color indexed="81"/>
            <rFont val="Tahoma"/>
            <family val="2"/>
          </rPr>
          <t xml:space="preserve">Starts with $0
</t>
        </r>
      </text>
    </comment>
    <comment ref="L27" authorId="0">
      <text>
        <r>
          <rPr>
            <sz val="8"/>
            <color indexed="81"/>
            <rFont val="Tahoma"/>
            <family val="2"/>
          </rPr>
          <t>Starts with 1 million dollars in account</t>
        </r>
      </text>
    </comment>
  </commentList>
</comments>
</file>

<file path=xl/sharedStrings.xml><?xml version="1.0" encoding="utf-8"?>
<sst xmlns="http://schemas.openxmlformats.org/spreadsheetml/2006/main" count="15394" uniqueCount="6803">
  <si>
    <t>Item Description</t>
  </si>
  <si>
    <t>Code For Costing</t>
  </si>
  <si>
    <t>Mixes</t>
  </si>
  <si>
    <t>EPN023</t>
  </si>
  <si>
    <t>Dispensing</t>
  </si>
  <si>
    <t>Granulation</t>
  </si>
  <si>
    <t>Blending</t>
  </si>
  <si>
    <t>Compression</t>
  </si>
  <si>
    <t>Tray Drying</t>
  </si>
  <si>
    <t>Coating</t>
  </si>
  <si>
    <t>Lable Claim (mg)</t>
  </si>
  <si>
    <t>Scrap (%)</t>
  </si>
  <si>
    <t>Y</t>
  </si>
  <si>
    <t>Core</t>
  </si>
  <si>
    <t>004286</t>
  </si>
  <si>
    <t>099995</t>
  </si>
  <si>
    <t>EPN002</t>
  </si>
  <si>
    <t>EPN045</t>
  </si>
  <si>
    <t>Code</t>
  </si>
  <si>
    <t>Description</t>
  </si>
  <si>
    <t>TOTALS (less losses and scrap)</t>
  </si>
  <si>
    <t>Adjustments</t>
  </si>
  <si>
    <t>Per Dose (mg)</t>
  </si>
  <si>
    <t>Per Batch (kg)</t>
  </si>
  <si>
    <t>Lost (mg)</t>
  </si>
  <si>
    <t>GRAND TOTAL</t>
  </si>
  <si>
    <t>TABLETS PER BATCH</t>
  </si>
  <si>
    <t>Lost (kg)</t>
  </si>
  <si>
    <t>Qty Per Mix (kg)</t>
  </si>
  <si>
    <t>Max % diosna capacity</t>
  </si>
  <si>
    <t>Density</t>
  </si>
  <si>
    <t>Volume (L)</t>
  </si>
  <si>
    <t>unique count</t>
  </si>
  <si>
    <t>repeat dispense count</t>
  </si>
  <si>
    <t>Dispense Item (mins)</t>
  </si>
  <si>
    <t>Repeat dispense (mins)</t>
  </si>
  <si>
    <t>Min % diosna capacity</t>
  </si>
  <si>
    <t>Sieving</t>
  </si>
  <si>
    <t>FBD</t>
  </si>
  <si>
    <t>Wet Milling</t>
  </si>
  <si>
    <t>Mill Set Up (mins)</t>
  </si>
  <si>
    <t>Yes</t>
  </si>
  <si>
    <t>No</t>
  </si>
  <si>
    <t>Mill Rate (mins/kg)</t>
  </si>
  <si>
    <t>FBD Set Up (mins)</t>
  </si>
  <si>
    <t>Milling</t>
  </si>
  <si>
    <t>FBD Time per Mix (mins)</t>
  </si>
  <si>
    <t>Sieve Set Up (mins)</t>
  </si>
  <si>
    <t>Sieve Rate (mins/kg)</t>
  </si>
  <si>
    <t>Oven</t>
  </si>
  <si>
    <t>Blending Time per Item (mins)</t>
  </si>
  <si>
    <t>Blending Add Rate (mins/kg)</t>
  </si>
  <si>
    <t>Blending Set Up (mins)</t>
  </si>
  <si>
    <t>Compression Set Up (mins)</t>
  </si>
  <si>
    <t>Press</t>
  </si>
  <si>
    <t>Rate</t>
  </si>
  <si>
    <t>Express</t>
  </si>
  <si>
    <t>Betapress</t>
  </si>
  <si>
    <t>Unipress</t>
  </si>
  <si>
    <t>Nova</t>
  </si>
  <si>
    <t>Fette</t>
  </si>
  <si>
    <t>Rama</t>
  </si>
  <si>
    <t>48"</t>
  </si>
  <si>
    <t>60"</t>
  </si>
  <si>
    <t>min</t>
  </si>
  <si>
    <t>max</t>
  </si>
  <si>
    <t>Coating Set Up (mins)</t>
  </si>
  <si>
    <t>Coating Set Time Per Pan (mins)</t>
  </si>
  <si>
    <t>PlatformSize</t>
  </si>
  <si>
    <t>Film Type</t>
  </si>
  <si>
    <t>Plat-Film</t>
  </si>
  <si>
    <t>RunRate</t>
  </si>
  <si>
    <t>FilmCode</t>
  </si>
  <si>
    <t>FilmUsage</t>
  </si>
  <si>
    <t>FoilCode</t>
  </si>
  <si>
    <t>FoilUsage</t>
  </si>
  <si>
    <t>Plat-Count</t>
  </si>
  <si>
    <t>BlisterCount</t>
  </si>
  <si>
    <t>CartonCode</t>
  </si>
  <si>
    <t>ShipperCode</t>
  </si>
  <si>
    <t>ShipperUsage</t>
  </si>
  <si>
    <t>PVC</t>
  </si>
  <si>
    <t>PVC/PVDC</t>
  </si>
  <si>
    <t>Triplex</t>
  </si>
  <si>
    <t>Film</t>
  </si>
  <si>
    <t>Platforms</t>
  </si>
  <si>
    <t>Foil</t>
  </si>
  <si>
    <t>Manufacturing Route</t>
  </si>
  <si>
    <t>TOTAL</t>
  </si>
  <si>
    <t>setup</t>
  </si>
  <si>
    <t>Tray Set Up (mins)</t>
  </si>
  <si>
    <t>Item</t>
  </si>
  <si>
    <t>Mins</t>
  </si>
  <si>
    <t>Pack Size</t>
  </si>
  <si>
    <t>Dosage Units</t>
  </si>
  <si>
    <t>Line Changeover</t>
  </si>
  <si>
    <t>Pot (%)</t>
  </si>
  <si>
    <t>Ovrge (%)</t>
  </si>
  <si>
    <t>Lost in proc.</t>
  </si>
  <si>
    <t>Usage Code X</t>
  </si>
  <si>
    <t>Select Diosna</t>
  </si>
  <si>
    <t>ê</t>
  </si>
  <si>
    <t>Added</t>
  </si>
  <si>
    <t xml:space="preserve"> Coater</t>
  </si>
  <si>
    <t>Details of New Items</t>
  </si>
  <si>
    <t>PPN004</t>
  </si>
  <si>
    <t>055010</t>
  </si>
  <si>
    <t>055028</t>
  </si>
  <si>
    <t>002637</t>
  </si>
  <si>
    <t>EPN092</t>
  </si>
  <si>
    <t>EPN029</t>
  </si>
  <si>
    <t>008464</t>
  </si>
  <si>
    <t>N</t>
  </si>
  <si>
    <t>Dispense Setup (mins)</t>
  </si>
  <si>
    <t>Pack Line Set Up - Full (mins)</t>
  </si>
  <si>
    <t>Pack Line Set Up - Partial (mins)</t>
  </si>
  <si>
    <t>Totals</t>
  </si>
  <si>
    <t>Annual Volume (packs)</t>
  </si>
  <si>
    <t>EPN064</t>
  </si>
  <si>
    <t>AJB</t>
  </si>
  <si>
    <t>008485</t>
  </si>
  <si>
    <t>005696</t>
  </si>
  <si>
    <t>005426</t>
  </si>
  <si>
    <t>004932</t>
  </si>
  <si>
    <t>004881</t>
  </si>
  <si>
    <t>009304</t>
  </si>
  <si>
    <t>005957</t>
  </si>
  <si>
    <t>EWN096</t>
  </si>
  <si>
    <t>004889</t>
  </si>
  <si>
    <t>011881</t>
  </si>
  <si>
    <t>EPN003</t>
  </si>
  <si>
    <t>EPN018</t>
  </si>
  <si>
    <t>DAB</t>
  </si>
  <si>
    <t>010995</t>
  </si>
  <si>
    <t>EPN020</t>
  </si>
  <si>
    <t>011673</t>
  </si>
  <si>
    <t>012876</t>
  </si>
  <si>
    <t>012391</t>
  </si>
  <si>
    <t>012389</t>
  </si>
  <si>
    <t>011671</t>
  </si>
  <si>
    <t>011675</t>
  </si>
  <si>
    <t>011672</t>
  </si>
  <si>
    <t>004758</t>
  </si>
  <si>
    <t>007157</t>
  </si>
  <si>
    <t>005963</t>
  </si>
  <si>
    <t>020431</t>
  </si>
  <si>
    <t>008172</t>
  </si>
  <si>
    <t>005705</t>
  </si>
  <si>
    <t>013260</t>
  </si>
  <si>
    <t>MAC</t>
  </si>
  <si>
    <t>006164</t>
  </si>
  <si>
    <t>005803</t>
  </si>
  <si>
    <t>008899</t>
  </si>
  <si>
    <t>011495</t>
  </si>
  <si>
    <t>005840</t>
  </si>
  <si>
    <t>006145</t>
  </si>
  <si>
    <t>EPN115</t>
  </si>
  <si>
    <t>010255</t>
  </si>
  <si>
    <t>018243</t>
  </si>
  <si>
    <t>004918</t>
  </si>
  <si>
    <t>004916</t>
  </si>
  <si>
    <t>PDV</t>
  </si>
  <si>
    <t>EPN037</t>
  </si>
  <si>
    <t>011345</t>
  </si>
  <si>
    <t>029031</t>
  </si>
  <si>
    <t>EPN088</t>
  </si>
  <si>
    <t>006884</t>
  </si>
  <si>
    <t>075803</t>
  </si>
  <si>
    <t>004888</t>
  </si>
  <si>
    <t>EPN067</t>
  </si>
  <si>
    <t>004770</t>
  </si>
  <si>
    <t>030277</t>
  </si>
  <si>
    <t>004882</t>
  </si>
  <si>
    <t>029111</t>
  </si>
  <si>
    <t>DAE</t>
  </si>
  <si>
    <t>010718</t>
  </si>
  <si>
    <t>013261</t>
  </si>
  <si>
    <t>SLH002</t>
  </si>
  <si>
    <t>000174</t>
  </si>
  <si>
    <t>005191</t>
  </si>
  <si>
    <t>009486</t>
  </si>
  <si>
    <t>010323</t>
  </si>
  <si>
    <t>013377</t>
  </si>
  <si>
    <t>006427</t>
  </si>
  <si>
    <t>003085</t>
  </si>
  <si>
    <t>010162</t>
  </si>
  <si>
    <t>004891</t>
  </si>
  <si>
    <t>031915</t>
  </si>
  <si>
    <t>012388</t>
  </si>
  <si>
    <t>035086</t>
  </si>
  <si>
    <t>J4527</t>
  </si>
  <si>
    <t>008901</t>
  </si>
  <si>
    <t>004285</t>
  </si>
  <si>
    <t>009537</t>
  </si>
  <si>
    <t>011768</t>
  </si>
  <si>
    <t>009709</t>
  </si>
  <si>
    <t>GIA</t>
  </si>
  <si>
    <t>GHJ</t>
  </si>
  <si>
    <t>033259</t>
  </si>
  <si>
    <t>080397</t>
  </si>
  <si>
    <t>004883</t>
  </si>
  <si>
    <t>004904</t>
  </si>
  <si>
    <t>001193</t>
  </si>
  <si>
    <t>007706</t>
  </si>
  <si>
    <t>230455</t>
  </si>
  <si>
    <t>005926</t>
  </si>
  <si>
    <t>005469</t>
  </si>
  <si>
    <t>018391</t>
  </si>
  <si>
    <t>040547</t>
  </si>
  <si>
    <t>075467</t>
  </si>
  <si>
    <t>012716</t>
  </si>
  <si>
    <t>012717</t>
  </si>
  <si>
    <t>007046</t>
  </si>
  <si>
    <t>IAK</t>
  </si>
  <si>
    <t>009676</t>
  </si>
  <si>
    <t>041822</t>
  </si>
  <si>
    <t>011882</t>
  </si>
  <si>
    <t>EPN025</t>
  </si>
  <si>
    <t>045874</t>
  </si>
  <si>
    <t>045655</t>
  </si>
  <si>
    <t>013168</t>
  </si>
  <si>
    <t>070084</t>
  </si>
  <si>
    <t>007780</t>
  </si>
  <si>
    <t>005697</t>
  </si>
  <si>
    <t>005706</t>
  </si>
  <si>
    <t>MCW</t>
  </si>
  <si>
    <t>000197</t>
  </si>
  <si>
    <t>085235</t>
  </si>
  <si>
    <t>004905</t>
  </si>
  <si>
    <t>009821</t>
  </si>
  <si>
    <t>008688</t>
  </si>
  <si>
    <t>012715</t>
  </si>
  <si>
    <t>005147</t>
  </si>
  <si>
    <t>005138</t>
  </si>
  <si>
    <t>APL157</t>
  </si>
  <si>
    <t>005800</t>
  </si>
  <si>
    <t>003170</t>
  </si>
  <si>
    <t>012812</t>
  </si>
  <si>
    <t>008645</t>
  </si>
  <si>
    <t>010956</t>
  </si>
  <si>
    <t>013603</t>
  </si>
  <si>
    <t>013605</t>
  </si>
  <si>
    <t>013607</t>
  </si>
  <si>
    <t>006165</t>
  </si>
  <si>
    <t>006442</t>
  </si>
  <si>
    <t>006428</t>
  </si>
  <si>
    <t>013262</t>
  </si>
  <si>
    <t>WCI</t>
  </si>
  <si>
    <t>008468</t>
  </si>
  <si>
    <t>007504</t>
  </si>
  <si>
    <t>012810</t>
  </si>
  <si>
    <t>005140</t>
  </si>
  <si>
    <t>019895</t>
  </si>
  <si>
    <t>006945</t>
  </si>
  <si>
    <t>008858</t>
  </si>
  <si>
    <t>004338</t>
  </si>
  <si>
    <t>OAR</t>
  </si>
  <si>
    <t>009642</t>
  </si>
  <si>
    <t>010332</t>
  </si>
  <si>
    <t>005994</t>
  </si>
  <si>
    <t>006147</t>
  </si>
  <si>
    <t>004756</t>
  </si>
  <si>
    <t>009603</t>
  </si>
  <si>
    <t>005149</t>
  </si>
  <si>
    <t>007253</t>
  </si>
  <si>
    <t>075926</t>
  </si>
  <si>
    <t>010322</t>
  </si>
  <si>
    <t>021397</t>
  </si>
  <si>
    <t>APL065</t>
  </si>
  <si>
    <t>075125</t>
  </si>
  <si>
    <t>FPN085</t>
  </si>
  <si>
    <t>003084</t>
  </si>
  <si>
    <t>EPN034</t>
  </si>
  <si>
    <t>APN095</t>
  </si>
  <si>
    <t>004892</t>
  </si>
  <si>
    <t>EPN152</t>
  </si>
  <si>
    <t>075176</t>
  </si>
  <si>
    <t>KAL</t>
  </si>
  <si>
    <t>075230</t>
  </si>
  <si>
    <t>075221</t>
  </si>
  <si>
    <t>APL091</t>
  </si>
  <si>
    <t>004915</t>
  </si>
  <si>
    <t>060311</t>
  </si>
  <si>
    <t>000480</t>
  </si>
  <si>
    <t>004940</t>
  </si>
  <si>
    <t>APL079</t>
  </si>
  <si>
    <t>003087</t>
  </si>
  <si>
    <t>004884</t>
  </si>
  <si>
    <t>008036</t>
  </si>
  <si>
    <t>004890</t>
  </si>
  <si>
    <t>004755</t>
  </si>
  <si>
    <t>012793</t>
  </si>
  <si>
    <t>EPN148</t>
  </si>
  <si>
    <t>005703</t>
  </si>
  <si>
    <t>010950</t>
  </si>
  <si>
    <t>004942</t>
  </si>
  <si>
    <t>013901</t>
  </si>
  <si>
    <t>EPH001</t>
  </si>
  <si>
    <t>APN057</t>
  </si>
  <si>
    <t>APN107</t>
  </si>
  <si>
    <t>010160</t>
  </si>
  <si>
    <t>005698</t>
  </si>
  <si>
    <t>APM039</t>
  </si>
  <si>
    <t>J3012</t>
  </si>
  <si>
    <t>EPH061</t>
  </si>
  <si>
    <t>011670</t>
  </si>
  <si>
    <t>008856</t>
  </si>
  <si>
    <t>005139</t>
  </si>
  <si>
    <t>005704</t>
  </si>
  <si>
    <t>SAJ</t>
  </si>
  <si>
    <t>EPN030</t>
  </si>
  <si>
    <t>SAD</t>
  </si>
  <si>
    <t>007047</t>
  </si>
  <si>
    <t>EPN142</t>
  </si>
  <si>
    <t>EPN215</t>
  </si>
  <si>
    <t>EPN010</t>
  </si>
  <si>
    <t>086027</t>
  </si>
  <si>
    <t>085753</t>
  </si>
  <si>
    <t>EPN051</t>
  </si>
  <si>
    <t>005702</t>
  </si>
  <si>
    <t>EPN052</t>
  </si>
  <si>
    <t>EPN054</t>
  </si>
  <si>
    <t>013598</t>
  </si>
  <si>
    <t>011649</t>
  </si>
  <si>
    <t>013376</t>
  </si>
  <si>
    <t>38 x 94</t>
  </si>
  <si>
    <t>42 x 108</t>
  </si>
  <si>
    <t>46 x 116</t>
  </si>
  <si>
    <t>52 x 108</t>
  </si>
  <si>
    <t>60 x 100</t>
  </si>
  <si>
    <t>60 x 130</t>
  </si>
  <si>
    <t>60 x 75</t>
  </si>
  <si>
    <t>70 x 118</t>
  </si>
  <si>
    <t>70 x 140</t>
  </si>
  <si>
    <t>70 x 80</t>
  </si>
  <si>
    <t>76 x 82</t>
  </si>
  <si>
    <t>90 x 140</t>
  </si>
  <si>
    <t>Amber PVDC</t>
  </si>
  <si>
    <t>Coldform</t>
  </si>
  <si>
    <t>Aclar 3000</t>
  </si>
  <si>
    <t>White PVDC</t>
  </si>
  <si>
    <t>012217</t>
  </si>
  <si>
    <t>011668</t>
  </si>
  <si>
    <t>011075</t>
  </si>
  <si>
    <t>011852</t>
  </si>
  <si>
    <t>005653</t>
  </si>
  <si>
    <t>006151</t>
  </si>
  <si>
    <t>005660</t>
  </si>
  <si>
    <t>005871</t>
  </si>
  <si>
    <t>007773</t>
  </si>
  <si>
    <t>012815</t>
  </si>
  <si>
    <t>010861</t>
  </si>
  <si>
    <t>011712</t>
  </si>
  <si>
    <t>011948</t>
  </si>
  <si>
    <t>005707</t>
  </si>
  <si>
    <t>011669</t>
  </si>
  <si>
    <t>011667</t>
  </si>
  <si>
    <t>012605</t>
  </si>
  <si>
    <t>011919</t>
  </si>
  <si>
    <t>012072</t>
  </si>
  <si>
    <t>011918</t>
  </si>
  <si>
    <t>011917</t>
  </si>
  <si>
    <t>008113</t>
  </si>
  <si>
    <t>008862</t>
  </si>
  <si>
    <t>009834</t>
  </si>
  <si>
    <t>011894</t>
  </si>
  <si>
    <t>009888</t>
  </si>
  <si>
    <t>010460</t>
  </si>
  <si>
    <t>005718</t>
  </si>
  <si>
    <t>007770</t>
  </si>
  <si>
    <t>007769</t>
  </si>
  <si>
    <t>007772</t>
  </si>
  <si>
    <t>011579</t>
  </si>
  <si>
    <t>004771</t>
  </si>
  <si>
    <t>008109</t>
  </si>
  <si>
    <t>011709</t>
  </si>
  <si>
    <t>011834</t>
  </si>
  <si>
    <t>011613</t>
  </si>
  <si>
    <t>012604</t>
  </si>
  <si>
    <t>012074</t>
  </si>
  <si>
    <t>011761</t>
  </si>
  <si>
    <t>012410</t>
  </si>
  <si>
    <t>005717</t>
  </si>
  <si>
    <t>007803</t>
  </si>
  <si>
    <t>011987</t>
  </si>
  <si>
    <t>Carton Usage</t>
  </si>
  <si>
    <t>011063</t>
  </si>
  <si>
    <t>1</t>
  </si>
  <si>
    <t>008016</t>
  </si>
  <si>
    <t>006191</t>
  </si>
  <si>
    <t>008020</t>
  </si>
  <si>
    <t>011066</t>
  </si>
  <si>
    <t>004776</t>
  </si>
  <si>
    <t>008017</t>
  </si>
  <si>
    <t>004281</t>
  </si>
  <si>
    <t>007093</t>
  </si>
  <si>
    <t>008848</t>
  </si>
  <si>
    <t>008849</t>
  </si>
  <si>
    <t>011854</t>
  </si>
  <si>
    <t>005661</t>
  </si>
  <si>
    <t>011536</t>
  </si>
  <si>
    <t>009285</t>
  </si>
  <si>
    <t>007094</t>
  </si>
  <si>
    <t>008659</t>
  </si>
  <si>
    <t>011533</t>
  </si>
  <si>
    <t>008015</t>
  </si>
  <si>
    <t>009286</t>
  </si>
  <si>
    <t>007095</t>
  </si>
  <si>
    <t>012885</t>
  </si>
  <si>
    <t>730302</t>
  </si>
  <si>
    <t>010862</t>
  </si>
  <si>
    <t>010865</t>
  </si>
  <si>
    <t>010351</t>
  </si>
  <si>
    <t>010369</t>
  </si>
  <si>
    <t>011835</t>
  </si>
  <si>
    <t>011830</t>
  </si>
  <si>
    <t>011836</t>
  </si>
  <si>
    <t>011840</t>
  </si>
  <si>
    <t>011618</t>
  </si>
  <si>
    <t>M23010</t>
  </si>
  <si>
    <t>012576</t>
  </si>
  <si>
    <t>012577</t>
  </si>
  <si>
    <t>011612</t>
  </si>
  <si>
    <t>0.001</t>
  </si>
  <si>
    <t>M23008</t>
  </si>
  <si>
    <t>011645</t>
  </si>
  <si>
    <t>004627</t>
  </si>
  <si>
    <t>730271</t>
  </si>
  <si>
    <t>012606</t>
  </si>
  <si>
    <t>010326</t>
  </si>
  <si>
    <t>009976</t>
  </si>
  <si>
    <t>730321</t>
  </si>
  <si>
    <t>006433</t>
  </si>
  <si>
    <t>730251</t>
  </si>
  <si>
    <t>005225</t>
  </si>
  <si>
    <t>730281</t>
  </si>
  <si>
    <t>011765</t>
  </si>
  <si>
    <t>010355</t>
  </si>
  <si>
    <t>009488</t>
  </si>
  <si>
    <t>008112</t>
  </si>
  <si>
    <t>008139</t>
  </si>
  <si>
    <t>008737</t>
  </si>
  <si>
    <t>008966</t>
  </si>
  <si>
    <t>008735</t>
  </si>
  <si>
    <t>008741</t>
  </si>
  <si>
    <t>013579</t>
  </si>
  <si>
    <t>013580</t>
  </si>
  <si>
    <t>012259</t>
  </si>
  <si>
    <t>009824</t>
  </si>
  <si>
    <t>011629</t>
  </si>
  <si>
    <t>012414</t>
  </si>
  <si>
    <t>012536</t>
  </si>
  <si>
    <t>013141</t>
  </si>
  <si>
    <t>013584</t>
  </si>
  <si>
    <t>013585</t>
  </si>
  <si>
    <t>005719</t>
  </si>
  <si>
    <t>005402</t>
  </si>
  <si>
    <t>005495</t>
  </si>
  <si>
    <t>007831</t>
  </si>
  <si>
    <t>010404</t>
  </si>
  <si>
    <t>010407</t>
  </si>
  <si>
    <t>011988</t>
  </si>
  <si>
    <t>011584</t>
  </si>
  <si>
    <t>011993</t>
  </si>
  <si>
    <t>011583</t>
  </si>
  <si>
    <t>Component</t>
  </si>
  <si>
    <t>Qty</t>
  </si>
  <si>
    <t>Select IBC</t>
  </si>
  <si>
    <t>005942</t>
  </si>
  <si>
    <t>Assumed Pack Run Size</t>
  </si>
  <si>
    <t>Pack Batches Per Annum</t>
  </si>
  <si>
    <t>Bulk Batches Per Annum</t>
  </si>
  <si>
    <t>Packs per Bulk Batch</t>
  </si>
  <si>
    <t>Blister</t>
  </si>
  <si>
    <t>Dispensary</t>
  </si>
  <si>
    <t>"X" Factor (Hrs)</t>
  </si>
  <si>
    <t>Diosna</t>
  </si>
  <si>
    <t>Setup Time</t>
  </si>
  <si>
    <t>Coater</t>
  </si>
  <si>
    <t>Volume</t>
  </si>
  <si>
    <t>min volume</t>
  </si>
  <si>
    <t>max volume</t>
  </si>
  <si>
    <t>memantine</t>
  </si>
  <si>
    <t>valciclovir</t>
  </si>
  <si>
    <t>F-machine</t>
  </si>
  <si>
    <t>Dosage Strenth</t>
  </si>
  <si>
    <t>Difficulty</t>
  </si>
  <si>
    <t>terbinafine</t>
  </si>
  <si>
    <t>124 x 48</t>
  </si>
  <si>
    <t>55 x 130</t>
  </si>
  <si>
    <t>sozol</t>
  </si>
  <si>
    <t>maosig</t>
  </si>
  <si>
    <t>Dry &amp; Mill</t>
  </si>
  <si>
    <t>FBD and Milling</t>
  </si>
  <si>
    <t>T5/T6 Set Up (mins)</t>
  </si>
  <si>
    <t>flow rate</t>
  </si>
  <si>
    <t>Machine</t>
  </si>
  <si>
    <t>Labour</t>
  </si>
  <si>
    <t>Work Centre</t>
  </si>
  <si>
    <t>N/A</t>
  </si>
  <si>
    <t>000013</t>
  </si>
  <si>
    <t xml:space="preserve">PARACETAMOL                   </t>
  </si>
  <si>
    <t>000061</t>
  </si>
  <si>
    <t xml:space="preserve">ACESULFAME POTASSIUM          </t>
  </si>
  <si>
    <t>000140</t>
  </si>
  <si>
    <t xml:space="preserve">ALLANTOIN                     </t>
  </si>
  <si>
    <t>000148</t>
  </si>
  <si>
    <t xml:space="preserve">TUTTI FRUTTI 51.880/A FLAVOUR </t>
  </si>
  <si>
    <t>000149</t>
  </si>
  <si>
    <t xml:space="preserve">VANILLA 59.200/A FLAVOUR      </t>
  </si>
  <si>
    <t xml:space="preserve">ETHANOL (95%)                 </t>
  </si>
  <si>
    <t xml:space="preserve">MAIZE STARCH (HI MAIZE)       </t>
  </si>
  <si>
    <t>000326</t>
  </si>
  <si>
    <t xml:space="preserve">DRIED ALUMINIUM HYDROXIDE     </t>
  </si>
  <si>
    <t>000406</t>
  </si>
  <si>
    <t xml:space="preserve">AMARANTH                      </t>
  </si>
  <si>
    <t>000439</t>
  </si>
  <si>
    <t xml:space="preserve">NEOSORB CRYSTALLINE 20/60 DC  </t>
  </si>
  <si>
    <t>000440</t>
  </si>
  <si>
    <t xml:space="preserve">POTASSIUM PENICILLIN V POWDER </t>
  </si>
  <si>
    <t>PSYLLIUM HUSK POWDER (60 MESH)</t>
  </si>
  <si>
    <t>000481</t>
  </si>
  <si>
    <t xml:space="preserve">AMMONIUM BICARBONATE          </t>
  </si>
  <si>
    <t>000494</t>
  </si>
  <si>
    <t>SORBITOL (70% SOLUTION) NON-CR</t>
  </si>
  <si>
    <t>000502</t>
  </si>
  <si>
    <t xml:space="preserve">AMMONIUM CHLORIDE             </t>
  </si>
  <si>
    <t>000609</t>
  </si>
  <si>
    <t xml:space="preserve">ANISE OIL                     </t>
  </si>
  <si>
    <t>000667</t>
  </si>
  <si>
    <t xml:space="preserve">GRAMICIDIN                    </t>
  </si>
  <si>
    <t>000713</t>
  </si>
  <si>
    <t xml:space="preserve">ASCORBIC ACID (ROCHE)         </t>
  </si>
  <si>
    <t>000816</t>
  </si>
  <si>
    <t xml:space="preserve">OPADRY OY-29020 CLEAR         </t>
  </si>
  <si>
    <t>000861</t>
  </si>
  <si>
    <t xml:space="preserve">CITRONOVA 5005 ORANGE         </t>
  </si>
  <si>
    <t>000867</t>
  </si>
  <si>
    <t xml:space="preserve">POVIDONE K29-32               </t>
  </si>
  <si>
    <t>000916</t>
  </si>
  <si>
    <t xml:space="preserve">MALTODEXTRIN (M-100)          </t>
  </si>
  <si>
    <t>HGC SIZE 0 FE.C. SCARLET OP. C</t>
  </si>
  <si>
    <t>001270</t>
  </si>
  <si>
    <t xml:space="preserve">METHADONE HYDROCHLORIDE       </t>
  </si>
  <si>
    <t>001271</t>
  </si>
  <si>
    <t xml:space="preserve">FLAVOUR 503.978/A             </t>
  </si>
  <si>
    <t>001290</t>
  </si>
  <si>
    <t xml:space="preserve">CARAMEL USNF                  </t>
  </si>
  <si>
    <t>001332</t>
  </si>
  <si>
    <t>CHERRY FLAVOUR IMITATION 50001</t>
  </si>
  <si>
    <t>001333</t>
  </si>
  <si>
    <t xml:space="preserve">SODIUM CARMELLOSE (300-700)   </t>
  </si>
  <si>
    <t>001334</t>
  </si>
  <si>
    <t xml:space="preserve">CELLULOSE DISPERSIBLE         </t>
  </si>
  <si>
    <t>001444</t>
  </si>
  <si>
    <t xml:space="preserve">PHOSPHORIC ACID 85%           </t>
  </si>
  <si>
    <t>001754</t>
  </si>
  <si>
    <t xml:space="preserve">X GERMABEN IIE                </t>
  </si>
  <si>
    <t>001886</t>
  </si>
  <si>
    <t xml:space="preserve">HYDROXYPROPYLMETHYLCELLULOSE  </t>
  </si>
  <si>
    <t>002073</t>
  </si>
  <si>
    <t xml:space="preserve">CARNAUBA WAX (103)            </t>
  </si>
  <si>
    <t>002512</t>
  </si>
  <si>
    <t xml:space="preserve">MICROSIL 211B (ACR 75)        </t>
  </si>
  <si>
    <t>002516</t>
  </si>
  <si>
    <t xml:space="preserve">GROWERS SHED CLEAN            </t>
  </si>
  <si>
    <t>002539</t>
  </si>
  <si>
    <t xml:space="preserve">FILTER LAGR04TP6              </t>
  </si>
  <si>
    <t>002545</t>
  </si>
  <si>
    <t xml:space="preserve">FILTER R1F050 5MICRON PALL    </t>
  </si>
  <si>
    <t>002548</t>
  </si>
  <si>
    <t xml:space="preserve">FILTER RIF1200 120MICRON PALL </t>
  </si>
  <si>
    <t>002628</t>
  </si>
  <si>
    <t xml:space="preserve">WHITE DEXTRIN JB13N           </t>
  </si>
  <si>
    <t xml:space="preserve">WHEAT STARCH BP               </t>
  </si>
  <si>
    <t>002744</t>
  </si>
  <si>
    <t xml:space="preserve">ISOPROPYL PALMITATE           </t>
  </si>
  <si>
    <t>002745</t>
  </si>
  <si>
    <t xml:space="preserve">SODIUM CALCIUM EDETATE        </t>
  </si>
  <si>
    <t>002746</t>
  </si>
  <si>
    <t xml:space="preserve">PROMULGEN D                   </t>
  </si>
  <si>
    <t>002747</t>
  </si>
  <si>
    <t xml:space="preserve">GLYCERYL STEARATE             </t>
  </si>
  <si>
    <t>002748</t>
  </si>
  <si>
    <t xml:space="preserve">AVOCADO OIL                   </t>
  </si>
  <si>
    <t>002749</t>
  </si>
  <si>
    <t>D-ALPHA TOCOPHERYL ACETATE 81%</t>
  </si>
  <si>
    <t>002750</t>
  </si>
  <si>
    <t xml:space="preserve">RETINYL PALMITATE 1MIU/G      </t>
  </si>
  <si>
    <t>002751</t>
  </si>
  <si>
    <t xml:space="preserve">PHENONIP                      </t>
  </si>
  <si>
    <t>002752</t>
  </si>
  <si>
    <t xml:space="preserve">D-PANTHENOL 50%               </t>
  </si>
  <si>
    <t>002782</t>
  </si>
  <si>
    <t xml:space="preserve">LACTIC ACID                   </t>
  </si>
  <si>
    <t>003081</t>
  </si>
  <si>
    <t xml:space="preserve">BENZHEXOL HYDROCHLORIDE       </t>
  </si>
  <si>
    <t>003082</t>
  </si>
  <si>
    <t>CALCIUM HYDROGEN PHOSPHATE (DI</t>
  </si>
  <si>
    <t>003083</t>
  </si>
  <si>
    <t xml:space="preserve">LORAZEPAM BP                  </t>
  </si>
  <si>
    <t xml:space="preserve">POLACRILIN POTASSIUM NF       </t>
  </si>
  <si>
    <t xml:space="preserve">FD&amp;C BLUE NO 2 LAKE           </t>
  </si>
  <si>
    <t>003086</t>
  </si>
  <si>
    <t>LACTOSE MONOHYDRATE SPECIAL DE</t>
  </si>
  <si>
    <t xml:space="preserve">QUINOLINE YELLOW LAKE 15%     </t>
  </si>
  <si>
    <t>003089</t>
  </si>
  <si>
    <t>ISOSORBIDE DINITRATE - DILUTED</t>
  </si>
  <si>
    <t>003092</t>
  </si>
  <si>
    <t xml:space="preserve">SUNSET YELLOW LAKE 22%        </t>
  </si>
  <si>
    <t>003094</t>
  </si>
  <si>
    <t xml:space="preserve">STEARIC ACID BP               </t>
  </si>
  <si>
    <t xml:space="preserve">NYSTATIN                      </t>
  </si>
  <si>
    <t>003171</t>
  </si>
  <si>
    <t xml:space="preserve">PLASTIBASE 50W                </t>
  </si>
  <si>
    <t>003255</t>
  </si>
  <si>
    <t>TEMAZEPAM (CAMBREX PROFARMACO)</t>
  </si>
  <si>
    <t>003256</t>
  </si>
  <si>
    <t xml:space="preserve">ACETAZOLAMIDE                 </t>
  </si>
  <si>
    <t>003257</t>
  </si>
  <si>
    <t>CALCIUM HYDROGEN PHOSPHATE (US</t>
  </si>
  <si>
    <t>003403</t>
  </si>
  <si>
    <t>BETAMETHASONE-17-VALERATE (MIC</t>
  </si>
  <si>
    <t>003509</t>
  </si>
  <si>
    <t xml:space="preserve">INDIGO CARMINE DYE E132       </t>
  </si>
  <si>
    <t>003536</t>
  </si>
  <si>
    <t xml:space="preserve">TRIMETHOPRIM                  </t>
  </si>
  <si>
    <t>003537</t>
  </si>
  <si>
    <t xml:space="preserve">SULPHAMETHOXAZOLE             </t>
  </si>
  <si>
    <t>003660</t>
  </si>
  <si>
    <t xml:space="preserve">LABETALOL HYDROCHLORIDE       </t>
  </si>
  <si>
    <t>003661</t>
  </si>
  <si>
    <t xml:space="preserve">OPASPRAY ORANGE M-1-3499D     </t>
  </si>
  <si>
    <t>003734</t>
  </si>
  <si>
    <t xml:space="preserve">DEXTRIN MJB13NZ               </t>
  </si>
  <si>
    <t>003760</t>
  </si>
  <si>
    <t>FLAVOUR SPICE (IFF 17.40.1831)</t>
  </si>
  <si>
    <t>003761</t>
  </si>
  <si>
    <t xml:space="preserve">PIGMENT GREEN PB-21048        </t>
  </si>
  <si>
    <t>003864</t>
  </si>
  <si>
    <t xml:space="preserve">STEARIC ACID                  </t>
  </si>
  <si>
    <t>003866</t>
  </si>
  <si>
    <t xml:space="preserve">X OCTYL METHOXYCINNAMATE      </t>
  </si>
  <si>
    <t>003884</t>
  </si>
  <si>
    <t xml:space="preserve">NIPASEPT                      </t>
  </si>
  <si>
    <t>004094</t>
  </si>
  <si>
    <t xml:space="preserve">CODEINE PHOSPHATE (AVENTIS)   </t>
  </si>
  <si>
    <t xml:space="preserve">GLICLAZIDE                    </t>
  </si>
  <si>
    <t>MAGNESIUM STEARATE (VEGETABLE)</t>
  </si>
  <si>
    <t xml:space="preserve">OPADRY WHITE 85F28751         </t>
  </si>
  <si>
    <t>RED IRON OXIDE (17018 CI 77491</t>
  </si>
  <si>
    <t xml:space="preserve">ORANGE FLAVOUR (17-2488)      </t>
  </si>
  <si>
    <t xml:space="preserve">CARBIMAZOLE                   </t>
  </si>
  <si>
    <t xml:space="preserve">DIAZEPAM                      </t>
  </si>
  <si>
    <t xml:space="preserve">ANHYDROUS CALCIUM H PHOSPHATE </t>
  </si>
  <si>
    <t xml:space="preserve">DISPERSED RED (PONCEAU 4R)    </t>
  </si>
  <si>
    <t xml:space="preserve">GREEN S (E142)                </t>
  </si>
  <si>
    <t xml:space="preserve">QUINOLINE YELLOW D&amp;C10 K7059  </t>
  </si>
  <si>
    <t xml:space="preserve">DEXTROSE ANHYDROUS            </t>
  </si>
  <si>
    <t xml:space="preserve">BETA-CAROTENE 1% CWS          </t>
  </si>
  <si>
    <t xml:space="preserve">RASPBERRY FLAVOUR BR13150     </t>
  </si>
  <si>
    <t xml:space="preserve">FLAVOUR ORANGE 59757 TP0551   </t>
  </si>
  <si>
    <t xml:space="preserve">POTASSIUM CITRATE MONOHYDRATE </t>
  </si>
  <si>
    <t xml:space="preserve">HALOPERIDOL BP (RPG)          </t>
  </si>
  <si>
    <t xml:space="preserve">MANNITOL BP                   </t>
  </si>
  <si>
    <t xml:space="preserve">PROPANTHELINE BROMIDE BP      </t>
  </si>
  <si>
    <t xml:space="preserve">COSMETIC RED NO. 6205         </t>
  </si>
  <si>
    <t xml:space="preserve">COSMETIC OCHRE NO. 1624       </t>
  </si>
  <si>
    <t xml:space="preserve">ALPRAZOLAM                    </t>
  </si>
  <si>
    <t xml:space="preserve">PURPLE PB20026 PIGMENT BLEND  </t>
  </si>
  <si>
    <t xml:space="preserve">SILICA GEL CANISTER 1GRM      </t>
  </si>
  <si>
    <t xml:space="preserve">MINOCYCLINE HYDROCHLORIDE BP  </t>
  </si>
  <si>
    <t xml:space="preserve">SORBITOL BP (60 MESH)         </t>
  </si>
  <si>
    <t xml:space="preserve">OPADRY ORANGE YS-1R-2402      </t>
  </si>
  <si>
    <t xml:space="preserve">METHYLCELLULOSE EP            </t>
  </si>
  <si>
    <t xml:space="preserve">OXAZEPAM USP                  </t>
  </si>
  <si>
    <t>005166</t>
  </si>
  <si>
    <t xml:space="preserve">MAGNESIUM STEARATE BP (VEG)   </t>
  </si>
  <si>
    <t>005186</t>
  </si>
  <si>
    <t xml:space="preserve">ACACIA                        </t>
  </si>
  <si>
    <t xml:space="preserve">ETHANOL DENATURED 100SGF3     </t>
  </si>
  <si>
    <t>005214</t>
  </si>
  <si>
    <t xml:space="preserve">X TRIAMCINOLONE ACETONIDE     </t>
  </si>
  <si>
    <t>005215</t>
  </si>
  <si>
    <t>BENTONITE (PURIFIED) VEEGUM HS</t>
  </si>
  <si>
    <t>005216</t>
  </si>
  <si>
    <t xml:space="preserve">CHERRY FLAVOUR ARTIF. F1242   </t>
  </si>
  <si>
    <t>005221</t>
  </si>
  <si>
    <t>SOFT WHITE PARAFFIN (MERKUR 77</t>
  </si>
  <si>
    <t xml:space="preserve">ALLOPURINOL                   </t>
  </si>
  <si>
    <t>HGC SIZE 2 PURPLE CAP ORANGE B</t>
  </si>
  <si>
    <t>005541</t>
  </si>
  <si>
    <t xml:space="preserve">FRUSEMIDE (LASIX SUBSTANCE)   </t>
  </si>
  <si>
    <t>005543</t>
  </si>
  <si>
    <t xml:space="preserve">BUTYLATED HYDROXYTOLUENE BP   </t>
  </si>
  <si>
    <t>005544</t>
  </si>
  <si>
    <t xml:space="preserve">NITROGEN (HIGH PURITY)        </t>
  </si>
  <si>
    <t xml:space="preserve">ALGINIC ACID H/FD KEL         </t>
  </si>
  <si>
    <t xml:space="preserve">MAGALDRATE POWDER USP         </t>
  </si>
  <si>
    <t xml:space="preserve">SODIUM BICARBONATE BP         </t>
  </si>
  <si>
    <t>005699</t>
  </si>
  <si>
    <t xml:space="preserve">LACTOSE 100 MESH BP (PFIZER)  </t>
  </si>
  <si>
    <t>005700</t>
  </si>
  <si>
    <t xml:space="preserve">MANNITOL BP (PFIZER)          </t>
  </si>
  <si>
    <t>005701</t>
  </si>
  <si>
    <t xml:space="preserve">COLLOIDAL ANH SILICA (PFIZER) </t>
  </si>
  <si>
    <t xml:space="preserve">TALC PURIFIED BP              </t>
  </si>
  <si>
    <t xml:space="preserve">SACCHARIN SODIUM BP           </t>
  </si>
  <si>
    <t xml:space="preserve">SPEARMINT 610032A             </t>
  </si>
  <si>
    <t xml:space="preserve">CELLULOSE MICRO PH101         </t>
  </si>
  <si>
    <t xml:space="preserve">MAGNESIUM STEARATE            </t>
  </si>
  <si>
    <t xml:space="preserve">NORFLOXACIN                   </t>
  </si>
  <si>
    <t>CELLULOSE MICRYS PH101 (ARROW)</t>
  </si>
  <si>
    <t xml:space="preserve">CIPROFLOXACIN HYDROCHLORIDE   </t>
  </si>
  <si>
    <t>005881</t>
  </si>
  <si>
    <t xml:space="preserve">CALCIUM CARBONATE (STURCAL L) </t>
  </si>
  <si>
    <t xml:space="preserve">HGC SIZE 2 BUFF CAP BUFF BODY </t>
  </si>
  <si>
    <t xml:space="preserve">BACLOFEN                      </t>
  </si>
  <si>
    <t xml:space="preserve">CARMELLOSE SODIUM (7HF)       </t>
  </si>
  <si>
    <t xml:space="preserve">OPADRY YELLOW OY-2144A        </t>
  </si>
  <si>
    <t>006006</t>
  </si>
  <si>
    <t xml:space="preserve">OPADRY YS-1R-3112 L-GREEN     </t>
  </si>
  <si>
    <t>006008</t>
  </si>
  <si>
    <t>OPADRY YS-3R-7011 CLEAR(INOVA)</t>
  </si>
  <si>
    <t xml:space="preserve">CITALOPRAM HYDROBROMIDE       </t>
  </si>
  <si>
    <t xml:space="preserve">OPADRY WHITE OY-LS-28908      </t>
  </si>
  <si>
    <t>CELLULOSE MICRYS PH112 (ARROW)</t>
  </si>
  <si>
    <t xml:space="preserve">OPADRY AMB OY-B-28920 WHITE   </t>
  </si>
  <si>
    <t>006214</t>
  </si>
  <si>
    <t xml:space="preserve">ACRYLEZE 93O18359 WHITE       </t>
  </si>
  <si>
    <t>006215</t>
  </si>
  <si>
    <t xml:space="preserve">OPADRY II 85F63085 ORANGE     </t>
  </si>
  <si>
    <t xml:space="preserve">FAMOTIDINE                    </t>
  </si>
  <si>
    <t xml:space="preserve">OPADRY BROWN 03B56615         </t>
  </si>
  <si>
    <t xml:space="preserve">OPADRY BROWN 03B56611         </t>
  </si>
  <si>
    <t>006487</t>
  </si>
  <si>
    <t xml:space="preserve">OPADRY BLUE AQUEOUS 02F60961  </t>
  </si>
  <si>
    <t>006542</t>
  </si>
  <si>
    <t xml:space="preserve">CITRUS MINT FLAVOUR (DF0382)  </t>
  </si>
  <si>
    <t>006594</t>
  </si>
  <si>
    <t xml:space="preserve">X CHOLINE SALICYLATE 80%      </t>
  </si>
  <si>
    <t>006596</t>
  </si>
  <si>
    <t xml:space="preserve">MENTHOL LIQUID                </t>
  </si>
  <si>
    <t>006600</t>
  </si>
  <si>
    <t xml:space="preserve">PINE OIL                      </t>
  </si>
  <si>
    <t>006601</t>
  </si>
  <si>
    <t xml:space="preserve">PEPPERMINT OIL BBM 167        </t>
  </si>
  <si>
    <t>006602</t>
  </si>
  <si>
    <t xml:space="preserve">CAJEPUT OIL                   </t>
  </si>
  <si>
    <t>006603</t>
  </si>
  <si>
    <t xml:space="preserve">CAPSICUM OLEORESIN            </t>
  </si>
  <si>
    <t>006606</t>
  </si>
  <si>
    <t>TRIETHANOLAMINE SALICYLATE 90%</t>
  </si>
  <si>
    <t>006798</t>
  </si>
  <si>
    <t>MICROCRYSTALLINE CELLULOSE (M1</t>
  </si>
  <si>
    <t>DEXTROPROPOXYPHENE HYDROCHLORI</t>
  </si>
  <si>
    <t xml:space="preserve">OPADRY OY-LS-58900 WHITE      </t>
  </si>
  <si>
    <t>IBUPROFEN BP 40UM (IAT)(HERRON</t>
  </si>
  <si>
    <t xml:space="preserve">MAIZE STARCH (SAD) (HERRON)   </t>
  </si>
  <si>
    <t xml:space="preserve">CARBOMER 934P                 </t>
  </si>
  <si>
    <t xml:space="preserve">PARACETAMOL (COMPAP L)        </t>
  </si>
  <si>
    <t>007434</t>
  </si>
  <si>
    <t xml:space="preserve">MILK THISTLE 70:1 (80-88%)    </t>
  </si>
  <si>
    <t>007481</t>
  </si>
  <si>
    <t xml:space="preserve">CAMPHOR                       </t>
  </si>
  <si>
    <t>007492</t>
  </si>
  <si>
    <t xml:space="preserve">PARACETAMOL 90% DC 20 MESH    </t>
  </si>
  <si>
    <t>007494</t>
  </si>
  <si>
    <t xml:space="preserve">EASI ADVANTAGE 15L            </t>
  </si>
  <si>
    <t xml:space="preserve">OPADRY II YELLOW 85F52880     </t>
  </si>
  <si>
    <t>007577</t>
  </si>
  <si>
    <t xml:space="preserve">RIBOFLAVINE SODIUM PHOSPHATE  </t>
  </si>
  <si>
    <t>007694</t>
  </si>
  <si>
    <t xml:space="preserve">CETYLPYRIDINIUM CHLORIDE      </t>
  </si>
  <si>
    <t>HGC SIZE 0 OP GREEN CAP OP YEL</t>
  </si>
  <si>
    <t>007731</t>
  </si>
  <si>
    <t xml:space="preserve">ACICLOVIR (MICRONISED)        </t>
  </si>
  <si>
    <t>007732</t>
  </si>
  <si>
    <t xml:space="preserve">ARLATONE 983 S                </t>
  </si>
  <si>
    <t xml:space="preserve">LISINOPRIL DIHYDRATE          </t>
  </si>
  <si>
    <t>007948</t>
  </si>
  <si>
    <t xml:space="preserve">LUTROL F68                    </t>
  </si>
  <si>
    <t>007949</t>
  </si>
  <si>
    <t>COLLOIDAL SILICON DIOXIDE (UNC</t>
  </si>
  <si>
    <t xml:space="preserve">RANITIDINE HYDROCHLORIDE      </t>
  </si>
  <si>
    <t>CELLULOSE-MICROCRYSTALLINE 200</t>
  </si>
  <si>
    <t>008255</t>
  </si>
  <si>
    <t xml:space="preserve">POLYSORBATE 80 (BP)           </t>
  </si>
  <si>
    <t>008321</t>
  </si>
  <si>
    <t xml:space="preserve">BACOPA MONNIERI 20:1 EXT      </t>
  </si>
  <si>
    <t>008353</t>
  </si>
  <si>
    <t xml:space="preserve">OPADRY AMB YELLOW 80W62695    </t>
  </si>
  <si>
    <t>008393</t>
  </si>
  <si>
    <t xml:space="preserve">SACCHARIN SODIUM (BP)         </t>
  </si>
  <si>
    <t xml:space="preserve">OPADRY II PINK 85G64898       </t>
  </si>
  <si>
    <t xml:space="preserve">OPADRY II ORANGE 85G63181     </t>
  </si>
  <si>
    <t>ALENDRONATE SODIUM MONOHYDRATE</t>
  </si>
  <si>
    <t>008540</t>
  </si>
  <si>
    <t xml:space="preserve">FILTER R1F150 15 MICRON PALL  </t>
  </si>
  <si>
    <t>008624</t>
  </si>
  <si>
    <t xml:space="preserve">ACRYLEZE 93O18509 WHITE       </t>
  </si>
  <si>
    <t>008631</t>
  </si>
  <si>
    <t xml:space="preserve">SODIUM BENZOATE (FINE POWDER) </t>
  </si>
  <si>
    <t>008633</t>
  </si>
  <si>
    <t xml:space="preserve">OPADRY 03K19229 CLEAR         </t>
  </si>
  <si>
    <t>008635</t>
  </si>
  <si>
    <t>ORANGE FLAVOUR 987431 TETRAROM</t>
  </si>
  <si>
    <t xml:space="preserve">OPADRY II WHITE YS-22-18096   </t>
  </si>
  <si>
    <t xml:space="preserve">METFORMIN HCL                 </t>
  </si>
  <si>
    <t>008766</t>
  </si>
  <si>
    <t xml:space="preserve">HORSERADISH ROOT EXT 5:1      </t>
  </si>
  <si>
    <t xml:space="preserve">SODIUM VALPROATE              </t>
  </si>
  <si>
    <t xml:space="preserve">OPADRY PURPLE 85F60017        </t>
  </si>
  <si>
    <t>X CHONDROITIN SULFATE 95%(BOV)</t>
  </si>
  <si>
    <t>GELATIN CAPS SIZE 0 WHITE OPAQ</t>
  </si>
  <si>
    <t>008960</t>
  </si>
  <si>
    <t xml:space="preserve">THYROXINE SODIUM (PEPTIDO)    </t>
  </si>
  <si>
    <t>008975</t>
  </si>
  <si>
    <t xml:space="preserve">ADDITIVE 5191-4               </t>
  </si>
  <si>
    <t>008976</t>
  </si>
  <si>
    <t xml:space="preserve">ADDITIVE 5135-4 E             </t>
  </si>
  <si>
    <t>008996</t>
  </si>
  <si>
    <t xml:space="preserve">PHENYLEPHRINE HYDROCHLORIDE   </t>
  </si>
  <si>
    <t>009026</t>
  </si>
  <si>
    <t>MICROCRYSTALLINE CELLULOSE SIL</t>
  </si>
  <si>
    <t>009292</t>
  </si>
  <si>
    <t xml:space="preserve">OUTER 285X285X345MM           </t>
  </si>
  <si>
    <t xml:space="preserve">ATENOLOL                      </t>
  </si>
  <si>
    <t xml:space="preserve">ETHYLCELLULOSE 10 CPS         </t>
  </si>
  <si>
    <t>009519</t>
  </si>
  <si>
    <t xml:space="preserve">IBUPROFEN BP 50UM             </t>
  </si>
  <si>
    <t xml:space="preserve">GLIMEPIRIDE (MICRONISED)      </t>
  </si>
  <si>
    <t>009564</t>
  </si>
  <si>
    <t>PARACETAMOL (RHODAPAP DC-90 UL</t>
  </si>
  <si>
    <t>009583</t>
  </si>
  <si>
    <t xml:space="preserve">ROXITHROMYCIN                 </t>
  </si>
  <si>
    <t>009584</t>
  </si>
  <si>
    <t xml:space="preserve">HYDROXYPROPYL CELLULOSE LOW   </t>
  </si>
  <si>
    <t>009586</t>
  </si>
  <si>
    <t xml:space="preserve">LIME FLAVOUR NI NO.1 DF1167   </t>
  </si>
  <si>
    <t xml:space="preserve">ORANGE TRUSIL 17-1063         </t>
  </si>
  <si>
    <t>009620</t>
  </si>
  <si>
    <t xml:space="preserve">AMMONIUM GLYCYRRHIZINATE      </t>
  </si>
  <si>
    <t xml:space="preserve">OPADRY YELLOW 03M62699        </t>
  </si>
  <si>
    <t>009656</t>
  </si>
  <si>
    <t xml:space="preserve">RESPATONA SINUS RELIEF SOLN   </t>
  </si>
  <si>
    <t>009668</t>
  </si>
  <si>
    <t xml:space="preserve">RESPATONA HEAD COLD SOLUTION  </t>
  </si>
  <si>
    <t>YELLOW IRON OXIDE CI77492USPNF</t>
  </si>
  <si>
    <t>009705</t>
  </si>
  <si>
    <t xml:space="preserve">ECO STAR ULTRA DETERGENT NP   </t>
  </si>
  <si>
    <t xml:space="preserve">GLUCOSAMINE HCL DC            </t>
  </si>
  <si>
    <t>009745</t>
  </si>
  <si>
    <t>LAY FLAT LDPE FOOD GRADE 255MM</t>
  </si>
  <si>
    <t xml:space="preserve">METFORMIN HCL + MAG STEARATE  </t>
  </si>
  <si>
    <t>010073</t>
  </si>
  <si>
    <t xml:space="preserve">WHITE BEESWAX                 </t>
  </si>
  <si>
    <t>010092</t>
  </si>
  <si>
    <t xml:space="preserve">LACTOSE ANHYDROUS DCL22       </t>
  </si>
  <si>
    <t>010129</t>
  </si>
  <si>
    <t>BENZALKONIUM CHLORIDE SOLUTION</t>
  </si>
  <si>
    <t>010149</t>
  </si>
  <si>
    <t xml:space="preserve">KELP (FUCUS VESICULOSUS) 5:1  </t>
  </si>
  <si>
    <t>010153</t>
  </si>
  <si>
    <t xml:space="preserve">BENZOCAINE                    </t>
  </si>
  <si>
    <t>SODIUM BICARBONATE (MEDIUM GRA</t>
  </si>
  <si>
    <t>010161</t>
  </si>
  <si>
    <t xml:space="preserve">BENZOIC ACID                  </t>
  </si>
  <si>
    <t xml:space="preserve">LEMON FLAVOUR OIL 476160      </t>
  </si>
  <si>
    <t>010181</t>
  </si>
  <si>
    <t xml:space="preserve">CODEINE PHOSPHATE             </t>
  </si>
  <si>
    <t xml:space="preserve">CLARITHROMYCIN                </t>
  </si>
  <si>
    <t xml:space="preserve">PAROXETINE HCL ANHYDROUS      </t>
  </si>
  <si>
    <t xml:space="preserve">EUDRAGIT E 100                </t>
  </si>
  <si>
    <t>010324</t>
  </si>
  <si>
    <t xml:space="preserve">OPADRY AMB PINK 8OW14462      </t>
  </si>
  <si>
    <t xml:space="preserve">OPADRY II 4OL22445 YELLOW     </t>
  </si>
  <si>
    <t>010372</t>
  </si>
  <si>
    <t xml:space="preserve">BRILLIANT BLUE FCF            </t>
  </si>
  <si>
    <t>010452</t>
  </si>
  <si>
    <t xml:space="preserve">BUTYLATED HYDROXYANISOLE      </t>
  </si>
  <si>
    <t xml:space="preserve">ENALAPRIL MALEATE             </t>
  </si>
  <si>
    <t>010736</t>
  </si>
  <si>
    <t xml:space="preserve">OPADRY II 85F19250 CLEAR      </t>
  </si>
  <si>
    <t>010823</t>
  </si>
  <si>
    <t xml:space="preserve">CHLORPHENIRAMINE MALEATE      </t>
  </si>
  <si>
    <t>010831</t>
  </si>
  <si>
    <t xml:space="preserve">DEXTROMETHORPHAN HYDROBROMIDE </t>
  </si>
  <si>
    <t>010888</t>
  </si>
  <si>
    <t xml:space="preserve">TALC USP/BP/EP                </t>
  </si>
  <si>
    <t>010939</t>
  </si>
  <si>
    <t xml:space="preserve">OPADRY WHITE 20A28671         </t>
  </si>
  <si>
    <t xml:space="preserve">SEPIFILM LP761                </t>
  </si>
  <si>
    <t xml:space="preserve">OPADRY 31F60868 BLUE          </t>
  </si>
  <si>
    <t>010977</t>
  </si>
  <si>
    <t xml:space="preserve">CETIRIZINE DIHYDROCHLORIDE    </t>
  </si>
  <si>
    <t>010982</t>
  </si>
  <si>
    <t xml:space="preserve">BROMHEXINE HYDROCHLORIDE      </t>
  </si>
  <si>
    <t xml:space="preserve">CALCIUM PHOSPHATE (GRANULAR)  </t>
  </si>
  <si>
    <t>011187</t>
  </si>
  <si>
    <t xml:space="preserve">FILTER R1F400 40 MICRON PALL  </t>
  </si>
  <si>
    <t>011341</t>
  </si>
  <si>
    <t xml:space="preserve">SUNSET YELLOW (FD&amp;C YELLOW NO </t>
  </si>
  <si>
    <t>D-GLUCOSAMINE HCL 95% DC(AOX.)</t>
  </si>
  <si>
    <t>011366</t>
  </si>
  <si>
    <t xml:space="preserve">GASTROCLEAN                   </t>
  </si>
  <si>
    <t>011368</t>
  </si>
  <si>
    <t xml:space="preserve">FISH OIL 1000MG SGEL (SPHERE) </t>
  </si>
  <si>
    <t>011404</t>
  </si>
  <si>
    <t xml:space="preserve">ASPARTAME (POWDER)            </t>
  </si>
  <si>
    <t xml:space="preserve">CHONDROITIN SULFATE 90% (BOV) </t>
  </si>
  <si>
    <t>011514</t>
  </si>
  <si>
    <t>LABETALOL HYDROCHLORIDE(PROCOS</t>
  </si>
  <si>
    <t>011538</t>
  </si>
  <si>
    <t xml:space="preserve">EASI ADVANTAGE 205L           </t>
  </si>
  <si>
    <t>011547</t>
  </si>
  <si>
    <t xml:space="preserve">RAYON WOOL (13G/M)            </t>
  </si>
  <si>
    <t xml:space="preserve">TRANDOLAPRIL                  </t>
  </si>
  <si>
    <t xml:space="preserve">SODIUM STEARYL FUMARATE       </t>
  </si>
  <si>
    <t>CAPSULE #4 (WHITE OPAQUE TN/5)</t>
  </si>
  <si>
    <t>CAPSULE #4(SCARLET/PEACH TN/1)</t>
  </si>
  <si>
    <t>CAPSULE #4(SCARLET OPAQUE TN/2</t>
  </si>
  <si>
    <t xml:space="preserve">CAPSULE #4 (WHITE OPAQUE)     </t>
  </si>
  <si>
    <t xml:space="preserve">GLUCOSAMINE HCL-60# (NCH)     </t>
  </si>
  <si>
    <t>011817</t>
  </si>
  <si>
    <t xml:space="preserve">FD &amp; C BLUE NO.1              </t>
  </si>
  <si>
    <t>011818</t>
  </si>
  <si>
    <t xml:space="preserve">SORBITOL 70% SOLN (70/07M)    </t>
  </si>
  <si>
    <t>011819</t>
  </si>
  <si>
    <t xml:space="preserve">ETHANOL 95% (BG)              </t>
  </si>
  <si>
    <t>011820</t>
  </si>
  <si>
    <t xml:space="preserve">MENTHOL                       </t>
  </si>
  <si>
    <t>011821</t>
  </si>
  <si>
    <t xml:space="preserve">BENZALDEHYDE NF               </t>
  </si>
  <si>
    <t>011822</t>
  </si>
  <si>
    <t xml:space="preserve">PEACH AROME FLAVOUR X91202    </t>
  </si>
  <si>
    <t>011823</t>
  </si>
  <si>
    <t>PHENYLEPHRINE HYDROCHLORIDE (M</t>
  </si>
  <si>
    <t>011865</t>
  </si>
  <si>
    <t xml:space="preserve">PSEUDOEPHEDRINE SULPHATE      </t>
  </si>
  <si>
    <t>011866</t>
  </si>
  <si>
    <t xml:space="preserve">MAIZE (CORN) STARCH           </t>
  </si>
  <si>
    <t>011867</t>
  </si>
  <si>
    <t xml:space="preserve">ECHINACEA PURPUREA EXT. 45:1  </t>
  </si>
  <si>
    <t xml:space="preserve">CABERGOLINE                   </t>
  </si>
  <si>
    <t xml:space="preserve">L-LEUCINE                     </t>
  </si>
  <si>
    <t>011893</t>
  </si>
  <si>
    <t xml:space="preserve">MAGNESIUM STEARATE (2255)     </t>
  </si>
  <si>
    <t>011933</t>
  </si>
  <si>
    <t xml:space="preserve">GELATIN SHELL PINK PF300      </t>
  </si>
  <si>
    <t>011946</t>
  </si>
  <si>
    <t xml:space="preserve">OPADRY YELLOW 03K62457        </t>
  </si>
  <si>
    <t>011996</t>
  </si>
  <si>
    <t xml:space="preserve">CALCIUM ASCORBATE 97% DC      </t>
  </si>
  <si>
    <t>012076</t>
  </si>
  <si>
    <t>SODIUM BICARBONATE (STANDARD G</t>
  </si>
  <si>
    <t>012077</t>
  </si>
  <si>
    <t xml:space="preserve">CITRIC ACID ANHYD (FINE)      </t>
  </si>
  <si>
    <t>012078</t>
  </si>
  <si>
    <t xml:space="preserve">TARTARIC ACID                 </t>
  </si>
  <si>
    <t>012080</t>
  </si>
  <si>
    <t xml:space="preserve">SACCHARIN SODIUM (100 MESH)   </t>
  </si>
  <si>
    <t>012092</t>
  </si>
  <si>
    <t xml:space="preserve">CHONDROITIN SULPHATE (BP)     </t>
  </si>
  <si>
    <t>012135</t>
  </si>
  <si>
    <t xml:space="preserve">OPADRY II GREEN 85G61407      </t>
  </si>
  <si>
    <t>012192</t>
  </si>
  <si>
    <t xml:space="preserve">PALLECON LINER (LIQ)          </t>
  </si>
  <si>
    <t>012369</t>
  </si>
  <si>
    <t xml:space="preserve">GLUCOSAMINE HCL-60# (FS)      </t>
  </si>
  <si>
    <t xml:space="preserve">GABAPENTIN                    </t>
  </si>
  <si>
    <t xml:space="preserve">CAPSULE #3 (WHITE OPAQUE)     </t>
  </si>
  <si>
    <t xml:space="preserve">CAPSULE #0 (ORANGE OPAQUE)    </t>
  </si>
  <si>
    <t>012400</t>
  </si>
  <si>
    <t xml:space="preserve">GINKGO BILOBA EXT. 50:1       </t>
  </si>
  <si>
    <t>012468</t>
  </si>
  <si>
    <t xml:space="preserve">100% D-GLUCOSAMINE HCL (AOX)  </t>
  </si>
  <si>
    <t>012655</t>
  </si>
  <si>
    <t>AMARANTH LAKE 20-25% (FD&amp;C RED</t>
  </si>
  <si>
    <t>012656</t>
  </si>
  <si>
    <t xml:space="preserve">WARFARIN SODIUM               </t>
  </si>
  <si>
    <t>012658</t>
  </si>
  <si>
    <t xml:space="preserve">STEARIC ACID POWDER           </t>
  </si>
  <si>
    <t>012659</t>
  </si>
  <si>
    <t>BRILLIANT BLUE LAKE 11-14% (FD</t>
  </si>
  <si>
    <t>012660</t>
  </si>
  <si>
    <t xml:space="preserve">LACTOSE (450 MESH)            </t>
  </si>
  <si>
    <t>012661</t>
  </si>
  <si>
    <t xml:space="preserve">IRON OXIDE RED (CI 77491)     </t>
  </si>
  <si>
    <t>012662</t>
  </si>
  <si>
    <t>INDIGO CARMINE LAKE 2% (FD&amp;C B</t>
  </si>
  <si>
    <t>012663</t>
  </si>
  <si>
    <t xml:space="preserve">ERYTHROSINE LAKE 5% (FD&amp;C RED </t>
  </si>
  <si>
    <t>012669</t>
  </si>
  <si>
    <t xml:space="preserve">XYLENE                        </t>
  </si>
  <si>
    <t>012672</t>
  </si>
  <si>
    <t>MICROCRYSTALLINE CELLULOSE (11</t>
  </si>
  <si>
    <t>012711</t>
  </si>
  <si>
    <t>INDIGO CARMINE LAKE 12-14% (FD</t>
  </si>
  <si>
    <t xml:space="preserve">HYPROMELLOSE K100MCR          </t>
  </si>
  <si>
    <t xml:space="preserve">HYPROMELLOSE K4MCR            </t>
  </si>
  <si>
    <t>012760</t>
  </si>
  <si>
    <t>PHENYLEPHRINE HYDROCHLORIDE (I</t>
  </si>
  <si>
    <t xml:space="preserve">ROPINIROLE HCL                </t>
  </si>
  <si>
    <t xml:space="preserve">OPADRY II YELLOW 85F62505     </t>
  </si>
  <si>
    <t xml:space="preserve">OPADRY II PINK 85F64712       </t>
  </si>
  <si>
    <t>012839</t>
  </si>
  <si>
    <t xml:space="preserve">HOSE APSH-DB-0750 SILICONE    </t>
  </si>
  <si>
    <t xml:space="preserve">CAPSULE #0 (YELLOW OPAQUE)    </t>
  </si>
  <si>
    <t>012915</t>
  </si>
  <si>
    <t xml:space="preserve">GLUCOSE MODIFIED DC           </t>
  </si>
  <si>
    <t>012953</t>
  </si>
  <si>
    <t>CRANBERRY POWDER (NUTRICRAN 90</t>
  </si>
  <si>
    <t>012977</t>
  </si>
  <si>
    <t xml:space="preserve">ERYTHROSINE CI45430           </t>
  </si>
  <si>
    <t>012978</t>
  </si>
  <si>
    <t xml:space="preserve">GLYCERYL MONOSTEARATE (SE)    </t>
  </si>
  <si>
    <t>012985</t>
  </si>
  <si>
    <t xml:space="preserve">GELATIN (140 BLOOM)           </t>
  </si>
  <si>
    <t>013050</t>
  </si>
  <si>
    <t xml:space="preserve">MSM POWDER (OPTI MSM)         </t>
  </si>
  <si>
    <t>013065</t>
  </si>
  <si>
    <t xml:space="preserve">OPADRY II GREEN 85G61419      </t>
  </si>
  <si>
    <t>013096</t>
  </si>
  <si>
    <t>013152</t>
  </si>
  <si>
    <t xml:space="preserve">ETHANOL (ABSOLUTE)            </t>
  </si>
  <si>
    <t>013162</t>
  </si>
  <si>
    <t xml:space="preserve">MAGNESIUM TRISILICATE         </t>
  </si>
  <si>
    <t xml:space="preserve">LIOTHYRONINE SODIUM BP        </t>
  </si>
  <si>
    <t>013245</t>
  </si>
  <si>
    <t xml:space="preserve">GARLIC BULB EXT. 12.25:1      </t>
  </si>
  <si>
    <t xml:space="preserve">CELLULOSE MICRO PROSOLV 90LM  </t>
  </si>
  <si>
    <t xml:space="preserve">ESCITALOPRAM OXALATE          </t>
  </si>
  <si>
    <t xml:space="preserve">OPADRY II 85F18378 WHITE      </t>
  </si>
  <si>
    <t>013279</t>
  </si>
  <si>
    <t xml:space="preserve">COD LIVER OIL                 </t>
  </si>
  <si>
    <t>013295</t>
  </si>
  <si>
    <t>013326</t>
  </si>
  <si>
    <t xml:space="preserve">GLUCOSAMINE HCL - 60# (HYG)   </t>
  </si>
  <si>
    <t>013371</t>
  </si>
  <si>
    <t xml:space="preserve">EMULSIFYING WAX               </t>
  </si>
  <si>
    <t xml:space="preserve">TRIETHYL CITRATE              </t>
  </si>
  <si>
    <t xml:space="preserve">EUDRAGIT L 30 D-55            </t>
  </si>
  <si>
    <t>013390</t>
  </si>
  <si>
    <t xml:space="preserve">PSEUDOEPHEDRINE HYDROCHLORIDE </t>
  </si>
  <si>
    <t>013398</t>
  </si>
  <si>
    <t xml:space="preserve">DIGOXIN                       </t>
  </si>
  <si>
    <t>013399</t>
  </si>
  <si>
    <t xml:space="preserve">DIGOXIN 10% TRITURATE         </t>
  </si>
  <si>
    <t>013521</t>
  </si>
  <si>
    <t>PEACHES N CREAM FLAVOUR FADU04</t>
  </si>
  <si>
    <t>013534</t>
  </si>
  <si>
    <t xml:space="preserve">PEACH FLAVOUR 845276          </t>
  </si>
  <si>
    <t>013535</t>
  </si>
  <si>
    <t xml:space="preserve">VANILLA FLAVOUR 845522        </t>
  </si>
  <si>
    <t>013538</t>
  </si>
  <si>
    <t xml:space="preserve">THIAMINE MONONITRATE 97% DC   </t>
  </si>
  <si>
    <t>013554</t>
  </si>
  <si>
    <t xml:space="preserve">GLUCOSAMINE HYDROCHLORIDE (60 </t>
  </si>
  <si>
    <t xml:space="preserve">TOPIRAMATE                    </t>
  </si>
  <si>
    <t>013599</t>
  </si>
  <si>
    <t xml:space="preserve">ANISEED FLAVOUR               </t>
  </si>
  <si>
    <t xml:space="preserve">OPADRY AMB 80W62680 YELLOW    </t>
  </si>
  <si>
    <t xml:space="preserve">OPADRY AMB 80W62681 YELLOW    </t>
  </si>
  <si>
    <t xml:space="preserve">OPADRY AMB 80W64830 PINK      </t>
  </si>
  <si>
    <t>013754</t>
  </si>
  <si>
    <t>CODEINE PHOSPHATE (SANOFI CHIM</t>
  </si>
  <si>
    <t>013756</t>
  </si>
  <si>
    <t xml:space="preserve">OXYCODONE HYDROCHLORIDE       </t>
  </si>
  <si>
    <t>013822</t>
  </si>
  <si>
    <t xml:space="preserve">LAMOTRIGINE                   </t>
  </si>
  <si>
    <t>013824</t>
  </si>
  <si>
    <t xml:space="preserve">BLACKCURRENT FLAVOUR          </t>
  </si>
  <si>
    <t>SILICA GEL SACHET 1G (INDICATO</t>
  </si>
  <si>
    <t>013928</t>
  </si>
  <si>
    <t xml:space="preserve">X OPADRY BROWN OY-26502       </t>
  </si>
  <si>
    <t>014010</t>
  </si>
  <si>
    <t xml:space="preserve">OPADRY II 85F93210 ORANGE     </t>
  </si>
  <si>
    <t>014016</t>
  </si>
  <si>
    <t xml:space="preserve">FOSINOPRIL SODIUM             </t>
  </si>
  <si>
    <t>014017</t>
  </si>
  <si>
    <t xml:space="preserve">GLYCERYL BEHENATE             </t>
  </si>
  <si>
    <t>014073</t>
  </si>
  <si>
    <t xml:space="preserve">SORBITOL (C16122)             </t>
  </si>
  <si>
    <t>014106</t>
  </si>
  <si>
    <t xml:space="preserve">PARACETAMOL (MICRONISED)      </t>
  </si>
  <si>
    <t>014107</t>
  </si>
  <si>
    <t xml:space="preserve">LECITHIN (EMULPUR N)          </t>
  </si>
  <si>
    <t>014108</t>
  </si>
  <si>
    <t xml:space="preserve">LECITHIN (TOPCITHIN SB)       </t>
  </si>
  <si>
    <t>014109</t>
  </si>
  <si>
    <t xml:space="preserve">VEEGUM HS                     </t>
  </si>
  <si>
    <t>014110</t>
  </si>
  <si>
    <t xml:space="preserve">VANILLA FLAVOUR 394794        </t>
  </si>
  <si>
    <t>014112</t>
  </si>
  <si>
    <t>TUTTI FRUTTI FLAVOUR NI 845505</t>
  </si>
  <si>
    <t>014117</t>
  </si>
  <si>
    <t xml:space="preserve">STARCH - OXIDISED MAIZE       </t>
  </si>
  <si>
    <t>014164</t>
  </si>
  <si>
    <t>TRIAMCINOLONE ACETONIDE MICRON</t>
  </si>
  <si>
    <t>014167</t>
  </si>
  <si>
    <t xml:space="preserve">DAILY FRUIT POWDER            </t>
  </si>
  <si>
    <t>014168</t>
  </si>
  <si>
    <t xml:space="preserve">DAILY VEGETABLE POWDER        </t>
  </si>
  <si>
    <t>014169</t>
  </si>
  <si>
    <t xml:space="preserve">DAILY MEGENTA CAPS            </t>
  </si>
  <si>
    <t>014170</t>
  </si>
  <si>
    <t xml:space="preserve">DAILY GREEN CAPS              </t>
  </si>
  <si>
    <t>014172</t>
  </si>
  <si>
    <t xml:space="preserve">DAILY GREEN COLOUR            </t>
  </si>
  <si>
    <t>014173</t>
  </si>
  <si>
    <t xml:space="preserve">DAILY MAGENTA COLOUR          </t>
  </si>
  <si>
    <t>014448</t>
  </si>
  <si>
    <t>DESICCANT SACHET 50/50 DS001-S</t>
  </si>
  <si>
    <t>014593</t>
  </si>
  <si>
    <t xml:space="preserve">OPADRY II GREY 85G675000      </t>
  </si>
  <si>
    <t>014716</t>
  </si>
  <si>
    <t xml:space="preserve">LIME FLAVOUR OIL 479208       </t>
  </si>
  <si>
    <t>014747</t>
  </si>
  <si>
    <t xml:space="preserve">RISEDRONATE SODIUM            </t>
  </si>
  <si>
    <t>014748</t>
  </si>
  <si>
    <t xml:space="preserve">SORBITOL NEOSORB P60W         </t>
  </si>
  <si>
    <t>014818</t>
  </si>
  <si>
    <t xml:space="preserve">X LORAZEPAM                   </t>
  </si>
  <si>
    <t>014860</t>
  </si>
  <si>
    <t>ERYTHROSINE LAKE 17-23% (CI454</t>
  </si>
  <si>
    <t>014986</t>
  </si>
  <si>
    <t>SODIUM HYPOCHLORITE SOLN 6-14%</t>
  </si>
  <si>
    <t>015021</t>
  </si>
  <si>
    <t xml:space="preserve">HONEY LIGHT AMBER             </t>
  </si>
  <si>
    <t>015022</t>
  </si>
  <si>
    <t xml:space="preserve">AMMONIA SOLUTION STRONG       </t>
  </si>
  <si>
    <t>015023</t>
  </si>
  <si>
    <t xml:space="preserve">SUGAR SOFT BROWN              </t>
  </si>
  <si>
    <t>015024</t>
  </si>
  <si>
    <t xml:space="preserve">GENUGEL CARRAGEENAN WG-108    </t>
  </si>
  <si>
    <t>015025</t>
  </si>
  <si>
    <t xml:space="preserve">GLUCOSE SYRUP 41 HMD          </t>
  </si>
  <si>
    <t>015027</t>
  </si>
  <si>
    <t>CHLOROFORM SUBSTITUTION 705775</t>
  </si>
  <si>
    <t>015028</t>
  </si>
  <si>
    <t xml:space="preserve">ANETHOLE                      </t>
  </si>
  <si>
    <t>015029</t>
  </si>
  <si>
    <t xml:space="preserve">ACETIC ACID GLACIAL           </t>
  </si>
  <si>
    <t>015030</t>
  </si>
  <si>
    <t xml:space="preserve">NIPASEPT SODIUM               </t>
  </si>
  <si>
    <t>015031</t>
  </si>
  <si>
    <t xml:space="preserve">SHERRY EXTRA DRY SOLERO       </t>
  </si>
  <si>
    <t>015032</t>
  </si>
  <si>
    <t>EFM FOR IPECACUANHA LIQUID EXT</t>
  </si>
  <si>
    <t>015055</t>
  </si>
  <si>
    <t xml:space="preserve">PREDNISOLONE SODIUM PHOSPHATE </t>
  </si>
  <si>
    <t>015146</t>
  </si>
  <si>
    <t xml:space="preserve">CYANOCOBALAMIN                </t>
  </si>
  <si>
    <t>015220</t>
  </si>
  <si>
    <t xml:space="preserve">PLASTIBASE 5W                 </t>
  </si>
  <si>
    <t>015221</t>
  </si>
  <si>
    <t xml:space="preserve">CAPTOPRIL                     </t>
  </si>
  <si>
    <t>015224</t>
  </si>
  <si>
    <t xml:space="preserve">RASPBERRY FLAVOUR 54427 A7    </t>
  </si>
  <si>
    <t>015225</t>
  </si>
  <si>
    <t xml:space="preserve">SUCRALOSE                     </t>
  </si>
  <si>
    <t>015239</t>
  </si>
  <si>
    <t xml:space="preserve">SODIUM CARBOXYMETHYLCELLULOSE </t>
  </si>
  <si>
    <t>015240</t>
  </si>
  <si>
    <t xml:space="preserve">PECTIN 200 MESH               </t>
  </si>
  <si>
    <t>015241</t>
  </si>
  <si>
    <t xml:space="preserve">GELATIN TYPE A                </t>
  </si>
  <si>
    <t>015244</t>
  </si>
  <si>
    <t xml:space="preserve">NITROGEN (ULTRA HIGH PURITY)  </t>
  </si>
  <si>
    <t>015248</t>
  </si>
  <si>
    <t xml:space="preserve">ALUMINIUM HYDROXIDE (WET GEL) </t>
  </si>
  <si>
    <t>015249</t>
  </si>
  <si>
    <t xml:space="preserve">ANTIFOAM AF EMULSION          </t>
  </si>
  <si>
    <t>015250</t>
  </si>
  <si>
    <t xml:space="preserve">PERFUME E-1991                </t>
  </si>
  <si>
    <t>015262</t>
  </si>
  <si>
    <t>TRIAMCINOLONE ACETONIDE (NOBLE</t>
  </si>
  <si>
    <t>015394</t>
  </si>
  <si>
    <t xml:space="preserve">NYSTATIN (NOBLE PARK)         </t>
  </si>
  <si>
    <t>015427</t>
  </si>
  <si>
    <t xml:space="preserve">POLYVINYL ALCOHOL             </t>
  </si>
  <si>
    <t>015428</t>
  </si>
  <si>
    <t xml:space="preserve">AMPHOTERICIN B                </t>
  </si>
  <si>
    <t>015429</t>
  </si>
  <si>
    <t xml:space="preserve">FLAVOUR BLOOD ORANGE          </t>
  </si>
  <si>
    <t>015431</t>
  </si>
  <si>
    <t xml:space="preserve">FLAVOUR NATURAL ORANGE        </t>
  </si>
  <si>
    <t>015432</t>
  </si>
  <si>
    <t xml:space="preserve">FLAVOUR CURACAO               </t>
  </si>
  <si>
    <t>015445</t>
  </si>
  <si>
    <t xml:space="preserve">KELCOLOID LVF                 </t>
  </si>
  <si>
    <t>015446</t>
  </si>
  <si>
    <t xml:space="preserve">FLAVOUR ORANGE JUICE          </t>
  </si>
  <si>
    <t>015447</t>
  </si>
  <si>
    <t xml:space="preserve">CHOLESTYRAMINE                </t>
  </si>
  <si>
    <t>015461</t>
  </si>
  <si>
    <t xml:space="preserve">SACCHARIN SODIUM              </t>
  </si>
  <si>
    <t>015462</t>
  </si>
  <si>
    <t xml:space="preserve">ACACIA POWDER                 </t>
  </si>
  <si>
    <t>015463</t>
  </si>
  <si>
    <t xml:space="preserve">TALC                          </t>
  </si>
  <si>
    <t>015465</t>
  </si>
  <si>
    <t xml:space="preserve">CITRIC ACID ANHYDROUS         </t>
  </si>
  <si>
    <t>015466</t>
  </si>
  <si>
    <t xml:space="preserve">COLLOIDAL SILICON DIOXIDE     </t>
  </si>
  <si>
    <t>015474</t>
  </si>
  <si>
    <t>RED RASPBERRY COLOUR (RAVICOL)</t>
  </si>
  <si>
    <t>015623</t>
  </si>
  <si>
    <t xml:space="preserve">RASPBERRY FLAVOUR 08-3326     </t>
  </si>
  <si>
    <t>015760</t>
  </si>
  <si>
    <t xml:space="preserve">EMULSIFYING WAX 109P          </t>
  </si>
  <si>
    <t>015812</t>
  </si>
  <si>
    <t xml:space="preserve">QUINOLINE YELLOW              </t>
  </si>
  <si>
    <t>015857</t>
  </si>
  <si>
    <t>DESICCANT SACHET 50/50 DS001-1</t>
  </si>
  <si>
    <t>015890</t>
  </si>
  <si>
    <t>SENNA (CASSIA ANGUSTIFOLIA 20%</t>
  </si>
  <si>
    <t>015891</t>
  </si>
  <si>
    <t xml:space="preserve">OPADRY II PURPLE 85F10497     </t>
  </si>
  <si>
    <t>015892</t>
  </si>
  <si>
    <t xml:space="preserve">FD&amp;C RED NO.40 LAKE           </t>
  </si>
  <si>
    <t>015940</t>
  </si>
  <si>
    <t xml:space="preserve">SILICA GEL (100G)             </t>
  </si>
  <si>
    <t>016037</t>
  </si>
  <si>
    <t xml:space="preserve">GUAIPHENESIN                  </t>
  </si>
  <si>
    <t>018121</t>
  </si>
  <si>
    <t xml:space="preserve">ASPIRIN (3210)                </t>
  </si>
  <si>
    <t>018139</t>
  </si>
  <si>
    <t xml:space="preserve">ASPIRIN (3040)                </t>
  </si>
  <si>
    <t>018155</t>
  </si>
  <si>
    <t xml:space="preserve">CROSPOVIDONE                  </t>
  </si>
  <si>
    <t>018201</t>
  </si>
  <si>
    <t xml:space="preserve">CITRIC ACID                   </t>
  </si>
  <si>
    <t>018382</t>
  </si>
  <si>
    <t xml:space="preserve">PARACETAMOL-CHLORPHENIRAMINE  </t>
  </si>
  <si>
    <t>HYDROGENATED VEGETABLE OIL (NF</t>
  </si>
  <si>
    <t>018770</t>
  </si>
  <si>
    <t xml:space="preserve">CALCIUM PHOSPHATE             </t>
  </si>
  <si>
    <t>018868</t>
  </si>
  <si>
    <t>MICROCRYSTALLINE CELLULOSE (PH</t>
  </si>
  <si>
    <t>019861</t>
  </si>
  <si>
    <t xml:space="preserve">ASPIRIN (3118)                </t>
  </si>
  <si>
    <t xml:space="preserve">OPADRY OY-33046 ORANGE        </t>
  </si>
  <si>
    <t>020010</t>
  </si>
  <si>
    <t xml:space="preserve">BENZYL ALCOHOL                </t>
  </si>
  <si>
    <t xml:space="preserve">CASTOR OIL                    </t>
  </si>
  <si>
    <t>020482</t>
  </si>
  <si>
    <t xml:space="preserve">CETOMACROGOL 1000             </t>
  </si>
  <si>
    <t>020491</t>
  </si>
  <si>
    <t xml:space="preserve">CETOSTEARYL ALCOHOL           </t>
  </si>
  <si>
    <t>020511</t>
  </si>
  <si>
    <t xml:space="preserve">CETYL ALCOHOL (95%)           </t>
  </si>
  <si>
    <t>020642</t>
  </si>
  <si>
    <t xml:space="preserve">CHLOROCRESOL                  </t>
  </si>
  <si>
    <t>020706</t>
  </si>
  <si>
    <t xml:space="preserve">CHOLECALCIFEROL               </t>
  </si>
  <si>
    <t>021240</t>
  </si>
  <si>
    <t xml:space="preserve">CARAMEL (N)                   </t>
  </si>
  <si>
    <t xml:space="preserve">PERHEXILINE MALEATE           </t>
  </si>
  <si>
    <t>021952</t>
  </si>
  <si>
    <t xml:space="preserve">OPADRY OY-20923 BLUE          </t>
  </si>
  <si>
    <t>021961</t>
  </si>
  <si>
    <t xml:space="preserve">OPADRY OY-22920 YELLOW        </t>
  </si>
  <si>
    <t>022795</t>
  </si>
  <si>
    <t xml:space="preserve">EMULSO 92 (ACR 40)            </t>
  </si>
  <si>
    <t>022816</t>
  </si>
  <si>
    <t xml:space="preserve">MEAN GREEN (ACR 60)           </t>
  </si>
  <si>
    <t>023288</t>
  </si>
  <si>
    <t xml:space="preserve">COPOVIDONE                    </t>
  </si>
  <si>
    <t xml:space="preserve">DEXTRIN                       </t>
  </si>
  <si>
    <t xml:space="preserve">DOCUSATE SODIUM               </t>
  </si>
  <si>
    <t>029250</t>
  </si>
  <si>
    <t>DOCUSATE SODIUM (75% SOLUTION)</t>
  </si>
  <si>
    <t>029268</t>
  </si>
  <si>
    <t xml:space="preserve">DEXAMPHETAMINE SULPHATE       </t>
  </si>
  <si>
    <t>030040</t>
  </si>
  <si>
    <t xml:space="preserve">YELLOW COLOUR (D&amp;C 10)        </t>
  </si>
  <si>
    <t xml:space="preserve">DIMETHICONE (200/350)         </t>
  </si>
  <si>
    <t>030322</t>
  </si>
  <si>
    <t xml:space="preserve">DISODIUM EDETATE              </t>
  </si>
  <si>
    <t>031173</t>
  </si>
  <si>
    <t xml:space="preserve">ETHYL HYDROXYBENZOATE         </t>
  </si>
  <si>
    <t>031181</t>
  </si>
  <si>
    <t xml:space="preserve">CINEOLE                       </t>
  </si>
  <si>
    <t>031211</t>
  </si>
  <si>
    <t xml:space="preserve">EUCALYPTUS OIL BP             </t>
  </si>
  <si>
    <t>031683</t>
  </si>
  <si>
    <t xml:space="preserve">MINT FLAVOUR DC16740          </t>
  </si>
  <si>
    <t xml:space="preserve">FRUSEMIDE                     </t>
  </si>
  <si>
    <t>032070</t>
  </si>
  <si>
    <t>IRON(III) CHLORIDE HEXAHYDRATE</t>
  </si>
  <si>
    <t>032619</t>
  </si>
  <si>
    <t xml:space="preserve">CHOCOLATE FLAVOUR (03-3060)   </t>
  </si>
  <si>
    <t>032985</t>
  </si>
  <si>
    <t xml:space="preserve">PINEAPPLE FLAVOUR 07-8685     </t>
  </si>
  <si>
    <t>033179</t>
  </si>
  <si>
    <t xml:space="preserve">GLUCONO DELTA-LACTONE         </t>
  </si>
  <si>
    <t xml:space="preserve">GLYCEROL                      </t>
  </si>
  <si>
    <t>033339</t>
  </si>
  <si>
    <t xml:space="preserve">GREEN COLOUR (FD &amp; C NO.3)    </t>
  </si>
  <si>
    <t xml:space="preserve">GELATIN (40VF)                </t>
  </si>
  <si>
    <t xml:space="preserve">HYOSCINE HYDROBROMIDE         </t>
  </si>
  <si>
    <t>041144</t>
  </si>
  <si>
    <t xml:space="preserve">HYDROCHLORIC ACID             </t>
  </si>
  <si>
    <t>041161</t>
  </si>
  <si>
    <t>HYDROCORTISONE ACETATE (NON ST</t>
  </si>
  <si>
    <t>041216</t>
  </si>
  <si>
    <t xml:space="preserve">HYDROGEN PEROXIDE (35%)       </t>
  </si>
  <si>
    <t>041224</t>
  </si>
  <si>
    <t xml:space="preserve">HYDROXYETHYLCELLULOSE 250GP   </t>
  </si>
  <si>
    <t>041232</t>
  </si>
  <si>
    <t>HYDROXYETHYLMETHYLCELLULOSE (1</t>
  </si>
  <si>
    <t>041291</t>
  </si>
  <si>
    <t xml:space="preserve">HYPROMELLOSE (4000)           </t>
  </si>
  <si>
    <t>041304</t>
  </si>
  <si>
    <t xml:space="preserve">IMIDUREA                      </t>
  </si>
  <si>
    <t xml:space="preserve">ISONIAZID                     </t>
  </si>
  <si>
    <t>042139</t>
  </si>
  <si>
    <t xml:space="preserve">BIOGARD (ACR 10)              </t>
  </si>
  <si>
    <t>042243</t>
  </si>
  <si>
    <t xml:space="preserve">ISOPROPYL ALCOHOL             </t>
  </si>
  <si>
    <t>042260</t>
  </si>
  <si>
    <t xml:space="preserve">ISOPROPYL MYRISTATE           </t>
  </si>
  <si>
    <t>044100</t>
  </si>
  <si>
    <t xml:space="preserve">XANTHAN GUM                   </t>
  </si>
  <si>
    <t>045188</t>
  </si>
  <si>
    <t xml:space="preserve">LYCASIN 80/55                 </t>
  </si>
  <si>
    <t>045364</t>
  </si>
  <si>
    <t xml:space="preserve">LIQUORICE LIQUID EXTRACT      </t>
  </si>
  <si>
    <t xml:space="preserve">LACTOSE (300 MESH)            </t>
  </si>
  <si>
    <t>045866</t>
  </si>
  <si>
    <t xml:space="preserve">LACTOSE (ANHYDROUS) (DMV21)   </t>
  </si>
  <si>
    <t xml:space="preserve">LACTOSE (200 MESH)            </t>
  </si>
  <si>
    <t>050067</t>
  </si>
  <si>
    <t xml:space="preserve">MAGNESIUM HYDROXIDE           </t>
  </si>
  <si>
    <t>050147</t>
  </si>
  <si>
    <t xml:space="preserve">X MAGNESIUM TRISILICATE       </t>
  </si>
  <si>
    <t>050198</t>
  </si>
  <si>
    <t xml:space="preserve">MACROGOL 400                  </t>
  </si>
  <si>
    <t>050323</t>
  </si>
  <si>
    <t xml:space="preserve">MENTHOL (BP)                  </t>
  </si>
  <si>
    <t>050585</t>
  </si>
  <si>
    <t xml:space="preserve">METHYL SALICYLATE             </t>
  </si>
  <si>
    <t>051131</t>
  </si>
  <si>
    <t xml:space="preserve">POLOXAMER 407                 </t>
  </si>
  <si>
    <t>051158</t>
  </si>
  <si>
    <t xml:space="preserve">SODIUM GLUCONATE              </t>
  </si>
  <si>
    <t>051385</t>
  </si>
  <si>
    <t>CINNAMON OIL ARTIFICIAL 712244</t>
  </si>
  <si>
    <t>051473</t>
  </si>
  <si>
    <t xml:space="preserve">ALLURA RED AC                 </t>
  </si>
  <si>
    <t xml:space="preserve">LIGHT MAGNESIUM CARBONATE     </t>
  </si>
  <si>
    <t xml:space="preserve">HEAVY MAGNESIUM CARBONATE     </t>
  </si>
  <si>
    <t>055061</t>
  </si>
  <si>
    <t>055693</t>
  </si>
  <si>
    <t xml:space="preserve">MORPHINE SULPHATE             </t>
  </si>
  <si>
    <t>060062</t>
  </si>
  <si>
    <t xml:space="preserve">NEOMYCIN SULPHATE             </t>
  </si>
  <si>
    <t>060142</t>
  </si>
  <si>
    <t xml:space="preserve">NICOTINAMIDE                  </t>
  </si>
  <si>
    <t>060193</t>
  </si>
  <si>
    <t xml:space="preserve">NIPASTAT                      </t>
  </si>
  <si>
    <t>060302</t>
  </si>
  <si>
    <t xml:space="preserve">METHYL HYDROXYBENZOATE (NIPA) </t>
  </si>
  <si>
    <t xml:space="preserve">PROPYL HYDROXYBENZOATE        </t>
  </si>
  <si>
    <t>061209</t>
  </si>
  <si>
    <t xml:space="preserve">OXYMETAZOLINE HYDROCHLORIDE   </t>
  </si>
  <si>
    <t>070009</t>
  </si>
  <si>
    <t xml:space="preserve">ARACHIS OIL                   </t>
  </si>
  <si>
    <t>070033</t>
  </si>
  <si>
    <t xml:space="preserve">LIGHT LIQUID PARAFFIN (80-90) </t>
  </si>
  <si>
    <t>070050</t>
  </si>
  <si>
    <t xml:space="preserve">HARD PARAFFIN                 </t>
  </si>
  <si>
    <t xml:space="preserve">LIQUID PARAFFIN               </t>
  </si>
  <si>
    <t>070105</t>
  </si>
  <si>
    <t xml:space="preserve">SOFT WHITE PARAFFIN           </t>
  </si>
  <si>
    <t>070113</t>
  </si>
  <si>
    <t xml:space="preserve">SOFT YELLOW PARAFFIN          </t>
  </si>
  <si>
    <t>070244</t>
  </si>
  <si>
    <t xml:space="preserve">PHENOXYETHANOL                </t>
  </si>
  <si>
    <t>070252</t>
  </si>
  <si>
    <t xml:space="preserve">PEPPERMINT OIL NF             </t>
  </si>
  <si>
    <t>070447</t>
  </si>
  <si>
    <t xml:space="preserve">PHOLCODINE                    </t>
  </si>
  <si>
    <t>070720</t>
  </si>
  <si>
    <t>070842</t>
  </si>
  <si>
    <t xml:space="preserve">POTASSIUM SORBATE             </t>
  </si>
  <si>
    <t>071263</t>
  </si>
  <si>
    <t xml:space="preserve">PROPYLENE GLYCOL              </t>
  </si>
  <si>
    <t>071706</t>
  </si>
  <si>
    <t xml:space="preserve">SOFT WHITE PARAFFIN (WITCO)   </t>
  </si>
  <si>
    <t>075096</t>
  </si>
  <si>
    <t xml:space="preserve">SODIUM STARCH GLYCOLLATE      </t>
  </si>
  <si>
    <t xml:space="preserve">PHENOBARBITONE                </t>
  </si>
  <si>
    <t xml:space="preserve">POVIDONE (K25)                </t>
  </si>
  <si>
    <t xml:space="preserve">PREDNISONE                    </t>
  </si>
  <si>
    <t xml:space="preserve">PREDNISOLONE                  </t>
  </si>
  <si>
    <t xml:space="preserve">HYPROMELLOSE (6)              </t>
  </si>
  <si>
    <t>075547</t>
  </si>
  <si>
    <t>PARACETAMOL (DIRECT COMPRESSIO</t>
  </si>
  <si>
    <t xml:space="preserve">PARACETAMOL (DENSE)           </t>
  </si>
  <si>
    <t>075942</t>
  </si>
  <si>
    <t xml:space="preserve">POVIDONE (K90)                </t>
  </si>
  <si>
    <t>080012</t>
  </si>
  <si>
    <t xml:space="preserve">SACCHARIN                     </t>
  </si>
  <si>
    <t>080039</t>
  </si>
  <si>
    <t>080119</t>
  </si>
  <si>
    <t>CSE FOR CONCENTRATED SENEGA IN</t>
  </si>
  <si>
    <t>080291</t>
  </si>
  <si>
    <t xml:space="preserve">SIMETHICONE EMULSION (USP)    </t>
  </si>
  <si>
    <t xml:space="preserve">GLYCERYL MONOSTEARATE         </t>
  </si>
  <si>
    <t>080514</t>
  </si>
  <si>
    <t xml:space="preserve">SODIUM ACID PHOSPHATE         </t>
  </si>
  <si>
    <t>080565</t>
  </si>
  <si>
    <t xml:space="preserve">SODIUM BENZOATE               </t>
  </si>
  <si>
    <t>080717</t>
  </si>
  <si>
    <t xml:space="preserve">SODIUM CHLORIDE               </t>
  </si>
  <si>
    <t>080733</t>
  </si>
  <si>
    <t xml:space="preserve">SODIUM CITRATE (BP)           </t>
  </si>
  <si>
    <t>080750</t>
  </si>
  <si>
    <t xml:space="preserve">SODIUM CYCLAMATE              </t>
  </si>
  <si>
    <t>080830</t>
  </si>
  <si>
    <t xml:space="preserve">SODIUM HYDROXIDE              </t>
  </si>
  <si>
    <t>080856</t>
  </si>
  <si>
    <t xml:space="preserve">SODIUM HYPOCHLORITE SOLUTION  </t>
  </si>
  <si>
    <t>080928</t>
  </si>
  <si>
    <t xml:space="preserve">SODIUM METHYL HYDROXYBENZOATE </t>
  </si>
  <si>
    <t>081031</t>
  </si>
  <si>
    <t xml:space="preserve">SODIUM PHOSPHATE              </t>
  </si>
  <si>
    <t>081058</t>
  </si>
  <si>
    <t xml:space="preserve">SODIUM PROPYL HYDROXYBENZOATE </t>
  </si>
  <si>
    <t>081226</t>
  </si>
  <si>
    <t xml:space="preserve">SORBIC ACID                   </t>
  </si>
  <si>
    <t>081234</t>
  </si>
  <si>
    <t xml:space="preserve">SORBITOL (70% SOLUTION)       </t>
  </si>
  <si>
    <t>081437</t>
  </si>
  <si>
    <t xml:space="preserve">SUCROSE (PREMIUM GRADE)       </t>
  </si>
  <si>
    <t>081648</t>
  </si>
  <si>
    <t>SUNSET YELLOW FCF (AUSTRACERT)</t>
  </si>
  <si>
    <t xml:space="preserve">MAIZE STARCH (NEUTRAL)        </t>
  </si>
  <si>
    <t>085251</t>
  </si>
  <si>
    <t xml:space="preserve">WHEAT STARCH                  </t>
  </si>
  <si>
    <t>085673</t>
  </si>
  <si>
    <t xml:space="preserve">PREGELATINISED MAIZE STARCH   </t>
  </si>
  <si>
    <t xml:space="preserve">SUNSET YELLOW FCF (LAKE)      </t>
  </si>
  <si>
    <t xml:space="preserve">SUCROSE (ICING)               </t>
  </si>
  <si>
    <t>089092</t>
  </si>
  <si>
    <t xml:space="preserve">TITANIUM DIOXIDE              </t>
  </si>
  <si>
    <t>090309</t>
  </si>
  <si>
    <t xml:space="preserve">THIAMINE HYDROCHLORIDE        </t>
  </si>
  <si>
    <t>090595</t>
  </si>
  <si>
    <t xml:space="preserve">TRIETHANOLAMINE               </t>
  </si>
  <si>
    <t>090667</t>
  </si>
  <si>
    <t xml:space="preserve">TURPENTINE OIL                </t>
  </si>
  <si>
    <t>092021</t>
  </si>
  <si>
    <t xml:space="preserve">VANILLIN                      </t>
  </si>
  <si>
    <t>092099</t>
  </si>
  <si>
    <t>RETINYL PALMITATE (1.7 ISOMERI</t>
  </si>
  <si>
    <t>093041</t>
  </si>
  <si>
    <t xml:space="preserve">WOOL FAT                      </t>
  </si>
  <si>
    <t>094060</t>
  </si>
  <si>
    <t xml:space="preserve">ZINC OXIDE                    </t>
  </si>
  <si>
    <t>HGC SIZE 1 OP GREEN CAP OP YEL</t>
  </si>
  <si>
    <t>273421</t>
  </si>
  <si>
    <t xml:space="preserve">X PREFILTER 25UM (CARTRIDGE)  </t>
  </si>
  <si>
    <t>AAB</t>
  </si>
  <si>
    <t xml:space="preserve">ETHANOL   (100SGF3)           </t>
  </si>
  <si>
    <t>AAC</t>
  </si>
  <si>
    <t xml:space="preserve">ASCORBIC ACID 97% DC          </t>
  </si>
  <si>
    <t>ACB</t>
  </si>
  <si>
    <t xml:space="preserve">MONOAMMONIUM GLYCYRRHIZINATE  </t>
  </si>
  <si>
    <t>ACX</t>
  </si>
  <si>
    <t xml:space="preserve">ASCORBIC ACID DC 97% (HPMC)   </t>
  </si>
  <si>
    <t xml:space="preserve">AEROSIL 200                   </t>
  </si>
  <si>
    <t>AJG</t>
  </si>
  <si>
    <t xml:space="preserve">ASPIRIN 100%, RHODINE 2040    </t>
  </si>
  <si>
    <t>AJM</t>
  </si>
  <si>
    <t xml:space="preserve">ARNICA TABLET SOLUTION        </t>
  </si>
  <si>
    <t>ALH275</t>
  </si>
  <si>
    <t xml:space="preserve">PERICYAZINE MICRONISED        </t>
  </si>
  <si>
    <t xml:space="preserve">PYRIDOXINE HYDROCHLORIDE BP   </t>
  </si>
  <si>
    <t xml:space="preserve">PROMETHAZINE THEOCLATE BP     </t>
  </si>
  <si>
    <t xml:space="preserve">NICOTINIC ACID                </t>
  </si>
  <si>
    <t>APL297</t>
  </si>
  <si>
    <t xml:space="preserve">SENNOSIDES (AS SENNOSIDES B)  </t>
  </si>
  <si>
    <t xml:space="preserve">SODIUM ACID CITRATE           </t>
  </si>
  <si>
    <t xml:space="preserve">POTASSIUM CHLORIDE            </t>
  </si>
  <si>
    <t xml:space="preserve">SODIUM BICARBONATE            </t>
  </si>
  <si>
    <t>BAA</t>
  </si>
  <si>
    <t xml:space="preserve">BIOTIN                        </t>
  </si>
  <si>
    <t>BCF</t>
  </si>
  <si>
    <t xml:space="preserve">BETAVIT 10% PDR ARTG:2269     </t>
  </si>
  <si>
    <t>CAB</t>
  </si>
  <si>
    <t xml:space="preserve">CALCIUM HYDROGEN PHOSPHATE    </t>
  </si>
  <si>
    <t>CAC</t>
  </si>
  <si>
    <t xml:space="preserve">CHOLINE BITARTRATE 99%        </t>
  </si>
  <si>
    <t>CAE</t>
  </si>
  <si>
    <t>CAP</t>
  </si>
  <si>
    <t xml:space="preserve">CERTOLAKE SUNSET YELLOW       </t>
  </si>
  <si>
    <t>CAT</t>
  </si>
  <si>
    <t xml:space="preserve">CASTOR OIL - HYDROGENATED     </t>
  </si>
  <si>
    <t>CBB</t>
  </si>
  <si>
    <t xml:space="preserve">CITRIC ACID - ANHYDROUS       </t>
  </si>
  <si>
    <t>CCN</t>
  </si>
  <si>
    <t xml:space="preserve">CARNAUBA WAX                  </t>
  </si>
  <si>
    <t>CDB</t>
  </si>
  <si>
    <t xml:space="preserve">CALCIUM CARBONATE 90% DC      </t>
  </si>
  <si>
    <t>CEQ</t>
  </si>
  <si>
    <t xml:space="preserve">CROSCARMELLOSE SODIUM         </t>
  </si>
  <si>
    <t>CFU</t>
  </si>
  <si>
    <t xml:space="preserve">CRANBERRY 25:1 EXT            </t>
  </si>
  <si>
    <t>CHF</t>
  </si>
  <si>
    <t xml:space="preserve">CALCIUM PANTOTHENATE          </t>
  </si>
  <si>
    <t>CPN308</t>
  </si>
  <si>
    <t xml:space="preserve">OPADRY OY-26502 BROWN         </t>
  </si>
  <si>
    <t>D20000</t>
  </si>
  <si>
    <t>GLYCERYL TRINITRATE 2%(LACTOSE</t>
  </si>
  <si>
    <t xml:space="preserve">CALCIUM HYDROGEN PHOSPHATE RP </t>
  </si>
  <si>
    <t>DAC</t>
  </si>
  <si>
    <t xml:space="preserve">DOCUSATE SODIUM 85% CYTEC     </t>
  </si>
  <si>
    <t xml:space="preserve">DOXYLAMINE SUCCINATE          </t>
  </si>
  <si>
    <t>DEV028</t>
  </si>
  <si>
    <t>PARACETAMOL 90%DC (ANQIU LUAN)</t>
  </si>
  <si>
    <t>DEV029</t>
  </si>
  <si>
    <t>PARACETAMOL 90%DC-SD (ANQIU LU</t>
  </si>
  <si>
    <t>DEV115</t>
  </si>
  <si>
    <t>EAH</t>
  </si>
  <si>
    <t xml:space="preserve">SOY POLYSACCHARIDE            </t>
  </si>
  <si>
    <t>EAU</t>
  </si>
  <si>
    <t xml:space="preserve">ECHINACEA 4:1 ROOT/RHIZ. EXT. </t>
  </si>
  <si>
    <t>EBE</t>
  </si>
  <si>
    <t xml:space="preserve">GLUCOSE, MODIFIED DC          </t>
  </si>
  <si>
    <t>EEH</t>
  </si>
  <si>
    <t xml:space="preserve">SILICON DIOXIDE (AEROSIL)     </t>
  </si>
  <si>
    <t xml:space="preserve">SODIUM LAURYL SULPHATE (R-PR) </t>
  </si>
  <si>
    <t>EPH319</t>
  </si>
  <si>
    <t>COLLOIDAL SILICON DIOXIDE (COM</t>
  </si>
  <si>
    <t>CELLULOSE MICROCRYST'INE PH102</t>
  </si>
  <si>
    <t xml:space="preserve">CALCIUM CARBONATE (LIGHT)     </t>
  </si>
  <si>
    <t xml:space="preserve">SUCROSE (CASTER)              </t>
  </si>
  <si>
    <t>EPN019</t>
  </si>
  <si>
    <t xml:space="preserve">LACTOSE (SUPER-TAB)           </t>
  </si>
  <si>
    <t xml:space="preserve">CALCIUM STEARATE              </t>
  </si>
  <si>
    <t xml:space="preserve">LACTOSE (100 MESH)            </t>
  </si>
  <si>
    <t xml:space="preserve">LACTOSE (SPECIAL DENSE)       </t>
  </si>
  <si>
    <t xml:space="preserve">STARCH MAIZE                  </t>
  </si>
  <si>
    <t xml:space="preserve">POLYETHYLENE GLYCOL 6000      </t>
  </si>
  <si>
    <t xml:space="preserve">CROSPOVIDONE XL               </t>
  </si>
  <si>
    <t xml:space="preserve">TALC TS STERILIZED            </t>
  </si>
  <si>
    <t xml:space="preserve">TARTARIC ACID B.P. GRANULAR   </t>
  </si>
  <si>
    <t xml:space="preserve">DEXTROSE MONOHYDRATE          </t>
  </si>
  <si>
    <t>EPN075</t>
  </si>
  <si>
    <t xml:space="preserve">DRI-KLEAR 010                 </t>
  </si>
  <si>
    <t>EPN080</t>
  </si>
  <si>
    <t xml:space="preserve">CHROMA TONE P                 </t>
  </si>
  <si>
    <t xml:space="preserve">DEXTRIN WHITE BP              </t>
  </si>
  <si>
    <t>CELLULOSE MICROCRYST'INE PH101</t>
  </si>
  <si>
    <t xml:space="preserve">CITRIC ACID ANHYDROUS (FINE)  </t>
  </si>
  <si>
    <t>EPN123</t>
  </si>
  <si>
    <t xml:space="preserve">CROSCARMELLOSE SODIUM NF      </t>
  </si>
  <si>
    <t xml:space="preserve">STARCH WHEAT LMS              </t>
  </si>
  <si>
    <t>EPN144</t>
  </si>
  <si>
    <t xml:space="preserve">MANNITOL 60                   </t>
  </si>
  <si>
    <t>SACCHARIN SODIUM (50-150 MESH)</t>
  </si>
  <si>
    <t xml:space="preserve">POVIDONE (K29-32)             </t>
  </si>
  <si>
    <t xml:space="preserve">STEARIC ACID 4989 POWDER      </t>
  </si>
  <si>
    <t>EPN220</t>
  </si>
  <si>
    <t xml:space="preserve">STARCH PREGELATINISED MAIZE   </t>
  </si>
  <si>
    <t>EPN264</t>
  </si>
  <si>
    <t>EPN341</t>
  </si>
  <si>
    <t xml:space="preserve">BEESWAX WHITE BP              </t>
  </si>
  <si>
    <t>EWN363</t>
  </si>
  <si>
    <t>F03016</t>
  </si>
  <si>
    <t xml:space="preserve">SILICA GEL 1GM CONTINUOUS     </t>
  </si>
  <si>
    <t>FAA</t>
  </si>
  <si>
    <t xml:space="preserve">FOLIC ACID                    </t>
  </si>
  <si>
    <t>FAH</t>
  </si>
  <si>
    <t xml:space="preserve">FERROUS FUMARATE              </t>
  </si>
  <si>
    <t xml:space="preserve">PINEAPPLE FLAVOUR             </t>
  </si>
  <si>
    <t>GBU</t>
  </si>
  <si>
    <t>GDC</t>
  </si>
  <si>
    <t xml:space="preserve">X GARLIC BULB EXT. 7:1        </t>
  </si>
  <si>
    <t xml:space="preserve">GLUCOSAMINE HCL-60# (TSI)     </t>
  </si>
  <si>
    <t>GHX</t>
  </si>
  <si>
    <t xml:space="preserve">GELATIN SHELL RED PF500       </t>
  </si>
  <si>
    <t>GHY</t>
  </si>
  <si>
    <t xml:space="preserve">GELATIN SHELL WHITE PF500     </t>
  </si>
  <si>
    <t xml:space="preserve">GLUCOSAMINE HCL-20# (TSI)     </t>
  </si>
  <si>
    <t>GIC</t>
  </si>
  <si>
    <t xml:space="preserve">GELATIN SHELL WHITE PF300     </t>
  </si>
  <si>
    <t>GID</t>
  </si>
  <si>
    <t xml:space="preserve">GELATIN SHELL TURQ PF300      </t>
  </si>
  <si>
    <t>HBM</t>
  </si>
  <si>
    <t xml:space="preserve">HAY FEVER TABLET SOLUTION     </t>
  </si>
  <si>
    <t>HDA</t>
  </si>
  <si>
    <t xml:space="preserve">HYPROMELLOSE 5 CPS            </t>
  </si>
  <si>
    <t>IAA</t>
  </si>
  <si>
    <t xml:space="preserve">INOSITOL                      </t>
  </si>
  <si>
    <t xml:space="preserve">INDIGO CARMINE LAKE           </t>
  </si>
  <si>
    <t>J1080</t>
  </si>
  <si>
    <t>METOCLOPRAMIDE HYDROCHL. BP/EP</t>
  </si>
  <si>
    <t xml:space="preserve">SODIUM CITRATE ANHYDROUS      </t>
  </si>
  <si>
    <t>J3044</t>
  </si>
  <si>
    <t>SILICA -COLLOIDAL ANHYDROUS EP</t>
  </si>
  <si>
    <t>J3201</t>
  </si>
  <si>
    <t xml:space="preserve">ASPIRIN RHODINE 2020 (THAI)   </t>
  </si>
  <si>
    <t>J4515</t>
  </si>
  <si>
    <t xml:space="preserve">GUAR GUM                      </t>
  </si>
  <si>
    <t>J4516</t>
  </si>
  <si>
    <t xml:space="preserve">DICHLOROMETHANE BP/EP         </t>
  </si>
  <si>
    <t>J4517</t>
  </si>
  <si>
    <t xml:space="preserve">DENATURED ABSOLUTE ALCOHOL F3 </t>
  </si>
  <si>
    <t>J4518</t>
  </si>
  <si>
    <t xml:space="preserve">CELLACEFATE USP               </t>
  </si>
  <si>
    <t>J4519</t>
  </si>
  <si>
    <t xml:space="preserve">DIETHYL PHTHALATE EP/USP      </t>
  </si>
  <si>
    <t>J4520</t>
  </si>
  <si>
    <t xml:space="preserve">OPASPRAY-N-1-2564             </t>
  </si>
  <si>
    <t>J4521</t>
  </si>
  <si>
    <t xml:space="preserve">CARNAUBA WAX B.P/E.P          </t>
  </si>
  <si>
    <t xml:space="preserve">GELATIN BP/EP                 </t>
  </si>
  <si>
    <t>J4532</t>
  </si>
  <si>
    <t xml:space="preserve">TALC BP                       </t>
  </si>
  <si>
    <t>J4544</t>
  </si>
  <si>
    <t xml:space="preserve">POVIDONE K30 BP               </t>
  </si>
  <si>
    <t>J4548</t>
  </si>
  <si>
    <t xml:space="preserve">MAGNESIUM STEARATE BP/EP/JP   </t>
  </si>
  <si>
    <t>J4678</t>
  </si>
  <si>
    <t xml:space="preserve">OPADRY CLEAR YS-1-7006        </t>
  </si>
  <si>
    <t>J4788</t>
  </si>
  <si>
    <t xml:space="preserve">CELLULOSE MICROCRYST NF (102) </t>
  </si>
  <si>
    <t>J4827</t>
  </si>
  <si>
    <t xml:space="preserve">ASCORBIC ACID JP              </t>
  </si>
  <si>
    <t>J4847</t>
  </si>
  <si>
    <t xml:space="preserve">DESICCANT SACHET 225G         </t>
  </si>
  <si>
    <t>KAD</t>
  </si>
  <si>
    <t xml:space="preserve">PVP/VA COPOLYMER              </t>
  </si>
  <si>
    <t>KAF</t>
  </si>
  <si>
    <t xml:space="preserve">POVIDONE K90                  </t>
  </si>
  <si>
    <t xml:space="preserve">POVIDONE K30                  </t>
  </si>
  <si>
    <t>KBJ</t>
  </si>
  <si>
    <t xml:space="preserve">KOREAN GINSENG 4:1            </t>
  </si>
  <si>
    <t>LAZ</t>
  </si>
  <si>
    <t xml:space="preserve">CITRUS BIOFLAVONOIDS          </t>
  </si>
  <si>
    <t>LBA</t>
  </si>
  <si>
    <t xml:space="preserve">LACTOSE                       </t>
  </si>
  <si>
    <t>LFF</t>
  </si>
  <si>
    <t xml:space="preserve">NI LIME 51183 APO551          </t>
  </si>
  <si>
    <t>LFG</t>
  </si>
  <si>
    <t xml:space="preserve">LACTOSE ANHYDROUS DCL21       </t>
  </si>
  <si>
    <t>CELLULOSE-MICROCRYSTALLINE 102</t>
  </si>
  <si>
    <t>MAH</t>
  </si>
  <si>
    <t>MANGANESE A.A. CHELATE (10%MN)</t>
  </si>
  <si>
    <t>MAI</t>
  </si>
  <si>
    <t xml:space="preserve">MAGNESIUM OXIDE               </t>
  </si>
  <si>
    <t>MAV</t>
  </si>
  <si>
    <t>MANGANESE SULPHATE MONOHYDRATE</t>
  </si>
  <si>
    <t>MAY</t>
  </si>
  <si>
    <t>MBR</t>
  </si>
  <si>
    <t xml:space="preserve">MAGNESIUM PHOSPHATE TRIBASIC  </t>
  </si>
  <si>
    <t>MBU</t>
  </si>
  <si>
    <t>CELLULOSE-MICROCRYSTALLINE 101</t>
  </si>
  <si>
    <t>MBV</t>
  </si>
  <si>
    <t>MCP</t>
  </si>
  <si>
    <t>MAGNESIUM CHELATE 20% (18 MESH</t>
  </si>
  <si>
    <t>NAB</t>
  </si>
  <si>
    <t xml:space="preserve">NICOTINAMIDE ROCOAT 33%       </t>
  </si>
  <si>
    <t>NAJ</t>
  </si>
  <si>
    <t xml:space="preserve">NIACINAMIDE                   </t>
  </si>
  <si>
    <t>NEN</t>
  </si>
  <si>
    <t>NERVATONA CALM TABLET SOLUTION</t>
  </si>
  <si>
    <t>OAB</t>
  </si>
  <si>
    <t xml:space="preserve">OPADRY AQUEOUS BLUE 02F60961  </t>
  </si>
  <si>
    <t>OAG</t>
  </si>
  <si>
    <t xml:space="preserve">OPADRY* OY-29020 CLEAR        </t>
  </si>
  <si>
    <t>OAL</t>
  </si>
  <si>
    <t xml:space="preserve">OPADRY* OY-S-29025 CLEAR      </t>
  </si>
  <si>
    <t xml:space="preserve">OPADRY II WHITE 85G58921      </t>
  </si>
  <si>
    <t>OSU</t>
  </si>
  <si>
    <t xml:space="preserve">OPADRY AMB 80W56535 BROWN     </t>
  </si>
  <si>
    <t>OTT</t>
  </si>
  <si>
    <t xml:space="preserve">OPADRY II 85G66408 MAROON     </t>
  </si>
  <si>
    <t>PAA</t>
  </si>
  <si>
    <t xml:space="preserve">PYRIDOXINE HYDROCHLORIDE      </t>
  </si>
  <si>
    <t>PAB</t>
  </si>
  <si>
    <t xml:space="preserve">PYRIDOXINE HCL ROCOAT 33%     </t>
  </si>
  <si>
    <t>PAM</t>
  </si>
  <si>
    <t xml:space="preserve">POTASSIUM IODIDE              </t>
  </si>
  <si>
    <t>PAR</t>
  </si>
  <si>
    <t xml:space="preserve">X PHENOXYETHANOL              </t>
  </si>
  <si>
    <t>PAT</t>
  </si>
  <si>
    <t xml:space="preserve">POTASSIUM SULPHATE            </t>
  </si>
  <si>
    <t>PBH</t>
  </si>
  <si>
    <t xml:space="preserve">PRIMOJEL                      </t>
  </si>
  <si>
    <t>PBJ</t>
  </si>
  <si>
    <t xml:space="preserve">POTASSIUM CITRATE             </t>
  </si>
  <si>
    <t>PCK</t>
  </si>
  <si>
    <t xml:space="preserve">PYRIDOXINE HCL DC 97% (HPMC)  </t>
  </si>
  <si>
    <t>PCR</t>
  </si>
  <si>
    <t>PARACETAMOL 90% (COMPAP L0093)</t>
  </si>
  <si>
    <t>PCT</t>
  </si>
  <si>
    <t>PARACETAMOL 90%DC COMPAP L CSE</t>
  </si>
  <si>
    <t>PDM</t>
  </si>
  <si>
    <t xml:space="preserve">PSEUDOEPHEDRINE HCL           </t>
  </si>
  <si>
    <t>PKB</t>
  </si>
  <si>
    <t xml:space="preserve">PARACETAMOL 90% DC (GRAN-IND) </t>
  </si>
  <si>
    <t>QAB</t>
  </si>
  <si>
    <t xml:space="preserve">QUINOLINE YELLOW LAKE         </t>
  </si>
  <si>
    <t>RAB</t>
  </si>
  <si>
    <t xml:space="preserve">RIBOFLAVINE ROCOAT 33%        </t>
  </si>
  <si>
    <t>RAD</t>
  </si>
  <si>
    <t xml:space="preserve">RUTIN                         </t>
  </si>
  <si>
    <t>RBE</t>
  </si>
  <si>
    <t xml:space="preserve">RIBOFLAVINE 100 DC            </t>
  </si>
  <si>
    <t>RBI</t>
  </si>
  <si>
    <t xml:space="preserve">RASPBERRY FLV 54428 AP0551    </t>
  </si>
  <si>
    <t>RCA</t>
  </si>
  <si>
    <t xml:space="preserve">RED COLOUR CC5000LP           </t>
  </si>
  <si>
    <t>RMTRIAL1</t>
  </si>
  <si>
    <t xml:space="preserve">DIHYDROCODEINE TARTRATE       </t>
  </si>
  <si>
    <t>RMTRIAL4</t>
  </si>
  <si>
    <t>SAA</t>
  </si>
  <si>
    <t xml:space="preserve">SODIUM ASCORBATE 99% DC       </t>
  </si>
  <si>
    <t>SAB</t>
  </si>
  <si>
    <t>SAC</t>
  </si>
  <si>
    <t xml:space="preserve">SODIUM CYCLAMATE (MILLED)     </t>
  </si>
  <si>
    <t>SAE</t>
  </si>
  <si>
    <t xml:space="preserve">SODIUM LAURYL SULPHATE        </t>
  </si>
  <si>
    <t>SAF</t>
  </si>
  <si>
    <t xml:space="preserve">SORBITOL GRANULAR             </t>
  </si>
  <si>
    <t xml:space="preserve">STARCH 1500                   </t>
  </si>
  <si>
    <t>SAK</t>
  </si>
  <si>
    <t xml:space="preserve">SORBITOL FINE                 </t>
  </si>
  <si>
    <t>SAS</t>
  </si>
  <si>
    <t>CHLOROPHYLLIN - COPPER COMPLEX</t>
  </si>
  <si>
    <t>SAT</t>
  </si>
  <si>
    <t xml:space="preserve">STEARIC ACID (POWDER)         </t>
  </si>
  <si>
    <t>SAW</t>
  </si>
  <si>
    <t>SBF</t>
  </si>
  <si>
    <t xml:space="preserve">SENNA LEAF POWDER             </t>
  </si>
  <si>
    <t>SBX</t>
  </si>
  <si>
    <t>SENNOSIDES (CA SENNOSIDES 20%)</t>
  </si>
  <si>
    <t>SD200</t>
  </si>
  <si>
    <t>SFF</t>
  </si>
  <si>
    <t xml:space="preserve">STRAWBERRY FLV 058277 TPL0504 </t>
  </si>
  <si>
    <t>SFR</t>
  </si>
  <si>
    <t xml:space="preserve">SLEEP &amp; INSOMNIA RELIEF SOLN  </t>
  </si>
  <si>
    <t>SFS</t>
  </si>
  <si>
    <t xml:space="preserve">SIBERIAN GINSENG 10:1         </t>
  </si>
  <si>
    <t>SFW</t>
  </si>
  <si>
    <t>ART.STRAWBERRY DURAROME 860017</t>
  </si>
  <si>
    <t>SGR</t>
  </si>
  <si>
    <t xml:space="preserve">ST JOHN'S WORT 6:1 (INDENA)   </t>
  </si>
  <si>
    <t>SJG</t>
  </si>
  <si>
    <t xml:space="preserve">SELENOMETHIONINE (SABINSA)    </t>
  </si>
  <si>
    <t>SKA</t>
  </si>
  <si>
    <t xml:space="preserve">SODIUM ASCORBATE 100%DC ROCHE </t>
  </si>
  <si>
    <t xml:space="preserve">ETHANOL (DENATURED)           </t>
  </si>
  <si>
    <t>SLH253</t>
  </si>
  <si>
    <t xml:space="preserve">TRICHLOROETHYLENE             </t>
  </si>
  <si>
    <t>SUS</t>
  </si>
  <si>
    <t xml:space="preserve">SODIUM BORATE (BORAX)         </t>
  </si>
  <si>
    <t>TAA</t>
  </si>
  <si>
    <t xml:space="preserve">TALC - PURIFIED               </t>
  </si>
  <si>
    <t>TAB</t>
  </si>
  <si>
    <t xml:space="preserve">GLUCOSE                       </t>
  </si>
  <si>
    <t>TAC</t>
  </si>
  <si>
    <t>TAD</t>
  </si>
  <si>
    <t xml:space="preserve">THIAMINE NO3 ROCOAT 33%       </t>
  </si>
  <si>
    <t>TAF</t>
  </si>
  <si>
    <t xml:space="preserve">TIXOSIL 38                    </t>
  </si>
  <si>
    <t>TAP</t>
  </si>
  <si>
    <t>TAU</t>
  </si>
  <si>
    <t>ORANGE FLAVOUR NAT 171049 TRUS</t>
  </si>
  <si>
    <t>TDJ</t>
  </si>
  <si>
    <t>TRIBULUS 50:1(BURAGOKHRU)MEDIP</t>
  </si>
  <si>
    <t>VAA</t>
  </si>
  <si>
    <t xml:space="preserve">RETINYL PALMITATE (TYPE 500)  </t>
  </si>
  <si>
    <t>VAC</t>
  </si>
  <si>
    <t xml:space="preserve">VITAMIN D3 TYPE 100           </t>
  </si>
  <si>
    <t>VAE</t>
  </si>
  <si>
    <t xml:space="preserve">D-ALPHA-TOCO. (COVITOL 1185)  </t>
  </si>
  <si>
    <t>VAO</t>
  </si>
  <si>
    <t xml:space="preserve">VITAMIN K1 5%                 </t>
  </si>
  <si>
    <t>VBQ</t>
  </si>
  <si>
    <t xml:space="preserve">D-ALPHA-TOCO. (COVITOL 1210)  </t>
  </si>
  <si>
    <t>VBV</t>
  </si>
  <si>
    <t xml:space="preserve">VALERIAN ROOT EXT 4:1         </t>
  </si>
  <si>
    <t>WAA</t>
  </si>
  <si>
    <t xml:space="preserve">PROCESS WATER                 </t>
  </si>
  <si>
    <t xml:space="preserve">WHITE OPADRY (II) 85G58923    </t>
  </si>
  <si>
    <t>YAS</t>
  </si>
  <si>
    <t xml:space="preserve">OPADRY II YELLOW 85G52820     </t>
  </si>
  <si>
    <t>ZAC</t>
  </si>
  <si>
    <t xml:space="preserve">ZINC SULPHATE MONOHYDRATE     </t>
  </si>
  <si>
    <t>ZAE</t>
  </si>
  <si>
    <t xml:space="preserve">ZINC CHELATE 20% 18 MESH      </t>
  </si>
  <si>
    <t>ZAF</t>
  </si>
  <si>
    <t>PURIFIED WATER BP</t>
  </si>
  <si>
    <t>Tray loading Rate (mins/kg)</t>
  </si>
  <si>
    <t>Cost Estimate - Baulkham Hills 2013</t>
  </si>
  <si>
    <t>FCQ No.</t>
  </si>
  <si>
    <t xml:space="preserve">Product Name: </t>
  </si>
  <si>
    <t>COST ESTIMATE SUMMARY</t>
  </si>
  <si>
    <t>Demand QTY</t>
  </si>
  <si>
    <t>RECOMMENDED SELLING PRICE</t>
  </si>
  <si>
    <t>Cost Category</t>
  </si>
  <si>
    <t>Cost/Unit</t>
  </si>
  <si>
    <t>Recovery</t>
  </si>
  <si>
    <t>Summary</t>
  </si>
  <si>
    <t>By Unit</t>
  </si>
  <si>
    <t>By Demand</t>
  </si>
  <si>
    <t>ADDITIONAL CAPITAL EXPENDITURE AND ASSUMPTIONS</t>
  </si>
  <si>
    <t>Bulk Material Costs</t>
  </si>
  <si>
    <t>Direct Cost</t>
  </si>
  <si>
    <t>Additional Capital Expenditure:</t>
  </si>
  <si>
    <t>Packaging Material Costs</t>
  </si>
  <si>
    <t>Total Material Cost</t>
  </si>
  <si>
    <t>At 30% contribution</t>
  </si>
  <si>
    <t>Total Direct  Labour</t>
  </si>
  <si>
    <t>At 40% contribution</t>
  </si>
  <si>
    <t>Total Variable O/H Costs</t>
  </si>
  <si>
    <t>At 50% contribution</t>
  </si>
  <si>
    <t>TOTAL DIRECT  COSTS</t>
  </si>
  <si>
    <t>At 60% contribution</t>
  </si>
  <si>
    <t>Assumptions:</t>
  </si>
  <si>
    <t>Total Fixed O/H Costs</t>
  </si>
  <si>
    <t>Total QC O/H Costs</t>
  </si>
  <si>
    <t>Total Factory Cost</t>
  </si>
  <si>
    <t>TOTAL FACTORY COST</t>
  </si>
  <si>
    <t>Additional Expenses</t>
  </si>
  <si>
    <t>At 20% Gross Margin</t>
  </si>
  <si>
    <t>Outside Packing</t>
  </si>
  <si>
    <t>At 30% Gross Margin</t>
  </si>
  <si>
    <t>TOTAL ESTIMATED PRODUCT COST</t>
  </si>
  <si>
    <t>At 40% Gross Margin</t>
  </si>
  <si>
    <t>MANUFACTURING BOM</t>
  </si>
  <si>
    <t>Batch Size</t>
  </si>
  <si>
    <t>PACKAGING BOM</t>
  </si>
  <si>
    <t>Bulk QTY Req</t>
  </si>
  <si>
    <t>Loss Factor</t>
  </si>
  <si>
    <t>=</t>
  </si>
  <si>
    <t>Item No.</t>
  </si>
  <si>
    <t>Qty Req</t>
  </si>
  <si>
    <t>UOM</t>
  </si>
  <si>
    <t>Cost / UOM</t>
  </si>
  <si>
    <t>Cost /Batch</t>
  </si>
  <si>
    <t>Cost /Unit</t>
  </si>
  <si>
    <t>Cost /Pack</t>
  </si>
  <si>
    <t>MOQ's</t>
  </si>
  <si>
    <t>Total MFG Materials</t>
  </si>
  <si>
    <t>Total Packing Materials/UOM</t>
  </si>
  <si>
    <t>12/13 BUDGETED RATES</t>
  </si>
  <si>
    <t>DISP</t>
  </si>
  <si>
    <t>GRAN</t>
  </si>
  <si>
    <t>TAB/COMP</t>
  </si>
  <si>
    <t>COATING</t>
  </si>
  <si>
    <t>BLISTER</t>
  </si>
  <si>
    <t>BOTTLE</t>
  </si>
  <si>
    <t>SACHET</t>
  </si>
  <si>
    <t>HAND PACKING</t>
  </si>
  <si>
    <t>QC</t>
  </si>
  <si>
    <t>Direct Labour Rates</t>
  </si>
  <si>
    <t>Variable Overhead Rates</t>
  </si>
  <si>
    <t>Fixed Overhead Rates</t>
  </si>
  <si>
    <t>ESTIMATED ROUTING</t>
  </si>
  <si>
    <t>Labour Hours per Batch/1000 Packs</t>
  </si>
  <si>
    <t>Machine Hours per Batch/1000 Packs</t>
  </si>
  <si>
    <t>No. Of  Operators</t>
  </si>
  <si>
    <t>ESTIMATED LABOUR AND OVERHEAD COSTS</t>
  </si>
  <si>
    <t>DIRECT LABOUR COSTS</t>
  </si>
  <si>
    <t>VAR. O/HEAD COSTS</t>
  </si>
  <si>
    <t>DL&amp;VOH COSTS</t>
  </si>
  <si>
    <t>FIXED O/H COSTS</t>
  </si>
  <si>
    <t>FIXED O/H QC COSTS</t>
  </si>
  <si>
    <t>TOTAL DL &amp; OH COSTS</t>
  </si>
  <si>
    <t>29/02/2012</t>
  </si>
  <si>
    <t xml:space="preserve">                              </t>
  </si>
  <si>
    <t xml:space="preserve">    </t>
  </si>
  <si>
    <t>Cost Set 80</t>
  </si>
  <si>
    <t xml:space="preserve">                    </t>
  </si>
  <si>
    <t xml:space="preserve">Item           </t>
  </si>
  <si>
    <t xml:space="preserve">Material            </t>
  </si>
  <si>
    <t xml:space="preserve">Pack                </t>
  </si>
  <si>
    <t xml:space="preserve">Actives             </t>
  </si>
  <si>
    <t xml:space="preserve">Labour - Mfg        </t>
  </si>
  <si>
    <t xml:space="preserve">Labour -Pack        </t>
  </si>
  <si>
    <t xml:space="preserve">VOH - Mfg           </t>
  </si>
  <si>
    <t xml:space="preserve">VOH - Pack          </t>
  </si>
  <si>
    <t xml:space="preserve">FOH - Mfg           </t>
  </si>
  <si>
    <t xml:space="preserve">FOH - Pack          </t>
  </si>
  <si>
    <t xml:space="preserve">QC/QA - Mfg         </t>
  </si>
  <si>
    <t xml:space="preserve">QC/QA - Pack        </t>
  </si>
  <si>
    <t xml:space="preserve">Outplant            </t>
  </si>
  <si>
    <t xml:space="preserve">Cst Adjust          </t>
  </si>
  <si>
    <t xml:space="preserve">Number         </t>
  </si>
  <si>
    <t xml:space="preserve">Description                   </t>
  </si>
  <si>
    <t>Type</t>
  </si>
  <si>
    <t>Clas</t>
  </si>
  <si>
    <t xml:space="preserve">Fac </t>
  </si>
  <si>
    <t xml:space="preserve">UOM </t>
  </si>
  <si>
    <t xml:space="preserve">Bkt 10, 11          </t>
  </si>
  <si>
    <t xml:space="preserve">Bkt 12, 13          </t>
  </si>
  <si>
    <t xml:space="preserve">Bkt 15, 16          </t>
  </si>
  <si>
    <t xml:space="preserve">Bkt 20              </t>
  </si>
  <si>
    <t xml:space="preserve">Bkt 26              </t>
  </si>
  <si>
    <t xml:space="preserve">Bkt 30              </t>
  </si>
  <si>
    <t xml:space="preserve">Bkt 35              </t>
  </si>
  <si>
    <t xml:space="preserve">Bkt 40              </t>
  </si>
  <si>
    <t xml:space="preserve">Bkt 45              </t>
  </si>
  <si>
    <t xml:space="preserve">Bkt 46              </t>
  </si>
  <si>
    <t xml:space="preserve">Bkt 48              </t>
  </si>
  <si>
    <t xml:space="preserve">Bkt 50              </t>
  </si>
  <si>
    <t xml:space="preserve">Bkt 60              </t>
  </si>
  <si>
    <t>80 STD</t>
  </si>
  <si>
    <t xml:space="preserve">S   </t>
  </si>
  <si>
    <t xml:space="preserve">KG  </t>
  </si>
  <si>
    <t>000032</t>
  </si>
  <si>
    <t xml:space="preserve">LABEL ISONIAZID BP TABS 100MG </t>
  </si>
  <si>
    <t xml:space="preserve">P   </t>
  </si>
  <si>
    <t xml:space="preserve">EA  </t>
  </si>
  <si>
    <t xml:space="preserve">R   </t>
  </si>
  <si>
    <t>000081</t>
  </si>
  <si>
    <t>BOTTLE 20ML ROUND WHITE PLASTI</t>
  </si>
  <si>
    <t>000082</t>
  </si>
  <si>
    <t>BOTTLE 35ML ROUND WHITE PLASTI</t>
  </si>
  <si>
    <t>000083</t>
  </si>
  <si>
    <t>BOTTLE 55ML ROUND WHITE PLASTI</t>
  </si>
  <si>
    <t>000084</t>
  </si>
  <si>
    <t>BOTTLE 90ML ROUND WHITE PLASTI</t>
  </si>
  <si>
    <t>000085</t>
  </si>
  <si>
    <t>BOTTLE 150ML ROUND WHITE PLAST</t>
  </si>
  <si>
    <t>000086</t>
  </si>
  <si>
    <t>CAP 28MM WHITE PLASTIC (T/TEL)</t>
  </si>
  <si>
    <t>000092</t>
  </si>
  <si>
    <t xml:space="preserve">PUMP NASAL SPRAY 27MM TUBE    </t>
  </si>
  <si>
    <t>000132</t>
  </si>
  <si>
    <t>CAP 33MM WHITE PLASTIC (T/TEL)</t>
  </si>
  <si>
    <t>000160</t>
  </si>
  <si>
    <t>CAP 28MM WHT PL(T/TEL)(WADDED)</t>
  </si>
  <si>
    <t>000161</t>
  </si>
  <si>
    <t>CAP 38MM WHITE PLASTIC (T/TEL)</t>
  </si>
  <si>
    <t>000221</t>
  </si>
  <si>
    <t>OUTER 000221 (410 X 250 X 205M</t>
  </si>
  <si>
    <t>000279</t>
  </si>
  <si>
    <t xml:space="preserve">FILM 203MM PVDC (CLEAR)       </t>
  </si>
  <si>
    <t>000280</t>
  </si>
  <si>
    <t>OUTER 000280 (320 X 265 X 200M</t>
  </si>
  <si>
    <t>000377</t>
  </si>
  <si>
    <t>OUTER 000377 (400 X 344 X 215M</t>
  </si>
  <si>
    <t>000467</t>
  </si>
  <si>
    <t>000483</t>
  </si>
  <si>
    <t xml:space="preserve">FILM 103MM PVDC 250/40 CLEAR  </t>
  </si>
  <si>
    <t>000492</t>
  </si>
  <si>
    <t xml:space="preserve">OUTER 335X225X195MM           </t>
  </si>
  <si>
    <t>000745</t>
  </si>
  <si>
    <t xml:space="preserve">BOTTLE GASTROGEL 150ML NF T/E </t>
  </si>
  <si>
    <t>000746</t>
  </si>
  <si>
    <t>CAP 24MM GREEN PLASTIC T/E WAD</t>
  </si>
  <si>
    <t>000834</t>
  </si>
  <si>
    <t xml:space="preserve">LABEL COLOXYL &amp; SENNA F/C 90  </t>
  </si>
  <si>
    <t>000835</t>
  </si>
  <si>
    <t xml:space="preserve">LABEL COLOXYL &amp; SENNA F/C 30  </t>
  </si>
  <si>
    <t>000869</t>
  </si>
  <si>
    <t>CARTON PREDSOL SUPPOSITORIES 1</t>
  </si>
  <si>
    <t>000870</t>
  </si>
  <si>
    <t xml:space="preserve">FOIL PREDSOL SUPPOS 56MM      </t>
  </si>
  <si>
    <t>000900</t>
  </si>
  <si>
    <t xml:space="preserve">BOTTLE 4L RECT. NATURAL       </t>
  </si>
  <si>
    <t>001121</t>
  </si>
  <si>
    <t xml:space="preserve">FILM 138MM PVC/PVDC           </t>
  </si>
  <si>
    <t>001123</t>
  </si>
  <si>
    <t xml:space="preserve">X LABEL SOLONE TABS 25MG 30   </t>
  </si>
  <si>
    <t>001124</t>
  </si>
  <si>
    <t xml:space="preserve">LABEL SOLONE TABS 5MG 60      </t>
  </si>
  <si>
    <t>001125</t>
  </si>
  <si>
    <t xml:space="preserve">X LABEL SONE TABS 5MG 60      </t>
  </si>
  <si>
    <t>001126</t>
  </si>
  <si>
    <t xml:space="preserve">X LABEL SONE TABS 25MG 30     </t>
  </si>
  <si>
    <t>001140</t>
  </si>
  <si>
    <t>LABEL COLOXYL &amp; SENNA F/C 30(N</t>
  </si>
  <si>
    <t>001143</t>
  </si>
  <si>
    <t>LABEL COLOXYL &amp; SENNA F/C 90(N</t>
  </si>
  <si>
    <t>001276</t>
  </si>
  <si>
    <t xml:space="preserve">OUTER 354X238X142MM           </t>
  </si>
  <si>
    <t>001498</t>
  </si>
  <si>
    <t>FOIL CODALGIN TABS 203MM ALUMI</t>
  </si>
  <si>
    <t>001541</t>
  </si>
  <si>
    <t>BOTTLE 1200ML WHITE ROUND HDPE</t>
  </si>
  <si>
    <t>001542</t>
  </si>
  <si>
    <t>CAP 95MM WHITE POLYPROP WADDED</t>
  </si>
  <si>
    <t>001543</t>
  </si>
  <si>
    <t xml:space="preserve">LABEL CAPURATE 300MG CAPS 800 </t>
  </si>
  <si>
    <t>001616</t>
  </si>
  <si>
    <t xml:space="preserve">BOTTLE 400ML ROUND CLEAR PET  </t>
  </si>
  <si>
    <t>001620</t>
  </si>
  <si>
    <t>CAP 63MM WHITE PLASTIC T/T WAD</t>
  </si>
  <si>
    <t>001757</t>
  </si>
  <si>
    <t xml:space="preserve">FILM 102MM PVC O/D 400 CLEAR  </t>
  </si>
  <si>
    <t>001759</t>
  </si>
  <si>
    <t xml:space="preserve">FILM 102MM PVC O/D 400 OPAQUE </t>
  </si>
  <si>
    <t>001764</t>
  </si>
  <si>
    <t xml:space="preserve">FOIL UREX TABS 40MG 102MM     </t>
  </si>
  <si>
    <t>001765</t>
  </si>
  <si>
    <t>FOIL GRISOVIN 500MG TABS 102MM</t>
  </si>
  <si>
    <t>001824</t>
  </si>
  <si>
    <t xml:space="preserve">OUTER 494X334X238MM           </t>
  </si>
  <si>
    <t>001825</t>
  </si>
  <si>
    <t xml:space="preserve">OUTER 390X295X302MM           </t>
  </si>
  <si>
    <t>001917</t>
  </si>
  <si>
    <t xml:space="preserve">DIVISION PLAIN 294X198MM      </t>
  </si>
  <si>
    <t>001978</t>
  </si>
  <si>
    <t xml:space="preserve">OUTER 465x260x285             </t>
  </si>
  <si>
    <t>002278</t>
  </si>
  <si>
    <t xml:space="preserve">FOIL LOGICIN FLU D&amp;N TABS     </t>
  </si>
  <si>
    <t>002279</t>
  </si>
  <si>
    <t xml:space="preserve">FILM 115MM CLEAR PVC/PVDC     </t>
  </si>
  <si>
    <t>002286</t>
  </si>
  <si>
    <t xml:space="preserve">FOIL LOGICIN SINUS TABS       </t>
  </si>
  <si>
    <t>002485</t>
  </si>
  <si>
    <t xml:space="preserve">OUTER 482X260X295MM           </t>
  </si>
  <si>
    <t xml:space="preserve">L   </t>
  </si>
  <si>
    <t>002640</t>
  </si>
  <si>
    <t xml:space="preserve">OUTER 340x220x290MM           </t>
  </si>
  <si>
    <t>002688</t>
  </si>
  <si>
    <t xml:space="preserve">JAR 100G WHITE PLASTIC        </t>
  </si>
  <si>
    <t>002693</t>
  </si>
  <si>
    <t xml:space="preserve">LABEL REFRIGERATE             </t>
  </si>
  <si>
    <t>002764</t>
  </si>
  <si>
    <t xml:space="preserve">OUTER 374X190X136MM           </t>
  </si>
  <si>
    <t>002824</t>
  </si>
  <si>
    <t xml:space="preserve">JAR 500G WHITE HDPE           </t>
  </si>
  <si>
    <t>002857</t>
  </si>
  <si>
    <t xml:space="preserve">FILM 109MM PVC CLEAR          </t>
  </si>
  <si>
    <t>002885</t>
  </si>
  <si>
    <t>CAP 38MM WHITE PP IND SEAL WAD</t>
  </si>
  <si>
    <t>002921</t>
  </si>
  <si>
    <t xml:space="preserve">BOTTLE 20ML ROUND WHITE HDPE  </t>
  </si>
  <si>
    <t>002956</t>
  </si>
  <si>
    <t xml:space="preserve">FILM 116MM TRIPLEX CLEAR      </t>
  </si>
  <si>
    <t>002981A</t>
  </si>
  <si>
    <t xml:space="preserve">PALLET BOX - CAPS (KHK)       </t>
  </si>
  <si>
    <t>002981B</t>
  </si>
  <si>
    <t xml:space="preserve">PALLET BOX - SLEEVES (KHK)    </t>
  </si>
  <si>
    <t>002981C</t>
  </si>
  <si>
    <t xml:space="preserve">PALLET BOX - SLEEVES HALF     </t>
  </si>
  <si>
    <t>003058</t>
  </si>
  <si>
    <t xml:space="preserve">CARTON SIGMACORT CREAM 30G    </t>
  </si>
  <si>
    <t>003060</t>
  </si>
  <si>
    <t xml:space="preserve">CARTON SIGMACORT OINTMENT 30G </t>
  </si>
  <si>
    <t>003139</t>
  </si>
  <si>
    <t xml:space="preserve">FILM 116MM CLEAR PVC 300UM    </t>
  </si>
  <si>
    <t>003146</t>
  </si>
  <si>
    <t xml:space="preserve">FILM 116MM CLEAR PVC 200UM    </t>
  </si>
  <si>
    <t>003155</t>
  </si>
  <si>
    <t xml:space="preserve">BOTTLE 20ML WHITE HDPE        </t>
  </si>
  <si>
    <t>003158</t>
  </si>
  <si>
    <t>LABEL ISORDIL TABS 5MG 100 (WY</t>
  </si>
  <si>
    <t>003165</t>
  </si>
  <si>
    <t xml:space="preserve">CAP 35MM YELLOW PP            </t>
  </si>
  <si>
    <t>003182</t>
  </si>
  <si>
    <t xml:space="preserve">OUTER 570X333X230MM           </t>
  </si>
  <si>
    <t>003220</t>
  </si>
  <si>
    <t xml:space="preserve">OUTER 376X268X188MM           </t>
  </si>
  <si>
    <t>003297</t>
  </si>
  <si>
    <t xml:space="preserve">FOIL 20UM AL PLAIN 102MM      </t>
  </si>
  <si>
    <t>003367</t>
  </si>
  <si>
    <t>OUTER 003367 (545 X 280 X 280M</t>
  </si>
  <si>
    <t>003400</t>
  </si>
  <si>
    <t xml:space="preserve">CARTON BETNOVATE 1/5 CRM 100G </t>
  </si>
  <si>
    <t>003429</t>
  </si>
  <si>
    <t xml:space="preserve">LABEL ZYLOPRIM TABS 100MG 200 </t>
  </si>
  <si>
    <t>003503</t>
  </si>
  <si>
    <t xml:space="preserve">FOIL LANOXIN TABS 250MCG      </t>
  </si>
  <si>
    <t>003505</t>
  </si>
  <si>
    <t xml:space="preserve">CARTON ZYLOPRIM TABS 300MG 60 </t>
  </si>
  <si>
    <t>003506</t>
  </si>
  <si>
    <t xml:space="preserve">FOIL ZYLOPRIM TABS 300MG      </t>
  </si>
  <si>
    <t>003510</t>
  </si>
  <si>
    <t>LABEL LANOXIN TABS 62.5MCG 200</t>
  </si>
  <si>
    <t>003539</t>
  </si>
  <si>
    <t xml:space="preserve">OUTER 360X325X270MM           </t>
  </si>
  <si>
    <t>003623</t>
  </si>
  <si>
    <t>OUTER 003623 (390 X 220 X430MM</t>
  </si>
  <si>
    <t>003756</t>
  </si>
  <si>
    <t>CAP 28MM WHITE C/R WAD CLIKLOK</t>
  </si>
  <si>
    <t>003789</t>
  </si>
  <si>
    <t xml:space="preserve">OUTER 355X325X245MM           </t>
  </si>
  <si>
    <t>003837</t>
  </si>
  <si>
    <t xml:space="preserve">LABEL TRIPRIM TABS 300MG 7    </t>
  </si>
  <si>
    <t>003861</t>
  </si>
  <si>
    <t xml:space="preserve">LABEL TRANDATE TABS 200MG 100 </t>
  </si>
  <si>
    <t>003905D</t>
  </si>
  <si>
    <t>INFACOL WIND DROPS 30ML MAL (F</t>
  </si>
  <si>
    <t xml:space="preserve">X   </t>
  </si>
  <si>
    <t xml:space="preserve">KO  </t>
  </si>
  <si>
    <t>004066</t>
  </si>
  <si>
    <t>X FOIL MERSYNDOL DS CPLT 104MM</t>
  </si>
  <si>
    <t>004069</t>
  </si>
  <si>
    <t xml:space="preserve">FILM 104MM CLR PVC 250UM      </t>
  </si>
  <si>
    <t>004120</t>
  </si>
  <si>
    <t xml:space="preserve">CARTON BETNOVATE OINT 30G     </t>
  </si>
  <si>
    <t>004145</t>
  </si>
  <si>
    <t xml:space="preserve">CARTON BETNOVATE 1/2 OINT 15G </t>
  </si>
  <si>
    <t>004153</t>
  </si>
  <si>
    <t xml:space="preserve">CARTON ISORDIL TABS 10MG 100  </t>
  </si>
  <si>
    <t>004253</t>
  </si>
  <si>
    <t xml:space="preserve">LABEL TRANDATE TABS 100MG 100 </t>
  </si>
  <si>
    <t>004257</t>
  </si>
  <si>
    <t xml:space="preserve">CARTON SIGMACORT CREAM 50G    </t>
  </si>
  <si>
    <t>004329</t>
  </si>
  <si>
    <t xml:space="preserve">OUTER 348X307X185             </t>
  </si>
  <si>
    <t>004339</t>
  </si>
  <si>
    <t xml:space="preserve">FOIL SEPTRIN FORTE            </t>
  </si>
  <si>
    <t>004340</t>
  </si>
  <si>
    <t xml:space="preserve">CARTON SEPTRIN FORTE          </t>
  </si>
  <si>
    <t>004419</t>
  </si>
  <si>
    <t xml:space="preserve">KLUBEROIL 4 UHI-32            </t>
  </si>
  <si>
    <t>004421</t>
  </si>
  <si>
    <t xml:space="preserve">KLUBEROIL 4 UHI-1500 SPRAY    </t>
  </si>
  <si>
    <t>004422</t>
  </si>
  <si>
    <t xml:space="preserve">KLUBERSYNTH UH1 14-151        </t>
  </si>
  <si>
    <t>004426</t>
  </si>
  <si>
    <t xml:space="preserve">KLUBER POLYLUB WH2            </t>
  </si>
  <si>
    <t>004458</t>
  </si>
  <si>
    <t>FILM 220MM POLYTHENE (HEATSHRI</t>
  </si>
  <si>
    <t>004473</t>
  </si>
  <si>
    <t xml:space="preserve">OUTER 350X220X282MM           </t>
  </si>
  <si>
    <t>004476</t>
  </si>
  <si>
    <t xml:space="preserve">CTN ODRIK 2MG X 7             </t>
  </si>
  <si>
    <t>004598</t>
  </si>
  <si>
    <t>LABEL TUN UNGVITA OINTMENT 50G</t>
  </si>
  <si>
    <t>004740</t>
  </si>
  <si>
    <t xml:space="preserve">LFT BONEFOS CAPS/TABS         </t>
  </si>
  <si>
    <t>004741</t>
  </si>
  <si>
    <t xml:space="preserve">CTN BONEFOS TABS 800MG X 60   </t>
  </si>
  <si>
    <t>004752</t>
  </si>
  <si>
    <t>BONEFOS TABS 800MG X 10 P/FORM</t>
  </si>
  <si>
    <t>004772</t>
  </si>
  <si>
    <t xml:space="preserve">X FOIL VALPAM TABLETS 5MG     </t>
  </si>
  <si>
    <t>004780</t>
  </si>
  <si>
    <t>PALLET 1000 X 1200MM UK EXPORT</t>
  </si>
  <si>
    <t>004854</t>
  </si>
  <si>
    <t>CTN BONEFOS CAPS 400MG X 100 N</t>
  </si>
  <si>
    <t xml:space="preserve">GM  </t>
  </si>
  <si>
    <t>004930</t>
  </si>
  <si>
    <t xml:space="preserve">LBL PROBANTHINE TABS 15MG 100 </t>
  </si>
  <si>
    <t>004955</t>
  </si>
  <si>
    <t xml:space="preserve">FOIL PEDIALYTE ORANGE         </t>
  </si>
  <si>
    <t>005098</t>
  </si>
  <si>
    <t>CTN/LFSRT ANZEMET TABS 200MGX5</t>
  </si>
  <si>
    <t>005099</t>
  </si>
  <si>
    <t>CTN/LFSRT ANZEMET TABS 200MGX2</t>
  </si>
  <si>
    <t>005100</t>
  </si>
  <si>
    <t>CTN/LFSERT ANZEMET TABS 50MGX5</t>
  </si>
  <si>
    <t>005102</t>
  </si>
  <si>
    <t xml:space="preserve">FOIL ANZEMET 50MG TABS        </t>
  </si>
  <si>
    <t>005103</t>
  </si>
  <si>
    <t xml:space="preserve">FOIL ANZEMET 200MG TABS       </t>
  </si>
  <si>
    <t>005192</t>
  </si>
  <si>
    <t>FOIL CODEINE PHOSPHATE TABS 30</t>
  </si>
  <si>
    <t>005193</t>
  </si>
  <si>
    <t xml:space="preserve">CARTON CODEINE PHOSPHATE TABS </t>
  </si>
  <si>
    <t>005195</t>
  </si>
  <si>
    <t>005196</t>
  </si>
  <si>
    <t xml:space="preserve">OUTER 365X325X280MM           </t>
  </si>
  <si>
    <t>005197</t>
  </si>
  <si>
    <t xml:space="preserve">FOIL ANAMORPH TABLETS 30MG 20 </t>
  </si>
  <si>
    <t>005198</t>
  </si>
  <si>
    <t>X CARTON ANAMORPH TABS 30MG 20</t>
  </si>
  <si>
    <t>005209</t>
  </si>
  <si>
    <t xml:space="preserve">FILM 175MM CLEAR PVC 250UM    </t>
  </si>
  <si>
    <t>005271</t>
  </si>
  <si>
    <t xml:space="preserve">FILM BL CLEAR 104MM PVC/PVDC  </t>
  </si>
  <si>
    <t>005283</t>
  </si>
  <si>
    <t>CARTON ARISTOCORT OINT 0.02% 1</t>
  </si>
  <si>
    <t>005284</t>
  </si>
  <si>
    <t xml:space="preserve">CARTON ARISTOCORT CREAM 0.02% </t>
  </si>
  <si>
    <t>005297</t>
  </si>
  <si>
    <t xml:space="preserve">LBL LAXSOL TABS 200 NZ        </t>
  </si>
  <si>
    <t>005320</t>
  </si>
  <si>
    <t xml:space="preserve">C120 BUBBLE FILM 340MM        </t>
  </si>
  <si>
    <t>005324</t>
  </si>
  <si>
    <t>FOIL PARALGIN TABS 102MM ALUMI</t>
  </si>
  <si>
    <t>005325</t>
  </si>
  <si>
    <t>FOIL CODALGIN TABS 102MM ALUMI</t>
  </si>
  <si>
    <t>005329</t>
  </si>
  <si>
    <t xml:space="preserve">FILM BL 108MM CLEAR PVC/PVDC  </t>
  </si>
  <si>
    <t>005341</t>
  </si>
  <si>
    <t xml:space="preserve">OUTER 406X362X319MM           </t>
  </si>
  <si>
    <t xml:space="preserve">OUTER 450X175X314MM           </t>
  </si>
  <si>
    <t>005410</t>
  </si>
  <si>
    <t xml:space="preserve">FOIL KWELLS TABS 0.3MG        </t>
  </si>
  <si>
    <t>005450</t>
  </si>
  <si>
    <t xml:space="preserve">OUTER 300X266X435MM           </t>
  </si>
  <si>
    <t xml:space="preserve">CTN MINOMYCIN TABS 50MG X 60  </t>
  </si>
  <si>
    <t>005496</t>
  </si>
  <si>
    <t xml:space="preserve">FOIL MINOMYCIN TABS 50MG X 60 </t>
  </si>
  <si>
    <t>005652</t>
  </si>
  <si>
    <t xml:space="preserve">ANZEMET TABS 200MG BULK       </t>
  </si>
  <si>
    <t xml:space="preserve">TH  </t>
  </si>
  <si>
    <t xml:space="preserve">FILM 118MM PVDC 250/40 WHITE  </t>
  </si>
  <si>
    <t>005657</t>
  </si>
  <si>
    <t xml:space="preserve">ANZEMET TABS 50MG BULK        </t>
  </si>
  <si>
    <t xml:space="preserve">FILM 118MM CLEAR PVC 250UM    </t>
  </si>
  <si>
    <t xml:space="preserve">OUTER 570X259X370MM           </t>
  </si>
  <si>
    <t>005674</t>
  </si>
  <si>
    <t xml:space="preserve">OUTER 322X244X217MM           </t>
  </si>
  <si>
    <t>005678</t>
  </si>
  <si>
    <t xml:space="preserve">X CARTON TEMTAB TABS 10MG 25  </t>
  </si>
  <si>
    <t xml:space="preserve">FILM 116MM PVC/PVDC 250UM/40  </t>
  </si>
  <si>
    <t xml:space="preserve">FOIL SEREPAX 30MG             </t>
  </si>
  <si>
    <t xml:space="preserve">FILM 90MM PVC CLEAR           </t>
  </si>
  <si>
    <t xml:space="preserve">CTN SEREPAX 30MG X 25         </t>
  </si>
  <si>
    <t>005720</t>
  </si>
  <si>
    <t xml:space="preserve">FOIL SEREPAX 15MG             </t>
  </si>
  <si>
    <t>005722</t>
  </si>
  <si>
    <t xml:space="preserve">FOIL MURELAX 30MG             </t>
  </si>
  <si>
    <t>005723</t>
  </si>
  <si>
    <t xml:space="preserve">CTN MURELAX 30MG X 25         </t>
  </si>
  <si>
    <t>005732</t>
  </si>
  <si>
    <t>CARTON SIGMAXIN TABS 250MCG 10</t>
  </si>
  <si>
    <t>005733</t>
  </si>
  <si>
    <t xml:space="preserve">FOIL SIGMAXIN TABS 250MCG     </t>
  </si>
  <si>
    <t>005734</t>
  </si>
  <si>
    <t>LABEL SIGMAXIN PG TABS 62.5MCG</t>
  </si>
  <si>
    <t>005736</t>
  </si>
  <si>
    <t>LABEL LYCINATE TABS 600MCG 100</t>
  </si>
  <si>
    <t>005739</t>
  </si>
  <si>
    <t xml:space="preserve">CARTON CORTIVAL 1/5 CRM 100G  </t>
  </si>
  <si>
    <t>005748</t>
  </si>
  <si>
    <t xml:space="preserve">CARTON CORTIC-DS CREAM 30G    </t>
  </si>
  <si>
    <t>005751</t>
  </si>
  <si>
    <t xml:space="preserve">CARTON CORTIC-DS CREAM 50G    </t>
  </si>
  <si>
    <t>005754</t>
  </si>
  <si>
    <t xml:space="preserve">CARTON CORTIC-DS OINTMENT 30G </t>
  </si>
  <si>
    <t>005757</t>
  </si>
  <si>
    <t xml:space="preserve">CARTON CORTIC-DS OINTMENT 50G </t>
  </si>
  <si>
    <t>005762</t>
  </si>
  <si>
    <t xml:space="preserve">CTN MINO TABS 50MG X 60 (NZ)  </t>
  </si>
  <si>
    <t>005784</t>
  </si>
  <si>
    <t xml:space="preserve">OUTER 493X258X200MM           </t>
  </si>
  <si>
    <t>005786</t>
  </si>
  <si>
    <t xml:space="preserve">RIFADIN TABLETS 600MG BULK    </t>
  </si>
  <si>
    <t>005811</t>
  </si>
  <si>
    <t xml:space="preserve">FOIL ATIVAN TABS 1MG (SIGMA)  </t>
  </si>
  <si>
    <t>005812</t>
  </si>
  <si>
    <t>CARTON ATIVAN TABS 1MG 50 (SIG</t>
  </si>
  <si>
    <t>005813</t>
  </si>
  <si>
    <t>FOIL ATIVAN TABS 2.5MG (SIGMA)</t>
  </si>
  <si>
    <t>005814</t>
  </si>
  <si>
    <t>CARTON ATIVAN TABS 2.5MG 50 (S</t>
  </si>
  <si>
    <t>005853</t>
  </si>
  <si>
    <t xml:space="preserve">LABEL ISORDIL TABS 5MG 100    </t>
  </si>
  <si>
    <t xml:space="preserve">FILM 118MM PVDC 250/40 CLEAR  </t>
  </si>
  <si>
    <t>005931</t>
  </si>
  <si>
    <t xml:space="preserve">OUTER 425X234X190MM           </t>
  </si>
  <si>
    <t>005932</t>
  </si>
  <si>
    <t xml:space="preserve">LBL MINOMYCIN CAPS 100MG 100  </t>
  </si>
  <si>
    <t xml:space="preserve">LABEL T/E SEAL                </t>
  </si>
  <si>
    <t>005996</t>
  </si>
  <si>
    <t xml:space="preserve">FOIL MINO TABS 50MG (NZ)      </t>
  </si>
  <si>
    <t>006005</t>
  </si>
  <si>
    <t xml:space="preserve">ALU-TABS 600MG CORES (INOVA)  </t>
  </si>
  <si>
    <t>006020</t>
  </si>
  <si>
    <t xml:space="preserve">FOIL CARTIA 100MG 157MM       </t>
  </si>
  <si>
    <t>006029</t>
  </si>
  <si>
    <t>006068</t>
  </si>
  <si>
    <t xml:space="preserve">LABEL ALLOSIG TABS 100MG      </t>
  </si>
  <si>
    <t>006069</t>
  </si>
  <si>
    <t xml:space="preserve">FOIL ALLOSIG TABS 300MG       </t>
  </si>
  <si>
    <t>006070</t>
  </si>
  <si>
    <t xml:space="preserve">CARTON ALLOSIG TABS 300MG     </t>
  </si>
  <si>
    <t>006126</t>
  </si>
  <si>
    <t xml:space="preserve">RIFADIN CAPS 150MG BULK       </t>
  </si>
  <si>
    <t>006130</t>
  </si>
  <si>
    <t xml:space="preserve">RIFADIN CAPS 300MG BULK       </t>
  </si>
  <si>
    <t>006150</t>
  </si>
  <si>
    <t xml:space="preserve">PHENIRAMINE MALEATE BP        </t>
  </si>
  <si>
    <t xml:space="preserve">FILM COLDFORM 118MM           </t>
  </si>
  <si>
    <t>006176</t>
  </si>
  <si>
    <t>FOIL CARTIA 100MG 165MM SAMPLE</t>
  </si>
  <si>
    <t>006184</t>
  </si>
  <si>
    <t xml:space="preserve">CTN MESASAL 250MG X 100 AUS   </t>
  </si>
  <si>
    <t>006185</t>
  </si>
  <si>
    <t xml:space="preserve">FOIL MESASAL 250MG 157MM      </t>
  </si>
  <si>
    <t>006199</t>
  </si>
  <si>
    <t>CARTON TRICORTONE OINT 0.02% 1</t>
  </si>
  <si>
    <t>006202</t>
  </si>
  <si>
    <t>CARTON TRICORTONE CRM 0.02% 10</t>
  </si>
  <si>
    <t>006289</t>
  </si>
  <si>
    <t xml:space="preserve">LFLT RIFADIN CMI              </t>
  </si>
  <si>
    <t>006290</t>
  </si>
  <si>
    <t xml:space="preserve">OUTER 322X218X212MM           </t>
  </si>
  <si>
    <t>006379</t>
  </si>
  <si>
    <t>FOIL CITRALITE 150MM BWK/FOIL/</t>
  </si>
  <si>
    <t>006394</t>
  </si>
  <si>
    <t xml:space="preserve">OUTER 292X198X184MM           </t>
  </si>
  <si>
    <t>006439</t>
  </si>
  <si>
    <t xml:space="preserve">FOIL 116MM CODALGIN FORTE     </t>
  </si>
  <si>
    <t>006443</t>
  </si>
  <si>
    <t>LABEL SENNALAX TABS F/C 90 CHE</t>
  </si>
  <si>
    <t>006451</t>
  </si>
  <si>
    <t xml:space="preserve">CTN PEDIALYTE ORANGE          </t>
  </si>
  <si>
    <t>006454</t>
  </si>
  <si>
    <t xml:space="preserve">CAP 58MM YELLOW ABS WADDED    </t>
  </si>
  <si>
    <t>006456</t>
  </si>
  <si>
    <t xml:space="preserve">X NORTRIPTYLINE HYDROCHLORIDE </t>
  </si>
  <si>
    <t>006520</t>
  </si>
  <si>
    <t>LABEL ATIVAN TABS 1MG 250 (NZ)</t>
  </si>
  <si>
    <t>006521</t>
  </si>
  <si>
    <t>LABEL ATIVAN TABS 2.5MG 100(NZ</t>
  </si>
  <si>
    <t>006559</t>
  </si>
  <si>
    <t xml:space="preserve">OUTER 366X246X191MM           </t>
  </si>
  <si>
    <t>006591</t>
  </si>
  <si>
    <t xml:space="preserve">CARTON BETNOVATE CRM 30G      </t>
  </si>
  <si>
    <t>006640</t>
  </si>
  <si>
    <t xml:space="preserve">FOIL AVOMINE TABS 25MG        </t>
  </si>
  <si>
    <t>006642</t>
  </si>
  <si>
    <t xml:space="preserve">CTN AVOMINE TABS 25MG X 10    </t>
  </si>
  <si>
    <t>006671</t>
  </si>
  <si>
    <t>FOIL ASPIRIN 100MG TABS (AMCAL</t>
  </si>
  <si>
    <t>006811</t>
  </si>
  <si>
    <t>LABEL LANOXIN TABS 250MCG 1000</t>
  </si>
  <si>
    <t>006812</t>
  </si>
  <si>
    <t xml:space="preserve">X LBL LANOXIN TAB 62.5MCG 100 </t>
  </si>
  <si>
    <t>006813</t>
  </si>
  <si>
    <t xml:space="preserve">LABEL LANOXIN TAB 62.5MCG 500 </t>
  </si>
  <si>
    <t>006815</t>
  </si>
  <si>
    <t xml:space="preserve">OUTER 442X270X232MM           </t>
  </si>
  <si>
    <t>006816</t>
  </si>
  <si>
    <t>FOIL DOLA FORTE CAPSULE SHAPED</t>
  </si>
  <si>
    <t>006817</t>
  </si>
  <si>
    <t>CARTON DOLA FORTE CAPSULE SHAP</t>
  </si>
  <si>
    <t>006877</t>
  </si>
  <si>
    <t xml:space="preserve">LABEL ANGININE TABS 600MCG 30 </t>
  </si>
  <si>
    <t>006878</t>
  </si>
  <si>
    <t>LABEL ANGININE TABS 600MCG 100</t>
  </si>
  <si>
    <t>006879</t>
  </si>
  <si>
    <t>FOIL CODALGIN FORTE CAPSULE SH</t>
  </si>
  <si>
    <t>006880</t>
  </si>
  <si>
    <t xml:space="preserve">CARTON CODALGIN FORTE CAPSULE </t>
  </si>
  <si>
    <t>006947</t>
  </si>
  <si>
    <t xml:space="preserve">FOIL ZYLORIC TABS 300MG HK    </t>
  </si>
  <si>
    <t>006954</t>
  </si>
  <si>
    <t xml:space="preserve">CAP 56MM BLUE PLASTIC         </t>
  </si>
  <si>
    <t>006994</t>
  </si>
  <si>
    <t xml:space="preserve">LABEL TUN PLAIN 70X70MM       </t>
  </si>
  <si>
    <t>006995</t>
  </si>
  <si>
    <t xml:space="preserve">LABEL TUN PLAIN 100X100MM     </t>
  </si>
  <si>
    <t>006999</t>
  </si>
  <si>
    <t xml:space="preserve">THERMAL RIBBON 110MM X 450MT  </t>
  </si>
  <si>
    <t>007006</t>
  </si>
  <si>
    <t xml:space="preserve">X OUTER 580X510X310MM         </t>
  </si>
  <si>
    <t>007031</t>
  </si>
  <si>
    <t>LABEL TRANDATE TABS 100MG 60 H</t>
  </si>
  <si>
    <t>007033</t>
  </si>
  <si>
    <t xml:space="preserve">LITERATURE TRANDATE TABS HK   </t>
  </si>
  <si>
    <t>007034</t>
  </si>
  <si>
    <t xml:space="preserve">LITERATURE LANOXIN TABS       </t>
  </si>
  <si>
    <t>007040</t>
  </si>
  <si>
    <t>LABEL TRANDATE TABS 200MG 60 H</t>
  </si>
  <si>
    <t>007041</t>
  </si>
  <si>
    <t xml:space="preserve">LABEL ZYLORIC TABS 100MG 100  </t>
  </si>
  <si>
    <t>007055</t>
  </si>
  <si>
    <t>FOIL 116MM AMC IBUPROFEN 200MG</t>
  </si>
  <si>
    <t>007058</t>
  </si>
  <si>
    <t>CTN AMC IBUPROFEN TAB 200MG 96</t>
  </si>
  <si>
    <t>007059</t>
  </si>
  <si>
    <t xml:space="preserve">FOIL GAR IBUPROFEN TABS 200MG </t>
  </si>
  <si>
    <t>007063</t>
  </si>
  <si>
    <t xml:space="preserve">FOIL BUTALGIN TABS 200MG      </t>
  </si>
  <si>
    <t>007064</t>
  </si>
  <si>
    <t xml:space="preserve">CTN BUTALGIN TABS 200MG 24    </t>
  </si>
  <si>
    <t>007065</t>
  </si>
  <si>
    <t xml:space="preserve">CTN BUTALGIN TABS 200MG 48    </t>
  </si>
  <si>
    <t>007066</t>
  </si>
  <si>
    <t xml:space="preserve">CTN BUTALGIN TABS 200MG 96    </t>
  </si>
  <si>
    <t>007073</t>
  </si>
  <si>
    <t xml:space="preserve">LITERATURE ZYLORIC TABS HK    </t>
  </si>
  <si>
    <t>007090</t>
  </si>
  <si>
    <t>CTN BONEFOS TABS 800MG 10 SAMP</t>
  </si>
  <si>
    <t xml:space="preserve">OUTER 562X378X236MM           </t>
  </si>
  <si>
    <t xml:space="preserve">OUTER 562X349X271MM           </t>
  </si>
  <si>
    <t xml:space="preserve">OUTER 388X359X338MM           </t>
  </si>
  <si>
    <t>007126</t>
  </si>
  <si>
    <t xml:space="preserve">FOIL 106MM DOLASED TABLETS    </t>
  </si>
  <si>
    <t>007135</t>
  </si>
  <si>
    <t xml:space="preserve">LBL COLOXYL &amp; SENNA F/C NZ 90 </t>
  </si>
  <si>
    <t>007272</t>
  </si>
  <si>
    <t xml:space="preserve">FOIL-PRTD HOMEBRAND ASPIRIN   </t>
  </si>
  <si>
    <t>007306</t>
  </si>
  <si>
    <t>FOIL 131MM NO FRILLS IBUPROFEN</t>
  </si>
  <si>
    <t xml:space="preserve">TP  </t>
  </si>
  <si>
    <t>007307</t>
  </si>
  <si>
    <t xml:space="preserve">IND-CTN NO FRILLS IBU TABS 24 </t>
  </si>
  <si>
    <t>007329</t>
  </si>
  <si>
    <t xml:space="preserve">JAR 1 LITRE WHITE HDPE        </t>
  </si>
  <si>
    <t>007337</t>
  </si>
  <si>
    <t>CAP 95MM WHTE TT PLAS CELLO WA</t>
  </si>
  <si>
    <t>007342</t>
  </si>
  <si>
    <t>LABEL PARALGIN TABS 500MG 1000</t>
  </si>
  <si>
    <t>007352</t>
  </si>
  <si>
    <t xml:space="preserve">LFLT CARTIA CMI AUST          </t>
  </si>
  <si>
    <t>007374</t>
  </si>
  <si>
    <t>X IND CTN CO PAIN TABS 50'S PM</t>
  </si>
  <si>
    <t>007425</t>
  </si>
  <si>
    <t xml:space="preserve">LBL-CO PAIN TAB 100'S PM      </t>
  </si>
  <si>
    <t>007426</t>
  </si>
  <si>
    <t xml:space="preserve">IND CTN CO PAIN TAB 100'S PM  </t>
  </si>
  <si>
    <t>007427</t>
  </si>
  <si>
    <t xml:space="preserve">IND CTN CO PAIN TAB 50'S PO   </t>
  </si>
  <si>
    <t>007435</t>
  </si>
  <si>
    <t xml:space="preserve">GLISSEN 20L                   </t>
  </si>
  <si>
    <t>007436</t>
  </si>
  <si>
    <t xml:space="preserve">OUTER 372X235X240MM           </t>
  </si>
  <si>
    <t>007472</t>
  </si>
  <si>
    <t xml:space="preserve">FISH OIL 1000MG SOFTGELS      </t>
  </si>
  <si>
    <t xml:space="preserve">J   </t>
  </si>
  <si>
    <t>007480</t>
  </si>
  <si>
    <t>CTN PARAMAX TABS 500/5MGX10 NZ</t>
  </si>
  <si>
    <t>007482</t>
  </si>
  <si>
    <t>CTN PARAMAX TABS 500/5MGX60 NZ</t>
  </si>
  <si>
    <t>007532</t>
  </si>
  <si>
    <t xml:space="preserve">LFLT CARTIA 100MG N.Z.        </t>
  </si>
  <si>
    <t>007552</t>
  </si>
  <si>
    <t>X FOIL BOWEL CLEANSE SACHET 7.</t>
  </si>
  <si>
    <t>007570</t>
  </si>
  <si>
    <t xml:space="preserve">SAW PALMETTO 1.6G SGEL (ST)   </t>
  </si>
  <si>
    <t>007692</t>
  </si>
  <si>
    <t xml:space="preserve">X LBL-C0 PAIN TAB 100'S P0    </t>
  </si>
  <si>
    <t>007707</t>
  </si>
  <si>
    <t xml:space="preserve">SHP PLAIN VITAMIN 155ML PET   </t>
  </si>
  <si>
    <t>007708</t>
  </si>
  <si>
    <t xml:space="preserve">SHP PLAIN VITAMIN 270ML PET   </t>
  </si>
  <si>
    <t>007737</t>
  </si>
  <si>
    <t xml:space="preserve">CARTON ZOLATEN CREAM 5G       </t>
  </si>
  <si>
    <t>007741</t>
  </si>
  <si>
    <t>X CARTON COLD SORE CREAM 5G (C</t>
  </si>
  <si>
    <t>007745</t>
  </si>
  <si>
    <t xml:space="preserve">OUTER 430X316X153MM           </t>
  </si>
  <si>
    <t xml:space="preserve">FILM PVC CLEAR 92MM           </t>
  </si>
  <si>
    <t>FILM BL AMBER 92MM PVC250UM/40</t>
  </si>
  <si>
    <t xml:space="preserve">FILM BL AMBER 118MM PVC250UM/ </t>
  </si>
  <si>
    <t>007789</t>
  </si>
  <si>
    <t>FOIL DAY &amp; NIGHT RELIEF C&amp;F TA</t>
  </si>
  <si>
    <t>007790</t>
  </si>
  <si>
    <t>007805</t>
  </si>
  <si>
    <t xml:space="preserve">FOIL SURMONTIL CAPS 50MG      </t>
  </si>
  <si>
    <t>007822</t>
  </si>
  <si>
    <t>CTN L/S SURMONTIL CAPS 50MGX50</t>
  </si>
  <si>
    <t>007832</t>
  </si>
  <si>
    <t xml:space="preserve">X CTN ALLEGRON TABS 25MG X 50 </t>
  </si>
  <si>
    <t>007904</t>
  </si>
  <si>
    <t xml:space="preserve">OUTER 540X296X240MM           </t>
  </si>
  <si>
    <t>007915</t>
  </si>
  <si>
    <t>VERACAPS S.R. CAPS 160 MG(ALKE</t>
  </si>
  <si>
    <t>007923</t>
  </si>
  <si>
    <t>VERACAPS S.R. CAPS 240 MG(ALKE</t>
  </si>
  <si>
    <t>007963</t>
  </si>
  <si>
    <t>LABEL ARTANE TABS 2MG 200 (SIG</t>
  </si>
  <si>
    <t>007964</t>
  </si>
  <si>
    <t>LABEL ARTANE TABS 5MG 200 (SIG</t>
  </si>
  <si>
    <t>007965</t>
  </si>
  <si>
    <t>LABEL DIAMOX TABS 250MG 100 (S</t>
  </si>
  <si>
    <t>008014</t>
  </si>
  <si>
    <t xml:space="preserve">OUTER 580X203X192MM           </t>
  </si>
  <si>
    <t xml:space="preserve">OUTER 580X278X203MM           </t>
  </si>
  <si>
    <t xml:space="preserve">OUTER 450X343X194MM           </t>
  </si>
  <si>
    <t xml:space="preserve">OUTER 450X343X228MM           </t>
  </si>
  <si>
    <t>008019</t>
  </si>
  <si>
    <t xml:space="preserve">OUTER 542X343X247MM           </t>
  </si>
  <si>
    <t xml:space="preserve">OUTER 509X343X194MM           </t>
  </si>
  <si>
    <t>008099</t>
  </si>
  <si>
    <t xml:space="preserve">X CTN BIAXSIG TABS 300MG X 5  </t>
  </si>
  <si>
    <t>008108</t>
  </si>
  <si>
    <t>AUSRAN TABS 300MG BULK (CANADA</t>
  </si>
  <si>
    <t xml:space="preserve">FOIL AUSRAN TABS 150MG        </t>
  </si>
  <si>
    <t>008110</t>
  </si>
  <si>
    <t xml:space="preserve">CTN AUSRAN TABS 150MG 60      </t>
  </si>
  <si>
    <t>008111</t>
  </si>
  <si>
    <t xml:space="preserve">FOIL AUSRAN TABS 300MG        </t>
  </si>
  <si>
    <t xml:space="preserve">CTN AUSRAN TABS 300MG 30      </t>
  </si>
  <si>
    <t xml:space="preserve">FILM COLDFORM 128MM           </t>
  </si>
  <si>
    <t>008116</t>
  </si>
  <si>
    <t xml:space="preserve">PRINT MAT D-226-120153BK      </t>
  </si>
  <si>
    <t>008128</t>
  </si>
  <si>
    <t xml:space="preserve">FOIL-PRTD GRD PARA            </t>
  </si>
  <si>
    <t>008129</t>
  </si>
  <si>
    <t xml:space="preserve">IND CTN GRD PARA TABS 24      </t>
  </si>
  <si>
    <t xml:space="preserve">OUTER 405X322X268MM           </t>
  </si>
  <si>
    <t>008140</t>
  </si>
  <si>
    <t xml:space="preserve">LBL-HRRN PARA TABSULE 25'S    </t>
  </si>
  <si>
    <t>008142</t>
  </si>
  <si>
    <t xml:space="preserve">IND CTN-NO FRILLS PARA 24     </t>
  </si>
  <si>
    <t>008182</t>
  </si>
  <si>
    <t>FOIL 105MM AMC STRONG PAIN CAP</t>
  </si>
  <si>
    <t>008197</t>
  </si>
  <si>
    <t>X IND CTN AMC STRONG PAIN 48 P</t>
  </si>
  <si>
    <t>008203</t>
  </si>
  <si>
    <t xml:space="preserve">FOIL 105MM AMC STRONG PAIN +  </t>
  </si>
  <si>
    <t>008206</t>
  </si>
  <si>
    <t xml:space="preserve">CAP 28MM WHTE PLAS ARGUS-LOC  </t>
  </si>
  <si>
    <t>008214</t>
  </si>
  <si>
    <t>FOIL ASTRIX TABLETS 100MG (MAY</t>
  </si>
  <si>
    <t>008218</t>
  </si>
  <si>
    <t>IND CTN-AMC PARA PAIN REL 24'S</t>
  </si>
  <si>
    <t>008239</t>
  </si>
  <si>
    <t xml:space="preserve">LBL-AMC VITAMIN C 500MG 500'S </t>
  </si>
  <si>
    <t>008240</t>
  </si>
  <si>
    <t xml:space="preserve">PRINT MAT D-226-120153BG      </t>
  </si>
  <si>
    <t>008258</t>
  </si>
  <si>
    <t>ANGININE TABS 600MCG (STRIDES)</t>
  </si>
  <si>
    <t>008261</t>
  </si>
  <si>
    <t xml:space="preserve">X FOIL 108MM CO COLD &amp; FLU    </t>
  </si>
  <si>
    <t>008264</t>
  </si>
  <si>
    <t>X FOIL-PRTD CO HAYFEVER &amp; SINU</t>
  </si>
  <si>
    <t>008302</t>
  </si>
  <si>
    <t xml:space="preserve">FOIL 105MM CO PARA TABS 500MG </t>
  </si>
  <si>
    <t>008306</t>
  </si>
  <si>
    <t xml:space="preserve">FOIL-PRTD HERRON SENNETABS    </t>
  </si>
  <si>
    <t>008307</t>
  </si>
  <si>
    <t xml:space="preserve">IND CTN-HRRN SENNETABS 100'S  </t>
  </si>
  <si>
    <t>008308</t>
  </si>
  <si>
    <t xml:space="preserve">FOIL-PRTD HERRON SENNESOFT    </t>
  </si>
  <si>
    <t>008363</t>
  </si>
  <si>
    <t xml:space="preserve">BTL JAR WHT RND 500ML/83MM    </t>
  </si>
  <si>
    <t>008365</t>
  </si>
  <si>
    <t xml:space="preserve">SHP BLANK HDPE BTL 300ML/63MM </t>
  </si>
  <si>
    <t>008366</t>
  </si>
  <si>
    <t xml:space="preserve">SHP BLANK HDPE BTL 500ML/83MM </t>
  </si>
  <si>
    <t>008430</t>
  </si>
  <si>
    <t>CARTON COLD SORE CREAM 5G (GUA</t>
  </si>
  <si>
    <t>008442</t>
  </si>
  <si>
    <t>LABEL PHENOBARBITONE TABS 30MG</t>
  </si>
  <si>
    <t>008458</t>
  </si>
  <si>
    <t xml:space="preserve">PRINT MAT D-226-120153BR      </t>
  </si>
  <si>
    <t>008497</t>
  </si>
  <si>
    <t xml:space="preserve">FOIL 131MM HERRON PARACETAMOL </t>
  </si>
  <si>
    <t>008502</t>
  </si>
  <si>
    <t>CTN GASTROLYTE BLKCURNT TABX20</t>
  </si>
  <si>
    <t>008549</t>
  </si>
  <si>
    <t>LABEL TUN SHRNKFLM CARTIA 28NZ</t>
  </si>
  <si>
    <t>008550</t>
  </si>
  <si>
    <t>OUTER CARTIA TUN 100MG 28 (NZ)</t>
  </si>
  <si>
    <t>008551</t>
  </si>
  <si>
    <t>LABEL TUN SHRNKFLM CARTIA 84NZ</t>
  </si>
  <si>
    <t>008552</t>
  </si>
  <si>
    <t>OUTER CARTIA TUN 100MG 84 (NZ)</t>
  </si>
  <si>
    <t>008554</t>
  </si>
  <si>
    <t xml:space="preserve">IND CTN GLUFAN 60 (PORTUGAL)  </t>
  </si>
  <si>
    <t>008555</t>
  </si>
  <si>
    <t xml:space="preserve">LEAFLET GLUFAN (PORTUGAL)     </t>
  </si>
  <si>
    <t>008557</t>
  </si>
  <si>
    <t xml:space="preserve">PRINT MAT D-226-120153BU      </t>
  </si>
  <si>
    <t>008562</t>
  </si>
  <si>
    <t xml:space="preserve">PRINT MAT D-226-120153BT      </t>
  </si>
  <si>
    <t>008584</t>
  </si>
  <si>
    <t xml:space="preserve">FOIL 105MM AMC PARA TABS      </t>
  </si>
  <si>
    <t>008604</t>
  </si>
  <si>
    <t xml:space="preserve">PRINT MAT D-226-120153BS      </t>
  </si>
  <si>
    <t>008605</t>
  </si>
  <si>
    <t>008606</t>
  </si>
  <si>
    <t xml:space="preserve">SHP BLANK BTL 300ML/63MM SMAL </t>
  </si>
  <si>
    <t>008627</t>
  </si>
  <si>
    <t xml:space="preserve">X CTN NORMISON TABS 10MG 25NZ </t>
  </si>
  <si>
    <t>008629</t>
  </si>
  <si>
    <t>LITERATURE PARALGIN TABS 500MG</t>
  </si>
  <si>
    <t>008647</t>
  </si>
  <si>
    <t xml:space="preserve">FOIL 108MM AMC COLD &amp; FLU     </t>
  </si>
  <si>
    <t>008653</t>
  </si>
  <si>
    <t xml:space="preserve">FOIL 108MM GRD COLD &amp; FLU     </t>
  </si>
  <si>
    <t>008654</t>
  </si>
  <si>
    <t xml:space="preserve">IND CTN GRDN COLD &amp; FLU 24'S  </t>
  </si>
  <si>
    <t>008663</t>
  </si>
  <si>
    <t xml:space="preserve">PRINT MAT D-226-120153BN      </t>
  </si>
  <si>
    <t>008666</t>
  </si>
  <si>
    <t xml:space="preserve">PRINT MAT D-226-120153BO      </t>
  </si>
  <si>
    <t>008667</t>
  </si>
  <si>
    <t xml:space="preserve">SHPR-RED STRIPE CRASH LOCK    </t>
  </si>
  <si>
    <t>008709</t>
  </si>
  <si>
    <t>CARTON LOGICIN FLU D&amp;N TABS S3</t>
  </si>
  <si>
    <t>008722</t>
  </si>
  <si>
    <t xml:space="preserve">CARTON PARALGIN TABS 500MG 20 </t>
  </si>
  <si>
    <t>008724</t>
  </si>
  <si>
    <t>CARTON PARALGIN TABS 500MG 100</t>
  </si>
  <si>
    <t>008734</t>
  </si>
  <si>
    <t>X FOIL FORMET TABS 500MG (ARRO</t>
  </si>
  <si>
    <t>008736</t>
  </si>
  <si>
    <t>X FOIL FORMET TABS 850MG (ARRO</t>
  </si>
  <si>
    <t xml:space="preserve">X CTN FORMET TABS 850MG X 60  </t>
  </si>
  <si>
    <t>008738</t>
  </si>
  <si>
    <t xml:space="preserve">X FOIL FORMET TABS 1000MG     </t>
  </si>
  <si>
    <t>008756</t>
  </si>
  <si>
    <t xml:space="preserve">X TUBE BEPANTHEN CRM 100G T/E </t>
  </si>
  <si>
    <t>008758</t>
  </si>
  <si>
    <t>008759</t>
  </si>
  <si>
    <t>TUBE UNGVITA OINTMENT 50G (BAY</t>
  </si>
  <si>
    <t>008812</t>
  </si>
  <si>
    <t xml:space="preserve">SHP BLANK BTL 200ML HDPE      </t>
  </si>
  <si>
    <t>008829</t>
  </si>
  <si>
    <t xml:space="preserve">BTL JAR WHT RND 200ML/63MM    </t>
  </si>
  <si>
    <t>008847</t>
  </si>
  <si>
    <t>FOIL KWELLS TABS 0.3MG (BAYER)</t>
  </si>
  <si>
    <t xml:space="preserve">CARTON KWELLS TABS 0.3MG 10   </t>
  </si>
  <si>
    <t>OUTER KWELLS TABS 0.3MG 144X10</t>
  </si>
  <si>
    <t>008852</t>
  </si>
  <si>
    <t xml:space="preserve">FOIL 105MM CO COLD-EZE        </t>
  </si>
  <si>
    <t xml:space="preserve">FILM BL CLEAR 128MM PVC/PVDC  </t>
  </si>
  <si>
    <t>008863</t>
  </si>
  <si>
    <t>LBL NICOTINIC ACID 250MGX100 (</t>
  </si>
  <si>
    <t>008889</t>
  </si>
  <si>
    <t xml:space="preserve">LABEL COLOXYL 50MG TABS 100   </t>
  </si>
  <si>
    <t>008890</t>
  </si>
  <si>
    <t xml:space="preserve">LABEL COLOXYL 120MG TABS 100  </t>
  </si>
  <si>
    <t>008891</t>
  </si>
  <si>
    <t>008892</t>
  </si>
  <si>
    <t>008906</t>
  </si>
  <si>
    <t>FOIL PARACETAMOL PAIN RLF TABS</t>
  </si>
  <si>
    <t>008907</t>
  </si>
  <si>
    <t>008908</t>
  </si>
  <si>
    <t>CARTON PARACETAMOL PAIN RLF TA</t>
  </si>
  <si>
    <t>008910</t>
  </si>
  <si>
    <t>008911</t>
  </si>
  <si>
    <t>008916</t>
  </si>
  <si>
    <t>BOTTLE 30ML AMBER GLASS(SIROP)</t>
  </si>
  <si>
    <t>008917</t>
  </si>
  <si>
    <t>BOTTLE 60ML AMBER GLASS(SIROP)</t>
  </si>
  <si>
    <t>008933</t>
  </si>
  <si>
    <t xml:space="preserve">OUTER 410X250X230MM           </t>
  </si>
  <si>
    <t>008950</t>
  </si>
  <si>
    <t>BOTTLE 200ML AMBER GLASS(SIROP</t>
  </si>
  <si>
    <t>008952</t>
  </si>
  <si>
    <t>MEASURE CUP 2.5ML GRAD 30ML TO</t>
  </si>
  <si>
    <t>008965</t>
  </si>
  <si>
    <t xml:space="preserve">OUTER 630X440X320MM           </t>
  </si>
  <si>
    <t xml:space="preserve">OUTER 630X350X320MM           </t>
  </si>
  <si>
    <t xml:space="preserve">LT  </t>
  </si>
  <si>
    <t>009010</t>
  </si>
  <si>
    <t xml:space="preserve">IND CTN CO COLD&amp;FLU D/N 24 S3 </t>
  </si>
  <si>
    <t>009014</t>
  </si>
  <si>
    <t>IND CTN COLD &amp; FLU TABS 24S S3</t>
  </si>
  <si>
    <t>009020</t>
  </si>
  <si>
    <t xml:space="preserve">X IND CTN CO H'FEVER SINUS 24 </t>
  </si>
  <si>
    <t>009191</t>
  </si>
  <si>
    <t>BOTTLE 100ML AMBER GLASS(SIROP</t>
  </si>
  <si>
    <t>009192</t>
  </si>
  <si>
    <t>BOTTLE 500ML AMBER GLASS(SIROP</t>
  </si>
  <si>
    <t>009193</t>
  </si>
  <si>
    <t>BOTTLE 1000ML AMBER GLASS(SIRO</t>
  </si>
  <si>
    <t>009194</t>
  </si>
  <si>
    <t>BOTTLE 200ML CLEAR GLASS(SIROP</t>
  </si>
  <si>
    <t>009204</t>
  </si>
  <si>
    <t xml:space="preserve">FILM 110MM CLEAR PVC/PVDC     </t>
  </si>
  <si>
    <t>009232</t>
  </si>
  <si>
    <t>CTN FORMET TABS 500MG 20 (ARRO</t>
  </si>
  <si>
    <t>009233</t>
  </si>
  <si>
    <t>CTN FORMET TABS 1000MG 15 (ARR</t>
  </si>
  <si>
    <t>009259</t>
  </si>
  <si>
    <t>FOIL 009259 UREX TABS 40MG 203</t>
  </si>
  <si>
    <t>009273</t>
  </si>
  <si>
    <t>X FOIL-PRTD CO SINUS PAIN TABS</t>
  </si>
  <si>
    <t>009281</t>
  </si>
  <si>
    <t>009287</t>
  </si>
  <si>
    <t>CTN GAR IBUPROFEN TAB 200MG 24</t>
  </si>
  <si>
    <t>009288</t>
  </si>
  <si>
    <t>CTN GAR IBUPROFEN TAB 200MG 48</t>
  </si>
  <si>
    <t>009299</t>
  </si>
  <si>
    <t>CTN GAR IBUPROFEN TAB 200MG 96</t>
  </si>
  <si>
    <t>009309</t>
  </si>
  <si>
    <t xml:space="preserve">CARTON D&amp;N RLF C&amp;F TABS 24 S3 </t>
  </si>
  <si>
    <t>009310</t>
  </si>
  <si>
    <t>009315</t>
  </si>
  <si>
    <t xml:space="preserve">X PRINT MAT D-226-120153BP    </t>
  </si>
  <si>
    <t>009319</t>
  </si>
  <si>
    <t xml:space="preserve">FOIL 131MM NO FRILLS PARA 24  </t>
  </si>
  <si>
    <t>009320</t>
  </si>
  <si>
    <t xml:space="preserve">FOIL-PRTD B+G PARA 24'S       </t>
  </si>
  <si>
    <t>009328</t>
  </si>
  <si>
    <t xml:space="preserve">FOIL 131MM ALPHA PARA 500MG   </t>
  </si>
  <si>
    <t>009329</t>
  </si>
  <si>
    <t xml:space="preserve">FOIL 131MM AFA RAPATABS PARA  </t>
  </si>
  <si>
    <t>009332</t>
  </si>
  <si>
    <t xml:space="preserve">FOIL 131MM NO FRILLS ASPIRIN  </t>
  </si>
  <si>
    <t>009349</t>
  </si>
  <si>
    <t>009368</t>
  </si>
  <si>
    <t>IND CTN AMC COLD &amp; FLU 24'S S3</t>
  </si>
  <si>
    <t>009374</t>
  </si>
  <si>
    <t xml:space="preserve">IND CTN CC COLD&amp;FLU D/N 24 S3 </t>
  </si>
  <si>
    <t>009422</t>
  </si>
  <si>
    <t>FOIL ASPALGIN TABS 135MM ALUMI</t>
  </si>
  <si>
    <t>009423</t>
  </si>
  <si>
    <t xml:space="preserve">FOIL 137MM (COLDFORM)         </t>
  </si>
  <si>
    <t>009431</t>
  </si>
  <si>
    <t>X CARTON VERACAPS SR CAPS 160M</t>
  </si>
  <si>
    <t>009433</t>
  </si>
  <si>
    <t>X CARTON VERACAPS SR CAPS 240M</t>
  </si>
  <si>
    <t>009441</t>
  </si>
  <si>
    <t xml:space="preserve">IND CTN CO IBUPROFEN TAB 48   </t>
  </si>
  <si>
    <t>009449</t>
  </si>
  <si>
    <t xml:space="preserve">PRINT MAT D-226-120153BQ      </t>
  </si>
  <si>
    <t>009453</t>
  </si>
  <si>
    <t xml:space="preserve">X CTN CO SINUS RELIEF 12 S3   </t>
  </si>
  <si>
    <t>009454</t>
  </si>
  <si>
    <t>FOIL-PRTD CO SINUS RELIEF TABS</t>
  </si>
  <si>
    <t>009462</t>
  </si>
  <si>
    <t xml:space="preserve">LABEL HYDRADERM 500G          </t>
  </si>
  <si>
    <t>009475</t>
  </si>
  <si>
    <t xml:space="preserve">OUTER 403X355X207             </t>
  </si>
  <si>
    <t>009476</t>
  </si>
  <si>
    <t xml:space="preserve">OUTER 563X355X290             </t>
  </si>
  <si>
    <t>009479</t>
  </si>
  <si>
    <t xml:space="preserve">OUTER 430X270X264MM           </t>
  </si>
  <si>
    <t xml:space="preserve">OUTER 630X230X320MM           </t>
  </si>
  <si>
    <t>009540</t>
  </si>
  <si>
    <t xml:space="preserve">OUTER 009540 (340MM X 250MM X </t>
  </si>
  <si>
    <t>009558</t>
  </si>
  <si>
    <t>FILM 009558 PVC (OPAQUE) 203MM</t>
  </si>
  <si>
    <t>009587</t>
  </si>
  <si>
    <t>LABEL COLOXYL &amp; SENNA F/C X 30</t>
  </si>
  <si>
    <t>009588</t>
  </si>
  <si>
    <t>LABEL COLOXYL &amp; SENNA F/C X 90</t>
  </si>
  <si>
    <t>009602</t>
  </si>
  <si>
    <t xml:space="preserve">GRAVITY FEED SOCK             </t>
  </si>
  <si>
    <t xml:space="preserve">M   </t>
  </si>
  <si>
    <t>009616</t>
  </si>
  <si>
    <t xml:space="preserve">IND CTN CO IBUPROFEN TAB 24   </t>
  </si>
  <si>
    <t>009648</t>
  </si>
  <si>
    <t xml:space="preserve">SHP BLANK GLUCOSAMINE EUROPE  </t>
  </si>
  <si>
    <t>009687</t>
  </si>
  <si>
    <t xml:space="preserve">PRINT MAT D-226-120153BV      </t>
  </si>
  <si>
    <t>009696</t>
  </si>
  <si>
    <t xml:space="preserve">FOIL PRTD NOVARTIS VOLTAFLEX  </t>
  </si>
  <si>
    <t>009703</t>
  </si>
  <si>
    <t xml:space="preserve">LBL SECURITY SEAL BLANK       </t>
  </si>
  <si>
    <t>009710</t>
  </si>
  <si>
    <t xml:space="preserve">CAP 38MM WHITE T/TEL ANNULAR  </t>
  </si>
  <si>
    <t>009711</t>
  </si>
  <si>
    <t>BOTTLE 55ML WHITE HDPE T/E IBM</t>
  </si>
  <si>
    <t>009748</t>
  </si>
  <si>
    <t xml:space="preserve">STICKY MAT - 30 X 4 SHEETS    </t>
  </si>
  <si>
    <t>009749</t>
  </si>
  <si>
    <t xml:space="preserve">BAGS 860Lx430Wx75UM VIRGIN    </t>
  </si>
  <si>
    <t>009750</t>
  </si>
  <si>
    <t xml:space="preserve">BAGS 1450Lx540x580W VIRGIN    </t>
  </si>
  <si>
    <t>009751</t>
  </si>
  <si>
    <t xml:space="preserve">BAGS 450Lx350Wx75UM VIRGIN    </t>
  </si>
  <si>
    <t>009753</t>
  </si>
  <si>
    <t xml:space="preserve">PRINT MAT D-226-120153BW      </t>
  </si>
  <si>
    <t>009754</t>
  </si>
  <si>
    <t xml:space="preserve">BAGS 1000Lx750Wx75UM VIRGIN   </t>
  </si>
  <si>
    <t>009755</t>
  </si>
  <si>
    <t xml:space="preserve">BAGS 250x250x30UM 660L VIRGIN </t>
  </si>
  <si>
    <t>009760</t>
  </si>
  <si>
    <t xml:space="preserve">BAGS 1000Lx600Wx70 ANTISTATIC </t>
  </si>
  <si>
    <t>009762</t>
  </si>
  <si>
    <t xml:space="preserve">BAGS 180Lx100Wx50UM SEALABLE  </t>
  </si>
  <si>
    <t>009763</t>
  </si>
  <si>
    <t xml:space="preserve">BAGS 255Lx205Wx50UM SEALABLE  </t>
  </si>
  <si>
    <t>009764</t>
  </si>
  <si>
    <t xml:space="preserve">BAGS 220Lx300Wx40UM SEALABLE  </t>
  </si>
  <si>
    <t>009766</t>
  </si>
  <si>
    <t xml:space="preserve">CABLE TIES CLEAR 190L X 4.8W  </t>
  </si>
  <si>
    <t>009770</t>
  </si>
  <si>
    <t xml:space="preserve">GLOVES VINYL P/FREE SMALL     </t>
  </si>
  <si>
    <t>009772</t>
  </si>
  <si>
    <t xml:space="preserve">GLOVES LATEX P/FREE SMALL     </t>
  </si>
  <si>
    <t>009773</t>
  </si>
  <si>
    <t xml:space="preserve">GLOVES NITRILE P/FREE SMALL   </t>
  </si>
  <si>
    <t>009774</t>
  </si>
  <si>
    <t xml:space="preserve">GLOVES KRUTEX GREEN EXAM      </t>
  </si>
  <si>
    <t>009775</t>
  </si>
  <si>
    <t xml:space="preserve">GLOVES SLEEVE COVER PLASTIC   </t>
  </si>
  <si>
    <t>009776</t>
  </si>
  <si>
    <t xml:space="preserve">GLOVES LONG CUFF 30CM SMALL   </t>
  </si>
  <si>
    <t>009777</t>
  </si>
  <si>
    <t xml:space="preserve">GLOVES LONG CUFF 30CM MEDIUM  </t>
  </si>
  <si>
    <t>009778</t>
  </si>
  <si>
    <t xml:space="preserve">GLOVES LONG CUFF 30CM LARGE   </t>
  </si>
  <si>
    <t>009779</t>
  </si>
  <si>
    <t xml:space="preserve">GLOVES LONG CUFF 30CM X LARGE </t>
  </si>
  <si>
    <t>009780</t>
  </si>
  <si>
    <t xml:space="preserve">GLOVES COTTON MEN'S           </t>
  </si>
  <si>
    <t>009781</t>
  </si>
  <si>
    <t xml:space="preserve">GLOVES COTTON LADIE'S         </t>
  </si>
  <si>
    <t>009782</t>
  </si>
  <si>
    <t xml:space="preserve">WIPERS WYPALL X70             </t>
  </si>
  <si>
    <t xml:space="preserve">OUTER 476X332X312MM           </t>
  </si>
  <si>
    <t xml:space="preserve">FILM COLDFORM 150MM           </t>
  </si>
  <si>
    <t>009838</t>
  </si>
  <si>
    <t xml:space="preserve">FOIL RANITIDINE 150MG CO      </t>
  </si>
  <si>
    <t>009875</t>
  </si>
  <si>
    <t xml:space="preserve">FOIL GASTROGEL-R 150MG        </t>
  </si>
  <si>
    <t>009876</t>
  </si>
  <si>
    <t xml:space="preserve">FOIL GASTROGEL-R XTRA 300MG   </t>
  </si>
  <si>
    <t>009877</t>
  </si>
  <si>
    <t>FOIL HEARTBURN RLF 150MG AMCAL</t>
  </si>
  <si>
    <t>009878</t>
  </si>
  <si>
    <t xml:space="preserve">FOIL HEARTBURN XTRA 300MG AMC </t>
  </si>
  <si>
    <t>009879</t>
  </si>
  <si>
    <t xml:space="preserve">FOIL HEARTBURN RLF 150MG GRDN </t>
  </si>
  <si>
    <t>009880</t>
  </si>
  <si>
    <t>FOIL HEARTBURN XTRA 300MG GRDN</t>
  </si>
  <si>
    <t>009882</t>
  </si>
  <si>
    <t>FOIL RANITIDINE FORTE 300MG CO</t>
  </si>
  <si>
    <t xml:space="preserve">PVC/PVDC CLEAR 250UM X 150MM  </t>
  </si>
  <si>
    <t>009894</t>
  </si>
  <si>
    <t xml:space="preserve">FOIL 105MM CO PAIN TABSULES   </t>
  </si>
  <si>
    <t>009917</t>
  </si>
  <si>
    <t xml:space="preserve">IND CTN CO PARA 500MG 24      </t>
  </si>
  <si>
    <t>009920</t>
  </si>
  <si>
    <t xml:space="preserve">IND CTN CO PARA TABLET 96     </t>
  </si>
  <si>
    <t>009968</t>
  </si>
  <si>
    <t xml:space="preserve">PALLECON BAG                  </t>
  </si>
  <si>
    <t>009978</t>
  </si>
  <si>
    <t>X CTN L/S AVOMINE TABS 25MG 30</t>
  </si>
  <si>
    <t>009993</t>
  </si>
  <si>
    <t xml:space="preserve">X FOIL RAMACE TABS 5MG 30     </t>
  </si>
  <si>
    <t>009994</t>
  </si>
  <si>
    <t xml:space="preserve">X CARTON RAMACE TABS 5MG 30   </t>
  </si>
  <si>
    <t>010001</t>
  </si>
  <si>
    <t xml:space="preserve">PRINT MAT D-226-120153BX      </t>
  </si>
  <si>
    <t>010019</t>
  </si>
  <si>
    <t>010060</t>
  </si>
  <si>
    <t xml:space="preserve">FOIL ANZEMET TABS 50MG        </t>
  </si>
  <si>
    <t>010061</t>
  </si>
  <si>
    <t>CTN/LFSERT ANZEMET TABS 50MG 5</t>
  </si>
  <si>
    <t>010064</t>
  </si>
  <si>
    <t xml:space="preserve">FOIL ANZEMET TABS 200MG       </t>
  </si>
  <si>
    <t>010065</t>
  </si>
  <si>
    <t>CTN/LFSRT ANZEMET TABS 200MG 2</t>
  </si>
  <si>
    <t>010066</t>
  </si>
  <si>
    <t>CTN/LFSRT ANZEMET TABS 200MG 5</t>
  </si>
  <si>
    <t>010088</t>
  </si>
  <si>
    <t xml:space="preserve">DOSING PIPETTE LDPE 1.5ML     </t>
  </si>
  <si>
    <t>010123</t>
  </si>
  <si>
    <t xml:space="preserve">FOIL CO PAIN TABLETS          </t>
  </si>
  <si>
    <t>010124</t>
  </si>
  <si>
    <t>FOIL 108MM AMC STRONG PAIN RLF</t>
  </si>
  <si>
    <t>010125</t>
  </si>
  <si>
    <t>FOIL 108MM GRD PARA EXTRA TABS</t>
  </si>
  <si>
    <t>010151</t>
  </si>
  <si>
    <t>LBL- SHIPPER PLAIN 100 X 250MM</t>
  </si>
  <si>
    <t>010152</t>
  </si>
  <si>
    <t xml:space="preserve">CTN BI-LO PARACETAMOL TABS 24 </t>
  </si>
  <si>
    <t>010154</t>
  </si>
  <si>
    <t xml:space="preserve">CTN BLACK &amp; GOLD PARA TABS 24 </t>
  </si>
  <si>
    <t>010155</t>
  </si>
  <si>
    <t xml:space="preserve">CARTON NO FRILLS PARA TABS 24 </t>
  </si>
  <si>
    <t>010156</t>
  </si>
  <si>
    <t xml:space="preserve">PIPETTE ADAPTOR LDPE 28MM     </t>
  </si>
  <si>
    <t>010164</t>
  </si>
  <si>
    <t xml:space="preserve">BTL PET AMB RND 155ML/38MM SC </t>
  </si>
  <si>
    <t>010165</t>
  </si>
  <si>
    <t xml:space="preserve">BTL PET AMB RND 270ML/38MM SC </t>
  </si>
  <si>
    <t>010166</t>
  </si>
  <si>
    <t xml:space="preserve">CAP PLAS GRN 38MM SC EMBOSSED </t>
  </si>
  <si>
    <t>010170</t>
  </si>
  <si>
    <t xml:space="preserve">BTL JAR WHT RND 280ML/63MM    </t>
  </si>
  <si>
    <t>010176</t>
  </si>
  <si>
    <t xml:space="preserve">LORATADINE TABS 10MG BULK     </t>
  </si>
  <si>
    <t>010177</t>
  </si>
  <si>
    <t xml:space="preserve">IND CTN OSTEOEZE ACTIVE 120'S </t>
  </si>
  <si>
    <t>010187</t>
  </si>
  <si>
    <t xml:space="preserve">SHP BLANK EXP 180 1200X800    </t>
  </si>
  <si>
    <t>010188</t>
  </si>
  <si>
    <t xml:space="preserve">SHP BLANK EXP 60 1200X800     </t>
  </si>
  <si>
    <t>010244</t>
  </si>
  <si>
    <t xml:space="preserve">X SHPR-BLANK EXPORT PLUS 60'S </t>
  </si>
  <si>
    <t>010256</t>
  </si>
  <si>
    <t>X FEXOFENADINE TABS 120MG BULK</t>
  </si>
  <si>
    <t xml:space="preserve">OUTER 530X410X160MM           </t>
  </si>
  <si>
    <t>010357</t>
  </si>
  <si>
    <t>FOIL ECOTRIN 100MG 165MM CALEN</t>
  </si>
  <si>
    <t>010358</t>
  </si>
  <si>
    <t xml:space="preserve">CARTON ECOTRIN TABS 100MG 7   </t>
  </si>
  <si>
    <t>010359</t>
  </si>
  <si>
    <t xml:space="preserve">FOIL ECOTRIN TABS 100MG 158MM </t>
  </si>
  <si>
    <t>010360</t>
  </si>
  <si>
    <t xml:space="preserve">CARTON ECOTRIN TABS 100MG 28  </t>
  </si>
  <si>
    <t>010361</t>
  </si>
  <si>
    <t xml:space="preserve">CARTON ECOTRIN TABS 100MG 56  </t>
  </si>
  <si>
    <t>010362</t>
  </si>
  <si>
    <t xml:space="preserve">FOIL ECOTRIN 100MG 165MM NON  </t>
  </si>
  <si>
    <t>010363</t>
  </si>
  <si>
    <t xml:space="preserve">CARTON ECOTRIN TABS 100MG 100 </t>
  </si>
  <si>
    <t>010364</t>
  </si>
  <si>
    <t xml:space="preserve">LEAFLET ECOTRIN TABS 100MG    </t>
  </si>
  <si>
    <t>010365</t>
  </si>
  <si>
    <t xml:space="preserve">CTN GASTROGEL-R 150MG X 28    </t>
  </si>
  <si>
    <t>010367</t>
  </si>
  <si>
    <t>CTN HEARTBURN RE 150MGX28 GRDN</t>
  </si>
  <si>
    <t>010368</t>
  </si>
  <si>
    <t xml:space="preserve">CTN RANITIDINE 150MG X 28 CO  </t>
  </si>
  <si>
    <t xml:space="preserve">SHP 325X246X450MM             </t>
  </si>
  <si>
    <t>010370</t>
  </si>
  <si>
    <t xml:space="preserve">IND CTN CO PARA CAPSEALS 24   </t>
  </si>
  <si>
    <t>010371</t>
  </si>
  <si>
    <t xml:space="preserve">IND CTN CO PARA CAPSEALS 48   </t>
  </si>
  <si>
    <t>010382</t>
  </si>
  <si>
    <t>CARTON LANOXIN TAB 250MCG 1000</t>
  </si>
  <si>
    <t>010385</t>
  </si>
  <si>
    <t xml:space="preserve">X CTN LANOXIN TAB 62.5MCG 100 </t>
  </si>
  <si>
    <t>010386</t>
  </si>
  <si>
    <t>CARTON LANOXIN TAB 62.5MCG 500</t>
  </si>
  <si>
    <t>010388</t>
  </si>
  <si>
    <t xml:space="preserve">CARTON TRANDATE TABS 100MG 60 </t>
  </si>
  <si>
    <t>010389</t>
  </si>
  <si>
    <t xml:space="preserve">CARTON TRANDATE TABS 200MG 60 </t>
  </si>
  <si>
    <t>010390</t>
  </si>
  <si>
    <t xml:space="preserve">CARTON ZYLORIC TABS 100MG 100 </t>
  </si>
  <si>
    <t>010391</t>
  </si>
  <si>
    <t xml:space="preserve">CARTON ZYLORIC TABS 300MG 30  </t>
  </si>
  <si>
    <t>010403</t>
  </si>
  <si>
    <t xml:space="preserve">FOIL NEULACTIL TABS 2.5MG 100 </t>
  </si>
  <si>
    <t xml:space="preserve">CTN L/S NEULACT TAB 2.5MG 100 </t>
  </si>
  <si>
    <t>010406</t>
  </si>
  <si>
    <t xml:space="preserve">FOIL NEULACTIL TABS 10MG 100  </t>
  </si>
  <si>
    <t>CTN L/S NEULACTIL TAB 10MG 100</t>
  </si>
  <si>
    <t>010408</t>
  </si>
  <si>
    <t xml:space="preserve">FOIL-PRTD AMC SINUS/NASAL REL </t>
  </si>
  <si>
    <t>010411</t>
  </si>
  <si>
    <t>FOIL-PRTD GRDN NASAL DECONGEST</t>
  </si>
  <si>
    <t>010412</t>
  </si>
  <si>
    <t xml:space="preserve">IND CTN GRDN NASAL DECON 12'S </t>
  </si>
  <si>
    <t>010413</t>
  </si>
  <si>
    <t xml:space="preserve">FOIL-PRTD SIGMA LOGICIN SINUS </t>
  </si>
  <si>
    <t>010414</t>
  </si>
  <si>
    <t>IND CTN SIGMA LOGICIN TAB 12'S</t>
  </si>
  <si>
    <t>010424</t>
  </si>
  <si>
    <t xml:space="preserve">DOSING PIPETTE LDPE PENTAVITE </t>
  </si>
  <si>
    <t>010443</t>
  </si>
  <si>
    <t>FLUCONAZOLE BULK CAPSULE 150MG</t>
  </si>
  <si>
    <t>010454</t>
  </si>
  <si>
    <t xml:space="preserve">OUTER 241X164X190MM           </t>
  </si>
  <si>
    <t>010457</t>
  </si>
  <si>
    <t xml:space="preserve">CARTON PARALGIN TABS 500MG 50 </t>
  </si>
  <si>
    <t>010458</t>
  </si>
  <si>
    <t>APPLICATOR NILSTAT VAGINAL CRM</t>
  </si>
  <si>
    <t>010459</t>
  </si>
  <si>
    <t xml:space="preserve">OUTER 444X323X245MM           </t>
  </si>
  <si>
    <t xml:space="preserve">TRIPLEX 250/30/80 X 150MM     </t>
  </si>
  <si>
    <t>010467</t>
  </si>
  <si>
    <t xml:space="preserve">LABEL ACTACODE LIQUID 100ML   </t>
  </si>
  <si>
    <t>010480</t>
  </si>
  <si>
    <t xml:space="preserve">NIFEDIPINE SR TABS 30MG BULK  </t>
  </si>
  <si>
    <t>010481</t>
  </si>
  <si>
    <t xml:space="preserve">NIFEDIPINE SR TABS 60MG BULK  </t>
  </si>
  <si>
    <t>010501</t>
  </si>
  <si>
    <t xml:space="preserve">FOIL CO C&amp;F DAY/NIGHT PE TABS </t>
  </si>
  <si>
    <t>010502</t>
  </si>
  <si>
    <t>X FOIL CO C&amp;FLU RELIEF PE TABS</t>
  </si>
  <si>
    <t>010505</t>
  </si>
  <si>
    <t xml:space="preserve">FOIL AMC COLD&amp;FLU PE TABLETS  </t>
  </si>
  <si>
    <t>010506</t>
  </si>
  <si>
    <t xml:space="preserve">FOIL AMC COLD&amp;FLU D/N PE TABS </t>
  </si>
  <si>
    <t>010507</t>
  </si>
  <si>
    <t xml:space="preserve">FOIL GRD COLD&amp;FLU PE TABLETS  </t>
  </si>
  <si>
    <t>010509</t>
  </si>
  <si>
    <t xml:space="preserve">FOIL GRD COLD&amp;FLU D/N PE TABS </t>
  </si>
  <si>
    <t>010510</t>
  </si>
  <si>
    <t xml:space="preserve">X CTN CO C&amp;FLU D/N PE TABS 24 </t>
  </si>
  <si>
    <t>010511</t>
  </si>
  <si>
    <t>CARTON CO C&amp;FLU D/N PE TABS 48</t>
  </si>
  <si>
    <t>010512</t>
  </si>
  <si>
    <t xml:space="preserve">X CTN CO C&amp;FLU RLF PE TABS 24 </t>
  </si>
  <si>
    <t>010517</t>
  </si>
  <si>
    <t>CARTON GRD COLD&amp;FLU PE TABS 24</t>
  </si>
  <si>
    <t>010518</t>
  </si>
  <si>
    <t xml:space="preserve">CARTON GRD C&amp;F D/N PE TABS 24 </t>
  </si>
  <si>
    <t>010525</t>
  </si>
  <si>
    <t>X FOIL CO HAYFEVER SINUS PE TA</t>
  </si>
  <si>
    <t>010526</t>
  </si>
  <si>
    <t xml:space="preserve">X CTN CO HFEVER SINUS PE TABS </t>
  </si>
  <si>
    <t>010539</t>
  </si>
  <si>
    <t xml:space="preserve">FOIL AMC SIN ALGY&amp;PAIN PE TAB </t>
  </si>
  <si>
    <t>010540</t>
  </si>
  <si>
    <t>FOIL GRD SINUS&amp;ALLERGY PE TABS</t>
  </si>
  <si>
    <t>010547</t>
  </si>
  <si>
    <t>LABEL LOGICIN NASAL SPRAY 18ML</t>
  </si>
  <si>
    <t>010548</t>
  </si>
  <si>
    <t>CARTON LOGICIN NASAL SPRY 18ML</t>
  </si>
  <si>
    <t>010549</t>
  </si>
  <si>
    <t xml:space="preserve">OUTER 300X260X225MM           </t>
  </si>
  <si>
    <t>010550</t>
  </si>
  <si>
    <t>CARTON LOGICIN N/S REFILL 18ML</t>
  </si>
  <si>
    <t>010551</t>
  </si>
  <si>
    <t xml:space="preserve">OUTER 300X260X170MM           </t>
  </si>
  <si>
    <t>010552</t>
  </si>
  <si>
    <t>LABEL CO NASAL DECON SPRY 18ML</t>
  </si>
  <si>
    <t>010554</t>
  </si>
  <si>
    <t>LABEL GRD NASAL DEC SPRAY 18ML</t>
  </si>
  <si>
    <t>010557</t>
  </si>
  <si>
    <t xml:space="preserve">ZOLPIDEM TABLETS 10MG BULK    </t>
  </si>
  <si>
    <t>010558</t>
  </si>
  <si>
    <t xml:space="preserve">THERMAL RIBBON 101MM X 360MT  </t>
  </si>
  <si>
    <t>010565</t>
  </si>
  <si>
    <t>CTN CO NASAL DECONG SPRAY 18ML</t>
  </si>
  <si>
    <t>010568</t>
  </si>
  <si>
    <t>CTN GRD NASAL DECONG SPRY 18ML</t>
  </si>
  <si>
    <t>010570</t>
  </si>
  <si>
    <t>CTN CO NASAL DEC SPRAY RF 18ML</t>
  </si>
  <si>
    <t>010580</t>
  </si>
  <si>
    <t xml:space="preserve">LABEL CO DRY TICK COUGH 200ML </t>
  </si>
  <si>
    <t>010581</t>
  </si>
  <si>
    <t>LABEL AMC COUGH SUPPRESS 200ML</t>
  </si>
  <si>
    <t>010582</t>
  </si>
  <si>
    <t xml:space="preserve">LABEL GRD DRY COUGH RLF 200ML </t>
  </si>
  <si>
    <t>010586</t>
  </si>
  <si>
    <t xml:space="preserve">X LBL NILSTAT ORAL DROPS 24ML </t>
  </si>
  <si>
    <t>010588</t>
  </si>
  <si>
    <t xml:space="preserve">LABEL GRD PARA INF DROPS 20ML </t>
  </si>
  <si>
    <t>010599</t>
  </si>
  <si>
    <t xml:space="preserve">CARTON SEPTRIN SUSP 100ML     </t>
  </si>
  <si>
    <t>010616</t>
  </si>
  <si>
    <t xml:space="preserve">OUTER 570X260X150MM           </t>
  </si>
  <si>
    <t>010617</t>
  </si>
  <si>
    <t xml:space="preserve">OUTER 315X212X245MM           </t>
  </si>
  <si>
    <t>010618</t>
  </si>
  <si>
    <t xml:space="preserve">OUTER 415X245X222MM           </t>
  </si>
  <si>
    <t>010619</t>
  </si>
  <si>
    <t xml:space="preserve">OUTER 452X255X275MM           </t>
  </si>
  <si>
    <t>010620</t>
  </si>
  <si>
    <t>SEAL LAYFLAT ROLL 50MM HEATSHR</t>
  </si>
  <si>
    <t>010622</t>
  </si>
  <si>
    <t>OUTER HER ZINC &amp; C CRM 72X100G</t>
  </si>
  <si>
    <t>010638</t>
  </si>
  <si>
    <t xml:space="preserve">FOIL DEMAZIN PE C&amp;F D&amp;N TABS  </t>
  </si>
  <si>
    <t>010640</t>
  </si>
  <si>
    <t xml:space="preserve">FOIL DEMAZIN PE C&amp;F RLF TABS  </t>
  </si>
  <si>
    <t>010687</t>
  </si>
  <si>
    <t xml:space="preserve">KLUBER-SUMMIT HYSYN FG 32     </t>
  </si>
  <si>
    <t>010688</t>
  </si>
  <si>
    <t xml:space="preserve">KLUBER-SUMMIT HYSYN FG 68     </t>
  </si>
  <si>
    <t>010690</t>
  </si>
  <si>
    <t xml:space="preserve">KLUBERPASTE UH1 84-201        </t>
  </si>
  <si>
    <t>010691</t>
  </si>
  <si>
    <t xml:space="preserve">MARKEM 3310 045050 BK 50MM    </t>
  </si>
  <si>
    <t>010728</t>
  </si>
  <si>
    <t>LBL-GRDN CALCIUM COMPLEX 200'S</t>
  </si>
  <si>
    <t>010729</t>
  </si>
  <si>
    <t xml:space="preserve">LBL-AMC CALCIUM COMPLEX 200'S </t>
  </si>
  <si>
    <t>010733</t>
  </si>
  <si>
    <t xml:space="preserve">FILM 410MM X 50UM POLYTHENE   </t>
  </si>
  <si>
    <t>010734</t>
  </si>
  <si>
    <t xml:space="preserve">OUTER 299X203X225MM           </t>
  </si>
  <si>
    <t>010755</t>
  </si>
  <si>
    <t xml:space="preserve">LABEL INFACOL WIND DROPS AUST </t>
  </si>
  <si>
    <t>010756</t>
  </si>
  <si>
    <t xml:space="preserve">LABEL INFACOL WIND DROPS MAL  </t>
  </si>
  <si>
    <t>010757</t>
  </si>
  <si>
    <t>CARTON INFACOL WIND DROPS AUST</t>
  </si>
  <si>
    <t>010758</t>
  </si>
  <si>
    <t xml:space="preserve">CARTON INFACOL WIND DROPS MAL </t>
  </si>
  <si>
    <t>010759</t>
  </si>
  <si>
    <t xml:space="preserve">OUTER INFACOL WIND DROPS AUST </t>
  </si>
  <si>
    <t>010761</t>
  </si>
  <si>
    <t xml:space="preserve">OUTER INFACOL WIND DROPS MAL  </t>
  </si>
  <si>
    <t>010762</t>
  </si>
  <si>
    <t xml:space="preserve">LITERATURE INFACOL WIND DROPS </t>
  </si>
  <si>
    <t>010778</t>
  </si>
  <si>
    <t xml:space="preserve">IND CTN NO FRILLS ASPIRIN 24S </t>
  </si>
  <si>
    <t>010839</t>
  </si>
  <si>
    <t xml:space="preserve">ORIGINAL LOZENGES BULK        </t>
  </si>
  <si>
    <t>010841</t>
  </si>
  <si>
    <t xml:space="preserve">EUCALYPTUS &amp; MENTHOL LOZ BULK </t>
  </si>
  <si>
    <t>010842</t>
  </si>
  <si>
    <t xml:space="preserve">TRIPLEX 250/25/90 X 150MM     </t>
  </si>
  <si>
    <t>010857</t>
  </si>
  <si>
    <t xml:space="preserve">FOIL AUSPRIL TABLETS 5MG 30   </t>
  </si>
  <si>
    <t>010859</t>
  </si>
  <si>
    <t xml:space="preserve">FOIL AUSPRIL TABLETS 10MG 30  </t>
  </si>
  <si>
    <t>010860</t>
  </si>
  <si>
    <t xml:space="preserve">FOIL AUSPRIL TABLETS 20MG 30  </t>
  </si>
  <si>
    <t xml:space="preserve">FILM COLDFORM 126MM           </t>
  </si>
  <si>
    <t xml:space="preserve">CARTON AUSPRIL TABLETS 5MG 30 </t>
  </si>
  <si>
    <t>010863</t>
  </si>
  <si>
    <t>CARTON AUSPRIL TABLETS 10MG 30</t>
  </si>
  <si>
    <t>010864</t>
  </si>
  <si>
    <t>CARTON AUSPRIL TABLETS 20MG 30</t>
  </si>
  <si>
    <t xml:space="preserve">OUTER 508X428X284MM           </t>
  </si>
  <si>
    <t>010896</t>
  </si>
  <si>
    <t xml:space="preserve">CARTON BETNOVATE 1/2 CRM 15G  </t>
  </si>
  <si>
    <t>010897</t>
  </si>
  <si>
    <t xml:space="preserve">CARTON CORTIVAL 1/2 CRM 15G   </t>
  </si>
  <si>
    <t>010898</t>
  </si>
  <si>
    <t xml:space="preserve">CARTON CORTIVAL 1/2 OINT 15G  </t>
  </si>
  <si>
    <t>010899</t>
  </si>
  <si>
    <t>CARTON NILSTAT VAGINAL CRM 75G</t>
  </si>
  <si>
    <t>010900</t>
  </si>
  <si>
    <t xml:space="preserve">CARTON SIGMACORT OINTMENT 50G </t>
  </si>
  <si>
    <t>010901</t>
  </si>
  <si>
    <t>010908</t>
  </si>
  <si>
    <t xml:space="preserve">CARTON UNGVITA OINTMENT 50G   </t>
  </si>
  <si>
    <t>010930</t>
  </si>
  <si>
    <t xml:space="preserve">SHP BLANK ALDI VITA-MINI 24   </t>
  </si>
  <si>
    <t>010944</t>
  </si>
  <si>
    <t>X LBL-HRRN OSTEOEZE ACTIVE 120</t>
  </si>
  <si>
    <t>010951</t>
  </si>
  <si>
    <t xml:space="preserve">PVC 250 / PVDC 120            </t>
  </si>
  <si>
    <t>010955</t>
  </si>
  <si>
    <t xml:space="preserve">OUTER 356X231X154MM           </t>
  </si>
  <si>
    <t>010961</t>
  </si>
  <si>
    <t>CAP 20MM WHITE PLASTIC(WADDED)</t>
  </si>
  <si>
    <t>010963</t>
  </si>
  <si>
    <t xml:space="preserve">LEAFLET NILSTAT VAGINAL CREAM </t>
  </si>
  <si>
    <t>010967</t>
  </si>
  <si>
    <t xml:space="preserve">DOSING PIPETTE LDPE INFACOL   </t>
  </si>
  <si>
    <t>010976</t>
  </si>
  <si>
    <t>SHPR-PLAIN ANALG 20ML BTL TRAY</t>
  </si>
  <si>
    <t>010988</t>
  </si>
  <si>
    <t xml:space="preserve">PRINT MAT D-226-120153CA      </t>
  </si>
  <si>
    <t>011000</t>
  </si>
  <si>
    <t xml:space="preserve">CTN CO FEMAZOLE CAPSULE 150MG </t>
  </si>
  <si>
    <t>011002</t>
  </si>
  <si>
    <t>CTN GRD FEMAZOLE CAPSULE 150MG</t>
  </si>
  <si>
    <t>011003</t>
  </si>
  <si>
    <t xml:space="preserve">LEVOCETIRAZINE TABS 5MG BULK  </t>
  </si>
  <si>
    <t>011027</t>
  </si>
  <si>
    <t>FOIL CO FEMAZOLE CAPSULE 150MG</t>
  </si>
  <si>
    <t>011028</t>
  </si>
  <si>
    <t>FOIL AMC FEMAZOLE CAPSULE150MG</t>
  </si>
  <si>
    <t>011029</t>
  </si>
  <si>
    <t>FOIL GRD FEMAZOLE CAPSULE150MG</t>
  </si>
  <si>
    <t>011030</t>
  </si>
  <si>
    <t xml:space="preserve">LFT CO FEMAZOLE CAPSULE 150MG </t>
  </si>
  <si>
    <t>011031</t>
  </si>
  <si>
    <t>LFT AMC FEMAZOLE CAPSULE 150MG</t>
  </si>
  <si>
    <t>011032</t>
  </si>
  <si>
    <t>LFT GRD FEMAZOLE CAPSULE 150MG</t>
  </si>
  <si>
    <t>011037</t>
  </si>
  <si>
    <t xml:space="preserve">RAMIPRIL TABLETS 1.25MG BULK  </t>
  </si>
  <si>
    <t>011038</t>
  </si>
  <si>
    <t xml:space="preserve">RAMIPRIL TABLETS 2.5MG BULK   </t>
  </si>
  <si>
    <t>011039</t>
  </si>
  <si>
    <t xml:space="preserve">RAMIPRIL TABLETS 5MG BULK     </t>
  </si>
  <si>
    <t>011040</t>
  </si>
  <si>
    <t xml:space="preserve">RAMIPRIL CAPSULES 10MG BULK   </t>
  </si>
  <si>
    <t>011053</t>
  </si>
  <si>
    <t xml:space="preserve">CETIRIZIN HCL TABLETS 10MG    </t>
  </si>
  <si>
    <t>011054</t>
  </si>
  <si>
    <t xml:space="preserve">FOIL AMC C-ZINE TABLETS 10MG  </t>
  </si>
  <si>
    <t>011055</t>
  </si>
  <si>
    <t xml:space="preserve">FOIL GRD C-ZINE TABLETS 10MG  </t>
  </si>
  <si>
    <t>011056</t>
  </si>
  <si>
    <t xml:space="preserve">FOIL CO C-ZINE TABLETS 10MG   </t>
  </si>
  <si>
    <t>011057</t>
  </si>
  <si>
    <t>CARTON GRD C-ZINE TABS 10MGX10</t>
  </si>
  <si>
    <t>011064</t>
  </si>
  <si>
    <t>CARTON GRD C-ZINE TABS 10MGX30</t>
  </si>
  <si>
    <t>011065</t>
  </si>
  <si>
    <t xml:space="preserve">CARTON CO C-ZINE TABS 10MGX10 </t>
  </si>
  <si>
    <t xml:space="preserve">CARTON CO C-ZINE TABS 10MGX30 </t>
  </si>
  <si>
    <t>011069</t>
  </si>
  <si>
    <t xml:space="preserve">BOTTLE 150ML PVC ROUND        </t>
  </si>
  <si>
    <t>011070</t>
  </si>
  <si>
    <t xml:space="preserve">BOTTLE 500ML PVC ROUND        </t>
  </si>
  <si>
    <t>011108</t>
  </si>
  <si>
    <t xml:space="preserve">FOIL-PRTD HERRON IBU/CODEINE  </t>
  </si>
  <si>
    <t>011112</t>
  </si>
  <si>
    <t xml:space="preserve">IBUPROFEN/CODEINE PHOS. TABS  </t>
  </si>
  <si>
    <t>011114</t>
  </si>
  <si>
    <t>PVC/PE/PVDC WHITE OPAQUE 110MM</t>
  </si>
  <si>
    <t>011125</t>
  </si>
  <si>
    <t xml:space="preserve">FOIL-PRTD CO IBUPROFEN PLUS   </t>
  </si>
  <si>
    <t>011127</t>
  </si>
  <si>
    <t xml:space="preserve">IND-CTN CO IBU PLUS 12'S      </t>
  </si>
  <si>
    <t>011139</t>
  </si>
  <si>
    <t xml:space="preserve">GLOVES LATEX P/FREE MEDIUM    </t>
  </si>
  <si>
    <t>011140</t>
  </si>
  <si>
    <t xml:space="preserve">GLOVES LATEX P/FREE LARGE     </t>
  </si>
  <si>
    <t>011141</t>
  </si>
  <si>
    <t xml:space="preserve">FOIL PRTD AMC IBU/CODEINE     </t>
  </si>
  <si>
    <t>011155</t>
  </si>
  <si>
    <t xml:space="preserve">FOIL PRTD GRDN IBU/CODEINE    </t>
  </si>
  <si>
    <t>011182</t>
  </si>
  <si>
    <t xml:space="preserve">PALLET EXPORT 1100 X 1100MM   </t>
  </si>
  <si>
    <t>011183</t>
  </si>
  <si>
    <t xml:space="preserve">GLOVES VINYL P/FREE MEDIUM    </t>
  </si>
  <si>
    <t>011184</t>
  </si>
  <si>
    <t xml:space="preserve">GLOVES VINYL P/FREE LARGE     </t>
  </si>
  <si>
    <t>011185</t>
  </si>
  <si>
    <t xml:space="preserve">LABEL TUN PLAIN 74 X 102MM    </t>
  </si>
  <si>
    <t>011186</t>
  </si>
  <si>
    <t>011190</t>
  </si>
  <si>
    <t>X CTN ROXITHROMYCIN 300MG 50 N</t>
  </si>
  <si>
    <t>011195</t>
  </si>
  <si>
    <t>CITRIC ACID(MONOHYDRATE,GRANUL</t>
  </si>
  <si>
    <t>011197</t>
  </si>
  <si>
    <t xml:space="preserve">BTL JAR 1 LTR 95MM HDPE T/E   </t>
  </si>
  <si>
    <t>011198</t>
  </si>
  <si>
    <t xml:space="preserve">CAP PLAS WHT 95MM WADDED      </t>
  </si>
  <si>
    <t>011218</t>
  </si>
  <si>
    <t xml:space="preserve">LBL HRN IBUPROFEN TABSULE 36  </t>
  </si>
  <si>
    <t>011275</t>
  </si>
  <si>
    <t xml:space="preserve">BTL-HDPE 55ML WHITE           </t>
  </si>
  <si>
    <t>011278</t>
  </si>
  <si>
    <t xml:space="preserve">SHPR-BLNK 35ML HDPE           </t>
  </si>
  <si>
    <t>011279</t>
  </si>
  <si>
    <t xml:space="preserve">SHPR-BLNK 55ML HDPE           </t>
  </si>
  <si>
    <t>011296</t>
  </si>
  <si>
    <t>011305</t>
  </si>
  <si>
    <t xml:space="preserve">FOIL PEDIALYTE RASPBERRY      </t>
  </si>
  <si>
    <t>011306</t>
  </si>
  <si>
    <t xml:space="preserve">CARTON PEDIALYTE ORANGE       </t>
  </si>
  <si>
    <t>011307</t>
  </si>
  <si>
    <t xml:space="preserve">CARTON PEDIALYTE RASPBERRY    </t>
  </si>
  <si>
    <t>011311</t>
  </si>
  <si>
    <t>LBL COLOXYL &amp; SENNA F/C NZ x90</t>
  </si>
  <si>
    <t>011313</t>
  </si>
  <si>
    <t xml:space="preserve">IND CTN CO PAIN TABSULE 48 PM </t>
  </si>
  <si>
    <t>011325</t>
  </si>
  <si>
    <t xml:space="preserve">FILM PVC CLEAR 250UMx133MM    </t>
  </si>
  <si>
    <t>011336</t>
  </si>
  <si>
    <t xml:space="preserve">LABEL GRD SENNA-COL 90        </t>
  </si>
  <si>
    <t>011344</t>
  </si>
  <si>
    <t xml:space="preserve">IND CTN CO COLD-EZE TAB 24'S  </t>
  </si>
  <si>
    <t>011346</t>
  </si>
  <si>
    <t>X IND CTN CO COLD-EZE TAB 24'S</t>
  </si>
  <si>
    <t>011353</t>
  </si>
  <si>
    <t>INK JET CARTRIDGE-BLISTER LINE</t>
  </si>
  <si>
    <t>011354</t>
  </si>
  <si>
    <t xml:space="preserve">INK JET CARTRIDGE-BOTTLE LINE </t>
  </si>
  <si>
    <t>011373</t>
  </si>
  <si>
    <t xml:space="preserve">SHPR-BLANK ALDI ARTH CRM 100G </t>
  </si>
  <si>
    <t>011376</t>
  </si>
  <si>
    <t xml:space="preserve">IND CTN GRDN C&amp;F D/N 24 S3    </t>
  </si>
  <si>
    <t>011378</t>
  </si>
  <si>
    <t xml:space="preserve">PIPETTES JUMBO 900MM          </t>
  </si>
  <si>
    <t>011379</t>
  </si>
  <si>
    <t>PIPETTES JUMBO 900MM(NO STOPPE</t>
  </si>
  <si>
    <t>011380</t>
  </si>
  <si>
    <t xml:space="preserve">LIQUITHIEF DISPOSABLE 500MM   </t>
  </si>
  <si>
    <t>011381</t>
  </si>
  <si>
    <t xml:space="preserve">SPOON DISPOSABLE 3ML          </t>
  </si>
  <si>
    <t>011384</t>
  </si>
  <si>
    <t xml:space="preserve">IND CTN AMC C&amp;F D/N 24 S3     </t>
  </si>
  <si>
    <t>011385</t>
  </si>
  <si>
    <t xml:space="preserve">PRINT MAT D-226-120153CC      </t>
  </si>
  <si>
    <t>011403</t>
  </si>
  <si>
    <t>HOSE 100 0692 NYLOBRAID 12.7MM</t>
  </si>
  <si>
    <t xml:space="preserve">FT  </t>
  </si>
  <si>
    <t>011405</t>
  </si>
  <si>
    <t>HOSE 100 0846 NYLOBRAID 15.88M</t>
  </si>
  <si>
    <t>011406</t>
  </si>
  <si>
    <t>HOSE 100 1154 NYLOBRAID 25.4MM</t>
  </si>
  <si>
    <t>011407</t>
  </si>
  <si>
    <t>HOSE 100 1385 NYLOBRAID 38.1MM</t>
  </si>
  <si>
    <t>011419</t>
  </si>
  <si>
    <t xml:space="preserve">HOSE APST-0750-1125 SILICONE  </t>
  </si>
  <si>
    <t>011444</t>
  </si>
  <si>
    <t xml:space="preserve">GLOVES NITRILE P/FREE MEDIUM  </t>
  </si>
  <si>
    <t>011445</t>
  </si>
  <si>
    <t xml:space="preserve">GLOVES NITRILE P/FREE LARGE   </t>
  </si>
  <si>
    <t>011446</t>
  </si>
  <si>
    <t xml:space="preserve">GLOVES NITRILE P/FREE X-LARGE </t>
  </si>
  <si>
    <t>011451</t>
  </si>
  <si>
    <t>CAP OUTER SHELL B2GO RED 57.6M</t>
  </si>
  <si>
    <t>011452</t>
  </si>
  <si>
    <t>CAP OUTER SHELL B2GO ORANGE 57</t>
  </si>
  <si>
    <t>011453</t>
  </si>
  <si>
    <t xml:space="preserve">CAP CUTTER B2GO               </t>
  </si>
  <si>
    <t>011454</t>
  </si>
  <si>
    <t>BEROCCA ENCAPSULATED TAB ORIGI</t>
  </si>
  <si>
    <t>011457</t>
  </si>
  <si>
    <t>BEROCCA ENCAPSULATED TAB ORANG</t>
  </si>
  <si>
    <t>011567</t>
  </si>
  <si>
    <t xml:space="preserve">X CARTON AMLO TABLETS 5MG 30  </t>
  </si>
  <si>
    <t>011568</t>
  </si>
  <si>
    <t xml:space="preserve">X CARTON AMLO TABLETS 10MG 30 </t>
  </si>
  <si>
    <t>011570</t>
  </si>
  <si>
    <t xml:space="preserve">MICRO-SPATULA 2ML STERILISED  </t>
  </si>
  <si>
    <t xml:space="preserve">SHP BLANK EXP 180             </t>
  </si>
  <si>
    <t xml:space="preserve">SHP BLANK EXP 60              </t>
  </si>
  <si>
    <t>011585</t>
  </si>
  <si>
    <t>X OUTER BEPANTHEN CRM 50G X100</t>
  </si>
  <si>
    <t>011587</t>
  </si>
  <si>
    <t xml:space="preserve">X OUTER BEPANTHEN CRM 50GX100 </t>
  </si>
  <si>
    <t>011588</t>
  </si>
  <si>
    <t>X OUTER BEPANTHEN CRM 100G X50</t>
  </si>
  <si>
    <t>011589</t>
  </si>
  <si>
    <t xml:space="preserve">X OUTER BEPANTHEN CRM 100GX50 </t>
  </si>
  <si>
    <t>011590</t>
  </si>
  <si>
    <t xml:space="preserve">OUTER CEPACAINE ORAL 200MLX24 </t>
  </si>
  <si>
    <t>011596</t>
  </si>
  <si>
    <t>OUTER UNGVITA OINTMENT 50G X36</t>
  </si>
  <si>
    <t>011608</t>
  </si>
  <si>
    <t xml:space="preserve">SUMATRIPTAN TABLETS 50MG BULK </t>
  </si>
  <si>
    <t>011609</t>
  </si>
  <si>
    <t>SUMATRIPTAN TABLETS 100MG BULK</t>
  </si>
  <si>
    <t xml:space="preserve">X FOIL CO FEXO 120MG          </t>
  </si>
  <si>
    <t>011657</t>
  </si>
  <si>
    <t xml:space="preserve">FOIL CO LORATADINE TABS 10MG  </t>
  </si>
  <si>
    <t>011662</t>
  </si>
  <si>
    <t>FOIL GRDN LORATADINE TABS 10MG</t>
  </si>
  <si>
    <t>011666</t>
  </si>
  <si>
    <t xml:space="preserve">FOIL AMC LORATADINE TABS 10MG </t>
  </si>
  <si>
    <t>X TRIPLEX CLR 250/25/90X 108MM</t>
  </si>
  <si>
    <t xml:space="preserve">PVC CLEAR 250UM X 104MM       </t>
  </si>
  <si>
    <t xml:space="preserve">PVC/PVDC 250/60 CLEAR X 108MM </t>
  </si>
  <si>
    <t>011681</t>
  </si>
  <si>
    <t xml:space="preserve">FOIL-VFLX GLUC 750MG OTC DE   </t>
  </si>
  <si>
    <t>011689</t>
  </si>
  <si>
    <t>011699</t>
  </si>
  <si>
    <t xml:space="preserve">SHPR-BLANK EXPORT COMBO 60'S  </t>
  </si>
  <si>
    <t>011706</t>
  </si>
  <si>
    <t>OUTER NYAL COLD SORE CRM 5GX64</t>
  </si>
  <si>
    <t>011707</t>
  </si>
  <si>
    <t xml:space="preserve">PARALIQ GB 363                </t>
  </si>
  <si>
    <t xml:space="preserve">FILM 126MM PVC/PVDC 250UM/40  </t>
  </si>
  <si>
    <t>011717</t>
  </si>
  <si>
    <t xml:space="preserve">OUTER 420X335X260MM           </t>
  </si>
  <si>
    <t>011725</t>
  </si>
  <si>
    <t>FOIL 150MM ARTROX TABLET 625MG</t>
  </si>
  <si>
    <t>011729</t>
  </si>
  <si>
    <t xml:space="preserve">CTN ARTROX TAB 625MG 180      </t>
  </si>
  <si>
    <t>011743</t>
  </si>
  <si>
    <t xml:space="preserve">LBL-HRRN VITA-MINI SPORT 50'S </t>
  </si>
  <si>
    <t>011744</t>
  </si>
  <si>
    <t xml:space="preserve">LBL HRN VITA-MINI COLD/FLU 50 </t>
  </si>
  <si>
    <t>011745</t>
  </si>
  <si>
    <t xml:space="preserve">LBL HRN VITA-MINI VIT C 50    </t>
  </si>
  <si>
    <t>011793</t>
  </si>
  <si>
    <t xml:space="preserve">CTN DEMAZIN COLD RELIEF 100ML </t>
  </si>
  <si>
    <t>011798</t>
  </si>
  <si>
    <t>CTN DEMAZIN COLD RLF CLR 100ML</t>
  </si>
  <si>
    <t>011805</t>
  </si>
  <si>
    <t xml:space="preserve">FOIL STILDEM TABLETS 10MG     </t>
  </si>
  <si>
    <t>011806</t>
  </si>
  <si>
    <t xml:space="preserve">CARTON STILDEM TABLETS 10MG 7 </t>
  </si>
  <si>
    <t>011807</t>
  </si>
  <si>
    <t>CARTON STILDEM TABLETS 10MG 14</t>
  </si>
  <si>
    <t>011808</t>
  </si>
  <si>
    <t xml:space="preserve">LEAFLET STILDEM TABLETS       </t>
  </si>
  <si>
    <t>011810</t>
  </si>
  <si>
    <t xml:space="preserve">X CTN CARTIA TABS 100MG 28 NZ </t>
  </si>
  <si>
    <t xml:space="preserve">FOIL MYLANTA DUAL ACTION TABS </t>
  </si>
  <si>
    <t>CTN MYLANTA DUAL ACTION TAB 20</t>
  </si>
  <si>
    <t xml:space="preserve">X CTN MYLANTA DUAL ACTION TAB </t>
  </si>
  <si>
    <t>011837</t>
  </si>
  <si>
    <t>DISPLAY CARTON MYLANTA 12X20'S</t>
  </si>
  <si>
    <t>011839</t>
  </si>
  <si>
    <t xml:space="preserve">OUTER MYLANTA TABS 144 X 20'S </t>
  </si>
  <si>
    <t xml:space="preserve">X OUTER MYLANTA TABS 60 X 50  </t>
  </si>
  <si>
    <t>011841</t>
  </si>
  <si>
    <t xml:space="preserve">DOSING PIPETTE LDPE 5.0ML     </t>
  </si>
  <si>
    <t>011842</t>
  </si>
  <si>
    <t xml:space="preserve">MEASURING CUP TO SUIT 008767  </t>
  </si>
  <si>
    <t xml:space="preserve">FILM PVC/ACLAR 3000 118MM     </t>
  </si>
  <si>
    <t>011871</t>
  </si>
  <si>
    <t>BTL GLASS AMB 125ML/38MM J-CAP</t>
  </si>
  <si>
    <t>011874</t>
  </si>
  <si>
    <t>FILM 115MM CLEAR PVC/PCTFE (AC</t>
  </si>
  <si>
    <t>011890</t>
  </si>
  <si>
    <t xml:space="preserve">OUTER 440X310X245MM           </t>
  </si>
  <si>
    <t>011891</t>
  </si>
  <si>
    <t xml:space="preserve">OUTER 432X323X310MM           </t>
  </si>
  <si>
    <t>011892</t>
  </si>
  <si>
    <t xml:space="preserve">FOIL CAPADEX CAPSULES         </t>
  </si>
  <si>
    <t xml:space="preserve">FILM 150MM PVC CLEAR          </t>
  </si>
  <si>
    <t>011895</t>
  </si>
  <si>
    <t xml:space="preserve">CTN/LFT CAPADEX CAPS 20       </t>
  </si>
  <si>
    <t>011896</t>
  </si>
  <si>
    <t xml:space="preserve">CTN CAPADEX CAPS 100 (NZ)     </t>
  </si>
  <si>
    <t>011897</t>
  </si>
  <si>
    <t xml:space="preserve">CTN CAPADEX CAPS 500 (NZ)     </t>
  </si>
  <si>
    <t>011899</t>
  </si>
  <si>
    <t>IND CTN DEMAZIN C&amp;F D&amp;N 24S S3</t>
  </si>
  <si>
    <t>011901</t>
  </si>
  <si>
    <t xml:space="preserve">BTL PL PLN RND 200MLX38MM T/T </t>
  </si>
  <si>
    <t>011907</t>
  </si>
  <si>
    <t xml:space="preserve">LBL TINEXA TABS 0.5MG 8       </t>
  </si>
  <si>
    <t>011908</t>
  </si>
  <si>
    <t xml:space="preserve">LBL BERGOLINE TABS 1MG 30     </t>
  </si>
  <si>
    <t>011909</t>
  </si>
  <si>
    <t xml:space="preserve">LBL BERGOLINE TABS 2MG 30     </t>
  </si>
  <si>
    <t>011911</t>
  </si>
  <si>
    <t xml:space="preserve">OUTER 366X352X270MM           </t>
  </si>
  <si>
    <t>011920</t>
  </si>
  <si>
    <t xml:space="preserve">LBL MACRO VIT E CREAM 100G    </t>
  </si>
  <si>
    <t>011924</t>
  </si>
  <si>
    <t xml:space="preserve">FELODIPINE TABLETS 5MG BULK   </t>
  </si>
  <si>
    <t>011925</t>
  </si>
  <si>
    <t xml:space="preserve">FELODIPINE TABLETS 10MG BULK  </t>
  </si>
  <si>
    <t xml:space="preserve">FILM 126MM PVC/PE/PVDC CLEAR  </t>
  </si>
  <si>
    <t>011950</t>
  </si>
  <si>
    <t xml:space="preserve">IND CTN CO PARA TABLET 96'S   </t>
  </si>
  <si>
    <t>011952</t>
  </si>
  <si>
    <t xml:space="preserve">IND CTN CO PARA TABLET 48     </t>
  </si>
  <si>
    <t>011953</t>
  </si>
  <si>
    <t xml:space="preserve">IND CTN CO PAIN TABS 100'S PO </t>
  </si>
  <si>
    <t>011954</t>
  </si>
  <si>
    <t xml:space="preserve">LBL-C0 PAIN TAB 100'S P0      </t>
  </si>
  <si>
    <t>011968</t>
  </si>
  <si>
    <t xml:space="preserve">IND CTN CO PAIN TABSULES 24'S </t>
  </si>
  <si>
    <t>011976</t>
  </si>
  <si>
    <t xml:space="preserve">LBL-HRRN SEAWEED KELP         </t>
  </si>
  <si>
    <t xml:space="preserve">FOIL-VFLX GLUC 625MG OTC FR   </t>
  </si>
  <si>
    <t>011989</t>
  </si>
  <si>
    <t xml:space="preserve">LEAFLET-VFLX GLUC FR          </t>
  </si>
  <si>
    <t>011992</t>
  </si>
  <si>
    <t xml:space="preserve">OUTER 380X350X220MM           </t>
  </si>
  <si>
    <t>012058</t>
  </si>
  <si>
    <t xml:space="preserve">LABEL PLAIN 100MM X 40MM      </t>
  </si>
  <si>
    <t>012060</t>
  </si>
  <si>
    <t xml:space="preserve">FOIL XYZAL TABS 5MG           </t>
  </si>
  <si>
    <t>012061</t>
  </si>
  <si>
    <t xml:space="preserve">CTN XYZAL TABS 5MG 10         </t>
  </si>
  <si>
    <t>012062</t>
  </si>
  <si>
    <t xml:space="preserve">CTN XYZAL TABS 5MG 30         </t>
  </si>
  <si>
    <t xml:space="preserve">FILM PVC CLEAR 85MM           </t>
  </si>
  <si>
    <t>012099</t>
  </si>
  <si>
    <t xml:space="preserve">BLACK CODING TAPE             </t>
  </si>
  <si>
    <t>012105</t>
  </si>
  <si>
    <t>X LBLLFLT-ARTROX TAB 60'S(BTL)</t>
  </si>
  <si>
    <t>012140</t>
  </si>
  <si>
    <t xml:space="preserve">LBL-HRRN HAIR SKIN + NAIL 45S </t>
  </si>
  <si>
    <t>012145</t>
  </si>
  <si>
    <t xml:space="preserve">LBL-HRRN LIVER DETOX 90S      </t>
  </si>
  <si>
    <t>012164</t>
  </si>
  <si>
    <t xml:space="preserve">FOIL DEMAZIN 6 HR RLF TABS    </t>
  </si>
  <si>
    <t>012214</t>
  </si>
  <si>
    <t xml:space="preserve">LBL-O'EZE FORTE 1000MG 100'S  </t>
  </si>
  <si>
    <t>012216</t>
  </si>
  <si>
    <t xml:space="preserve">FOIL ALENDRO TABS 70MG        </t>
  </si>
  <si>
    <t xml:space="preserve">FILM COLDFORM 104MM           </t>
  </si>
  <si>
    <t>012218</t>
  </si>
  <si>
    <t>CATCH COVER ALENDRO TAB 70MG 4</t>
  </si>
  <si>
    <t>012219</t>
  </si>
  <si>
    <t>CARD INSERT ALENDRO TAB 70MG 4</t>
  </si>
  <si>
    <t>012227</t>
  </si>
  <si>
    <t xml:space="preserve">LBL PYROXIN TABS 25MG 100     </t>
  </si>
  <si>
    <t>012228</t>
  </si>
  <si>
    <t xml:space="preserve">LBL PYROXIN TABS 100MG 50     </t>
  </si>
  <si>
    <t>012229</t>
  </si>
  <si>
    <t>CAP 33MM WHITE HDPE (IND-SEAL)</t>
  </si>
  <si>
    <t>012234</t>
  </si>
  <si>
    <t xml:space="preserve">LBL-HRRN FISH OIL 500MG 60S   </t>
  </si>
  <si>
    <t>012237</t>
  </si>
  <si>
    <t xml:space="preserve">LBL BETAMIN TABS 100MG 100    </t>
  </si>
  <si>
    <t>012238</t>
  </si>
  <si>
    <t xml:space="preserve">LBL-HRN BLUE PERIOD PAIN 25'S </t>
  </si>
  <si>
    <t>012257</t>
  </si>
  <si>
    <t xml:space="preserve">CTN GASTROGEL-R 150MG 14      </t>
  </si>
  <si>
    <t>012258</t>
  </si>
  <si>
    <t xml:space="preserve">CTN GASTROGEL-R XTRA 300MG 14 </t>
  </si>
  <si>
    <t>012260</t>
  </si>
  <si>
    <t>CTN GRD HEARTBURN RLF 150MG 14</t>
  </si>
  <si>
    <t>012262</t>
  </si>
  <si>
    <t xml:space="preserve">CTN GRD HRTBURN XTRA 300MG 14 </t>
  </si>
  <si>
    <t>012264</t>
  </si>
  <si>
    <t>CTN CO RANITIDINE RLF 150MG 14</t>
  </si>
  <si>
    <t>012265</t>
  </si>
  <si>
    <t>CTN CO RANITIDINE FRT 300MG 14</t>
  </si>
  <si>
    <t>012272</t>
  </si>
  <si>
    <t xml:space="preserve">CAP-PLAS YLW 38MM CRC/TT      </t>
  </si>
  <si>
    <t>012273</t>
  </si>
  <si>
    <t xml:space="preserve">CAP-PLAS BLUE 38MM CRC/TT     </t>
  </si>
  <si>
    <t>012279</t>
  </si>
  <si>
    <t xml:space="preserve">X IND CTN VFLX OTC 60 GR      </t>
  </si>
  <si>
    <t>012280</t>
  </si>
  <si>
    <t xml:space="preserve">FOIL-PRTD VFLX OTC 60'S GR    </t>
  </si>
  <si>
    <t>012295</t>
  </si>
  <si>
    <t xml:space="preserve">CTN DEMAZIN COLD RELIEF 200ML </t>
  </si>
  <si>
    <t>012296</t>
  </si>
  <si>
    <t>CTN DEMAZIN COLD RLF CLR 200ML</t>
  </si>
  <si>
    <t>012299</t>
  </si>
  <si>
    <t>012306</t>
  </si>
  <si>
    <t xml:space="preserve">CAP 28MM WHITE PP TECR 1057   </t>
  </si>
  <si>
    <t>012307</t>
  </si>
  <si>
    <t xml:space="preserve">FOIL-PRTD VFLX PLUS FS-CH     </t>
  </si>
  <si>
    <t>012308</t>
  </si>
  <si>
    <t xml:space="preserve">IND CTN VFLX PLUS FS-CH 60'S  </t>
  </si>
  <si>
    <t>012309</t>
  </si>
  <si>
    <t xml:space="preserve">LEAFLET-VFLX PLUS FS-CH       </t>
  </si>
  <si>
    <t>012310</t>
  </si>
  <si>
    <t xml:space="preserve">IND CTN VFLX PLUS FS-CH 120'S </t>
  </si>
  <si>
    <t>012311</t>
  </si>
  <si>
    <t xml:space="preserve">SHPR-VFLX PLUS FS-CH 120'S.   </t>
  </si>
  <si>
    <t>012313</t>
  </si>
  <si>
    <t xml:space="preserve">CAP PLAS SIL 38MM J EMBOSSED  </t>
  </si>
  <si>
    <t>012314</t>
  </si>
  <si>
    <t xml:space="preserve">CAP PLAS 83MM SIL CEL WAD     </t>
  </si>
  <si>
    <t>012315</t>
  </si>
  <si>
    <t xml:space="preserve">CAP PLAS 63MM SIL CEL WAD     </t>
  </si>
  <si>
    <t>012332</t>
  </si>
  <si>
    <t>CTN GRD PARA INFANT DROPS 20ML</t>
  </si>
  <si>
    <t>012334</t>
  </si>
  <si>
    <t xml:space="preserve">CTN LANOXIN PAED ELIXIR 60ML  </t>
  </si>
  <si>
    <t>012348</t>
  </si>
  <si>
    <t xml:space="preserve">LBL-INNER EAN - 012200        </t>
  </si>
  <si>
    <t>012349</t>
  </si>
  <si>
    <t xml:space="preserve">SACK MASTER DISPOSABLE        </t>
  </si>
  <si>
    <t>012350</t>
  </si>
  <si>
    <t xml:space="preserve">PAIL 20L DISPOSABLE           </t>
  </si>
  <si>
    <t>012368</t>
  </si>
  <si>
    <t>MORPHINE SULPHATE CR TABS 10MG</t>
  </si>
  <si>
    <t>012370</t>
  </si>
  <si>
    <t>MORPHINE SULPHATE CR TABS 30MG</t>
  </si>
  <si>
    <t>012371</t>
  </si>
  <si>
    <t>MORPHINE SULPHATE CR TABS 60MG</t>
  </si>
  <si>
    <t>012372</t>
  </si>
  <si>
    <t>MORPHINE SULPHATE CR TABS 100M</t>
  </si>
  <si>
    <t>012382</t>
  </si>
  <si>
    <t>X OUTER B2GO 24(12X2)X250ML OR</t>
  </si>
  <si>
    <t>012401</t>
  </si>
  <si>
    <t xml:space="preserve">FOIL URAL SACHETS 4G          </t>
  </si>
  <si>
    <t>012402</t>
  </si>
  <si>
    <t xml:space="preserve">CTN URAL SACHETS 4G X 8       </t>
  </si>
  <si>
    <t>012403</t>
  </si>
  <si>
    <t xml:space="preserve">CTN URAL SACHETS 4G X 28      </t>
  </si>
  <si>
    <t>012405</t>
  </si>
  <si>
    <t xml:space="preserve">OUTER 475X212X247MM           </t>
  </si>
  <si>
    <t xml:space="preserve">FOIL GABATINE CAPS 100MG      </t>
  </si>
  <si>
    <t>012411</t>
  </si>
  <si>
    <t xml:space="preserve">FOIL GABATINE CAPS 300MG      </t>
  </si>
  <si>
    <t>012412</t>
  </si>
  <si>
    <t xml:space="preserve">FOIL GABATINE CAPS 400MG      </t>
  </si>
  <si>
    <t>012413</t>
  </si>
  <si>
    <t xml:space="preserve">CTN GABATINE CAPS 100MG 100   </t>
  </si>
  <si>
    <t xml:space="preserve">CTN GABATINE CAPS 300MG 100   </t>
  </si>
  <si>
    <t>012416</t>
  </si>
  <si>
    <t xml:space="preserve">CTN GABATINE CAPS 400MG 100   </t>
  </si>
  <si>
    <t>012430</t>
  </si>
  <si>
    <t xml:space="preserve">LBL-HRN BIO C 1000MG 45S      </t>
  </si>
  <si>
    <t>012434</t>
  </si>
  <si>
    <t xml:space="preserve">LBL-HRN MAGNESIUM PLUS 100'S  </t>
  </si>
  <si>
    <t>012436</t>
  </si>
  <si>
    <t>FOIL 116MM DEMAZIN COUGH C&amp;FLU</t>
  </si>
  <si>
    <t>012437</t>
  </si>
  <si>
    <t xml:space="preserve">FOIL 116MM DEMAZIN COLD &amp; FLU </t>
  </si>
  <si>
    <t>012438</t>
  </si>
  <si>
    <t>CTN DEMAZIN COUGH COLD&amp;FLU TAB</t>
  </si>
  <si>
    <t>012439</t>
  </si>
  <si>
    <t>CTN DEMAZIN COLD &amp; FLU TABS 24</t>
  </si>
  <si>
    <t>012442</t>
  </si>
  <si>
    <t xml:space="preserve">LBL-HRN VIT C 300'S           </t>
  </si>
  <si>
    <t>012443</t>
  </si>
  <si>
    <t xml:space="preserve">LBL-HRN VIT C 500'S           </t>
  </si>
  <si>
    <t>012446</t>
  </si>
  <si>
    <t xml:space="preserve">LBL-HRN GARLIC OIL 3G 200'S   </t>
  </si>
  <si>
    <t>012463</t>
  </si>
  <si>
    <t xml:space="preserve">LBL-HRN CALCIUM PLUS 50'S     </t>
  </si>
  <si>
    <t>012469</t>
  </si>
  <si>
    <t xml:space="preserve">LBL-HRN VITAMIN C 100S        </t>
  </si>
  <si>
    <t>012471</t>
  </si>
  <si>
    <t xml:space="preserve">PLT WHITE 1165X1165X170       </t>
  </si>
  <si>
    <t>012472</t>
  </si>
  <si>
    <t xml:space="preserve">PRINT MAT-D-226-120153CE      </t>
  </si>
  <si>
    <t>012486</t>
  </si>
  <si>
    <t xml:space="preserve">CTN CO DRY TICKLY COUGH 200ML </t>
  </si>
  <si>
    <t>012492</t>
  </si>
  <si>
    <t xml:space="preserve">CAP 33MM T/TEL DOUBLE WADDED  </t>
  </si>
  <si>
    <t>012495</t>
  </si>
  <si>
    <t xml:space="preserve">LBL-HRN VALERIAN 500MG 100's  </t>
  </si>
  <si>
    <t>012506</t>
  </si>
  <si>
    <t xml:space="preserve">FLUOXETINE CAPSULES 20MG BULK </t>
  </si>
  <si>
    <t>012534</t>
  </si>
  <si>
    <t xml:space="preserve">LBL-OSTEOEZE ADVANCE 500'S    </t>
  </si>
  <si>
    <t>012535</t>
  </si>
  <si>
    <t xml:space="preserve">OUTER 452X380X320MM           </t>
  </si>
  <si>
    <t xml:space="preserve">OUTER 425X308X320MM           </t>
  </si>
  <si>
    <t>012550</t>
  </si>
  <si>
    <t xml:space="preserve">LBL-HRN MEGA B 100'S          </t>
  </si>
  <si>
    <t>012566</t>
  </si>
  <si>
    <t xml:space="preserve">OUTER 464X324X248MM           </t>
  </si>
  <si>
    <t>012567</t>
  </si>
  <si>
    <t>AMISULPRIDE TABLETS 400MG BULK</t>
  </si>
  <si>
    <t>012575</t>
  </si>
  <si>
    <t xml:space="preserve">FOIL AUSCAP CAPS 20MG         </t>
  </si>
  <si>
    <t xml:space="preserve">CTN AUSCAP CAPS 20MG 28       </t>
  </si>
  <si>
    <t xml:space="preserve">OUTER 690X448X188MM           </t>
  </si>
  <si>
    <t>012578</t>
  </si>
  <si>
    <t xml:space="preserve">IND CTN CO PARA CAPSEALS 96   </t>
  </si>
  <si>
    <t>012595</t>
  </si>
  <si>
    <t xml:space="preserve">LBL CEPACOL MINT SOLN 500ML   </t>
  </si>
  <si>
    <t>012596</t>
  </si>
  <si>
    <t xml:space="preserve">LBL CEPACOL SOLN 500ML        </t>
  </si>
  <si>
    <t>012598</t>
  </si>
  <si>
    <t xml:space="preserve">UNICLEAN 205B (205L)          </t>
  </si>
  <si>
    <t>012602</t>
  </si>
  <si>
    <t xml:space="preserve">LBL-HRN MULTI VITAMIN 60'S    </t>
  </si>
  <si>
    <t xml:space="preserve">FOIL AMIPRIDE TABS 400MG      </t>
  </si>
  <si>
    <t xml:space="preserve">FILM 140MM CLEAR PVC 250UM    </t>
  </si>
  <si>
    <t xml:space="preserve">CTN AMIPRIDE TABS 400MG 60    </t>
  </si>
  <si>
    <t>012607</t>
  </si>
  <si>
    <t>CODING FOIL CS512 305M X 100MM</t>
  </si>
  <si>
    <t>012608</t>
  </si>
  <si>
    <t xml:space="preserve">X INK JET CARTRIDGE C7115A    </t>
  </si>
  <si>
    <t>012624</t>
  </si>
  <si>
    <t xml:space="preserve">BTL JAR HDPE 750ML            </t>
  </si>
  <si>
    <t>012632</t>
  </si>
  <si>
    <t xml:space="preserve">SHP OSTEOEZE ACTIVE 120       </t>
  </si>
  <si>
    <t>012633</t>
  </si>
  <si>
    <t xml:space="preserve">LBL HRN BLUE TABSULES 25'S    </t>
  </si>
  <si>
    <t>012636</t>
  </si>
  <si>
    <t>IND CTN HOMEBRD ASPIRIN TAB 24</t>
  </si>
  <si>
    <t>012640</t>
  </si>
  <si>
    <t>IND CTN-VFLX GLUC750MG 180S DE</t>
  </si>
  <si>
    <t>012644</t>
  </si>
  <si>
    <t>IND CTN VFLX GLUC750MG 180S CH</t>
  </si>
  <si>
    <t>012645</t>
  </si>
  <si>
    <t xml:space="preserve">LBL GASTROGEL LIQ 150ML FRONT </t>
  </si>
  <si>
    <t>012646</t>
  </si>
  <si>
    <t xml:space="preserve">LBL GASTROGEL LIQ 150ML REAR  </t>
  </si>
  <si>
    <t>012667</t>
  </si>
  <si>
    <t xml:space="preserve">LABEL CEPACOL MINT SOLN 150ML </t>
  </si>
  <si>
    <t>012668</t>
  </si>
  <si>
    <t xml:space="preserve">LABEL CEPACOL SOLN 150ML      </t>
  </si>
  <si>
    <t>012670</t>
  </si>
  <si>
    <t xml:space="preserve">BTL-GLASS AMB 200ML S-CAP     </t>
  </si>
  <si>
    <t>012683</t>
  </si>
  <si>
    <t>CAP 28MM BEIGE PLASTIC INDUCTI</t>
  </si>
  <si>
    <t>012684</t>
  </si>
  <si>
    <t>CAP 28MM PURPLE PLASTIC INDUCT</t>
  </si>
  <si>
    <t>012686</t>
  </si>
  <si>
    <t>CAP 28MM GREEN PLASTIC INDUCTI</t>
  </si>
  <si>
    <t>012696</t>
  </si>
  <si>
    <t xml:space="preserve">X FOIL ENDONE TABS 5MG        </t>
  </si>
  <si>
    <t>012702</t>
  </si>
  <si>
    <t>CAP 28MM WHITE PLASTIC INDUCTI</t>
  </si>
  <si>
    <t>012709</t>
  </si>
  <si>
    <t xml:space="preserve">LBL GASTROGEL LIQ 500ML FRONT </t>
  </si>
  <si>
    <t>012710</t>
  </si>
  <si>
    <t xml:space="preserve">LBL GASTROGEL LIQ 500ML REAR  </t>
  </si>
  <si>
    <t>012726</t>
  </si>
  <si>
    <t xml:space="preserve">LBL LASIX ORAL SOLUTION 30ML  </t>
  </si>
  <si>
    <t>012727</t>
  </si>
  <si>
    <t xml:space="preserve">X LBL EMETROL SYRUP 100ML     </t>
  </si>
  <si>
    <t>012732</t>
  </si>
  <si>
    <t xml:space="preserve">CTN LASIX ORAL SOLUTION 30ML  </t>
  </si>
  <si>
    <t>012733</t>
  </si>
  <si>
    <t xml:space="preserve">OUTER CEPACOL MINT 150ML X 24 </t>
  </si>
  <si>
    <t>012734</t>
  </si>
  <si>
    <t xml:space="preserve">OUTER CEPACOL 150ML X 24      </t>
  </si>
  <si>
    <t>012735</t>
  </si>
  <si>
    <t xml:space="preserve">OUTER CEPACOL MINT 500ML X 24 </t>
  </si>
  <si>
    <t>012736</t>
  </si>
  <si>
    <t xml:space="preserve">OUTER CEPACOL 500ML X 24      </t>
  </si>
  <si>
    <t>012741</t>
  </si>
  <si>
    <t xml:space="preserve">LBL RIFADIN CAPS 150MG 100    </t>
  </si>
  <si>
    <t>012745</t>
  </si>
  <si>
    <t xml:space="preserve">LBL RIFADIN CAPS 300MG 100    </t>
  </si>
  <si>
    <t>012748</t>
  </si>
  <si>
    <t xml:space="preserve">LBL RIFADIN TABS 600MG 30     </t>
  </si>
  <si>
    <t>012749</t>
  </si>
  <si>
    <t xml:space="preserve">CTN RIFADIN CAPS 150MG 100    </t>
  </si>
  <si>
    <t>012752</t>
  </si>
  <si>
    <t xml:space="preserve">CTN RIFADIN CAPS 300MG 100    </t>
  </si>
  <si>
    <t>012753</t>
  </si>
  <si>
    <t xml:space="preserve">CTN RIFADIN TABS 600MG 30     </t>
  </si>
  <si>
    <t>012767</t>
  </si>
  <si>
    <t>CTN GRD SIN ALG&amp;PAIN PE TAB 24</t>
  </si>
  <si>
    <t>012777</t>
  </si>
  <si>
    <t xml:space="preserve">LABEL GRD PARA ELIX CHILD 1-5 </t>
  </si>
  <si>
    <t>012778</t>
  </si>
  <si>
    <t>LABEL GRD PARA ELIX CHILD 5-12</t>
  </si>
  <si>
    <t>012779</t>
  </si>
  <si>
    <t>LABEL AMC PARA 120MG/5ML 100ML</t>
  </si>
  <si>
    <t>012780</t>
  </si>
  <si>
    <t>LABEL AMC PARA 120MG/5ML 200ML</t>
  </si>
  <si>
    <t>012782</t>
  </si>
  <si>
    <t>LABEL AMC PARA 240MG/5ML 100ML</t>
  </si>
  <si>
    <t>012783</t>
  </si>
  <si>
    <t>LABEL AMC PARA 240MG/5ML 200ML</t>
  </si>
  <si>
    <t>012790</t>
  </si>
  <si>
    <t>LABEL 012790 PHENOBARBITONE TA</t>
  </si>
  <si>
    <t>012794</t>
  </si>
  <si>
    <t xml:space="preserve">PRINT MAT D-226-120153CH      </t>
  </si>
  <si>
    <t>012795</t>
  </si>
  <si>
    <t xml:space="preserve">FOIL METEX XR TABS 500MG      </t>
  </si>
  <si>
    <t>012796</t>
  </si>
  <si>
    <t>FILM 128MM CLR TRIPLEX 250/25/</t>
  </si>
  <si>
    <t>012797</t>
  </si>
  <si>
    <t xml:space="preserve">CTN METEX XR TABS 500MG 90    </t>
  </si>
  <si>
    <t>012800</t>
  </si>
  <si>
    <t>INK JET CARTRIDGE HP96(C8767W)</t>
  </si>
  <si>
    <t>012801</t>
  </si>
  <si>
    <t>INK JET CARTRIDGE HP97(C9363W)</t>
  </si>
  <si>
    <t>012809</t>
  </si>
  <si>
    <t xml:space="preserve">X CTN PLAIN VFLX PLUS CH 120  </t>
  </si>
  <si>
    <t>012813</t>
  </si>
  <si>
    <t xml:space="preserve">FOIL APPESE TABS 0.5MG        </t>
  </si>
  <si>
    <t>012814</t>
  </si>
  <si>
    <t xml:space="preserve">FOIL APPESE TABS 2MG          </t>
  </si>
  <si>
    <t xml:space="preserve">FILM 126MM PVC/ACLAR 250/76UM </t>
  </si>
  <si>
    <t>012816</t>
  </si>
  <si>
    <t xml:space="preserve">CTN APPESE TABS 0.5MG 28      </t>
  </si>
  <si>
    <t>012817</t>
  </si>
  <si>
    <t xml:space="preserve">CTN APPESE TABS 2MG 28        </t>
  </si>
  <si>
    <t>012819</t>
  </si>
  <si>
    <t xml:space="preserve">FOIL AVIL TABS 45.3MG         </t>
  </si>
  <si>
    <t>012820</t>
  </si>
  <si>
    <t xml:space="preserve">CTN AVIL TABS 45.3MG 10       </t>
  </si>
  <si>
    <t>012821</t>
  </si>
  <si>
    <t xml:space="preserve">CTN AVIL TABS 45.3MG 50       </t>
  </si>
  <si>
    <t>012823</t>
  </si>
  <si>
    <t xml:space="preserve">CTN GRD PARA CHILD 1-5 200ML  </t>
  </si>
  <si>
    <t>012824</t>
  </si>
  <si>
    <t xml:space="preserve">CTN GRD PARA CHILD 5-12 200ML </t>
  </si>
  <si>
    <t>012825</t>
  </si>
  <si>
    <t xml:space="preserve">CTN AMC PARA 120MG/5ML 100ML  </t>
  </si>
  <si>
    <t>012826</t>
  </si>
  <si>
    <t xml:space="preserve">CTN AMC PARA 120MG/5ML 200ML  </t>
  </si>
  <si>
    <t>012827</t>
  </si>
  <si>
    <t xml:space="preserve">CTN AMC PARA 240MG/5ML 100ML  </t>
  </si>
  <si>
    <t>012828</t>
  </si>
  <si>
    <t xml:space="preserve">CTN AMC PARA 240MG/5ML 200ML  </t>
  </si>
  <si>
    <t>012831</t>
  </si>
  <si>
    <t xml:space="preserve">X FILM HEAT SHRINK GREEN      </t>
  </si>
  <si>
    <t>012832</t>
  </si>
  <si>
    <t xml:space="preserve">LBL METHADONE SYRUP 200ML     </t>
  </si>
  <si>
    <t>012833</t>
  </si>
  <si>
    <t xml:space="preserve">LBL METHADONE PAIN RLF 200ML  </t>
  </si>
  <si>
    <t>012834</t>
  </si>
  <si>
    <t xml:space="preserve">LBL METHADONE SYRUP 1000ML    </t>
  </si>
  <si>
    <t>012835</t>
  </si>
  <si>
    <t xml:space="preserve">X FOIL VERACAPS 160MG 30      </t>
  </si>
  <si>
    <t>012836</t>
  </si>
  <si>
    <t xml:space="preserve">X FOIL VERACAPS 240MG 30      </t>
  </si>
  <si>
    <t>012843</t>
  </si>
  <si>
    <t xml:space="preserve">LBL OSTEOEZE ACTIVE 200'S     </t>
  </si>
  <si>
    <t>012856</t>
  </si>
  <si>
    <t xml:space="preserve">CTN PLAIN VFLX PLUS CH 120    </t>
  </si>
  <si>
    <t>012866</t>
  </si>
  <si>
    <t>IND CTN VFLX GLUC625MG 60S INT</t>
  </si>
  <si>
    <t>012867</t>
  </si>
  <si>
    <t xml:space="preserve">LEAFLET - VFLX GLUC 625MG INT </t>
  </si>
  <si>
    <t>012868</t>
  </si>
  <si>
    <t xml:space="preserve">FOIL PRTD VFLX GLUC 60 INT    </t>
  </si>
  <si>
    <t>012874</t>
  </si>
  <si>
    <t>BTL GLASS AMB 140ML/38MM J-CAP</t>
  </si>
  <si>
    <t>012877</t>
  </si>
  <si>
    <t xml:space="preserve">HOSE APST-0250-0375 SILICONE  </t>
  </si>
  <si>
    <t>012878</t>
  </si>
  <si>
    <t xml:space="preserve">CAP SIL 38MM EMB SC - CORMACK </t>
  </si>
  <si>
    <t>012879</t>
  </si>
  <si>
    <t xml:space="preserve">CAP SIL 38MM WAD SC - VISEY   </t>
  </si>
  <si>
    <t>012881</t>
  </si>
  <si>
    <t>LBL-OSTEOEZE ACTIVE 120'S TWIN</t>
  </si>
  <si>
    <t>012884</t>
  </si>
  <si>
    <t xml:space="preserve">FOIL TENSIG TABS 50MG 124MM   </t>
  </si>
  <si>
    <t>012891</t>
  </si>
  <si>
    <t>012908</t>
  </si>
  <si>
    <t xml:space="preserve">IND CTN CO PAIN TABSULE 96 PO </t>
  </si>
  <si>
    <t>012910</t>
  </si>
  <si>
    <t xml:space="preserve">IND CTN CO NAT LAXATIVE 100   </t>
  </si>
  <si>
    <t>012912</t>
  </si>
  <si>
    <t xml:space="preserve">IND CTN GRDN COLD RELIEF 24   </t>
  </si>
  <si>
    <t>012918</t>
  </si>
  <si>
    <t xml:space="preserve">FOIL APO GLIMEPIRIDE TABS 1MG </t>
  </si>
  <si>
    <t>012919</t>
  </si>
  <si>
    <t xml:space="preserve">FOIL APO GLIMEPIRIDE TABS 2MG </t>
  </si>
  <si>
    <t>012920</t>
  </si>
  <si>
    <t xml:space="preserve">FOIL APO GLIMEPIRIDE TABS 3MG </t>
  </si>
  <si>
    <t>012921</t>
  </si>
  <si>
    <t xml:space="preserve">FOIL APO GLIMEPIRIDE TABS 4MG </t>
  </si>
  <si>
    <t>012922</t>
  </si>
  <si>
    <t xml:space="preserve">CTN APO GLIMEPIRIDE 1MG 30    </t>
  </si>
  <si>
    <t>012923</t>
  </si>
  <si>
    <t xml:space="preserve">CTN APO GLIMEPIRIDE 2MG 30    </t>
  </si>
  <si>
    <t>012924</t>
  </si>
  <si>
    <t xml:space="preserve">CTN APO GLIMEPIRIDE 3MG 30    </t>
  </si>
  <si>
    <t>012926</t>
  </si>
  <si>
    <t xml:space="preserve">CTN APO GLIMEPIRIDE 4MG 30    </t>
  </si>
  <si>
    <t>012927</t>
  </si>
  <si>
    <t xml:space="preserve">CAP 28MM WHITE PP IND-SEAL    </t>
  </si>
  <si>
    <t>012928</t>
  </si>
  <si>
    <t>LBL GENRX NORFLOXACIN 400MG 14</t>
  </si>
  <si>
    <t>012929</t>
  </si>
  <si>
    <t xml:space="preserve">FOIL APO NIFEDIPINE TABS 30MG </t>
  </si>
  <si>
    <t>012930</t>
  </si>
  <si>
    <t xml:space="preserve">FOIL APO NIFEDIPINE TABS 60MG </t>
  </si>
  <si>
    <t>012931</t>
  </si>
  <si>
    <t xml:space="preserve">CTN APO NIFEDIPINE 30MG 30    </t>
  </si>
  <si>
    <t>012932</t>
  </si>
  <si>
    <t xml:space="preserve">CTN APO NIFEDIPINE 60MG 30    </t>
  </si>
  <si>
    <t>012934</t>
  </si>
  <si>
    <t xml:space="preserve">FOIL APO OXAZEPAM TABS 30MG   </t>
  </si>
  <si>
    <t>012935</t>
  </si>
  <si>
    <t xml:space="preserve">CTN APO OXAZEPAM TABS 30MG 25 </t>
  </si>
  <si>
    <t>012936</t>
  </si>
  <si>
    <t xml:space="preserve">FOIL APO TEMAZEPAM TABS 10MG  </t>
  </si>
  <si>
    <t>012937</t>
  </si>
  <si>
    <t>CTN APO TEMAZEPAM TABS 10MG 25</t>
  </si>
  <si>
    <t>012938</t>
  </si>
  <si>
    <t xml:space="preserve">FOIL APO LORAZEPAM TABS 1MG   </t>
  </si>
  <si>
    <t>012939</t>
  </si>
  <si>
    <t xml:space="preserve">FOIL APO LORAZEPAM TABS 2.5MG </t>
  </si>
  <si>
    <t>012940</t>
  </si>
  <si>
    <t xml:space="preserve">CTN APO LORAZEPAM 1MG 50      </t>
  </si>
  <si>
    <t>012942</t>
  </si>
  <si>
    <t xml:space="preserve">CTN APO LORAZEPAM 2.5MG 50    </t>
  </si>
  <si>
    <t>012944</t>
  </si>
  <si>
    <t xml:space="preserve">FOIL 116MM APO CODEINE/PARA   </t>
  </si>
  <si>
    <t>012945</t>
  </si>
  <si>
    <t xml:space="preserve">CTN APO COD/PARA 30/500MG 20  </t>
  </si>
  <si>
    <t>012952</t>
  </si>
  <si>
    <t xml:space="preserve">OVERWRAP 158MM POLYPROPYLENE  </t>
  </si>
  <si>
    <t>012979</t>
  </si>
  <si>
    <t xml:space="preserve">LEAFLET - VFLX GLUC 750MG CH  </t>
  </si>
  <si>
    <t>012983</t>
  </si>
  <si>
    <t xml:space="preserve">X CTN PHYSEPTONE TABS 10MG 20 </t>
  </si>
  <si>
    <t>012987</t>
  </si>
  <si>
    <t xml:space="preserve">LBL HRN FISH OIL 1000MG 80 IR </t>
  </si>
  <si>
    <t>012989</t>
  </si>
  <si>
    <t>LBL HRN FISH OIL 1000MG 200 IR</t>
  </si>
  <si>
    <t>012990</t>
  </si>
  <si>
    <t>SHPR-BLNK HERRON PARA GOLD 60S</t>
  </si>
  <si>
    <t>012991</t>
  </si>
  <si>
    <t>FOIL 108MM AMC C&amp;F D&amp;N RLF TAB</t>
  </si>
  <si>
    <t>012993</t>
  </si>
  <si>
    <t xml:space="preserve">FOIL CC C&amp;F D&amp;N TABS          </t>
  </si>
  <si>
    <t>012994</t>
  </si>
  <si>
    <t xml:space="preserve">X FOIL CO C&amp;F D&amp;N TABS        </t>
  </si>
  <si>
    <t>012995</t>
  </si>
  <si>
    <t>FOIL 108MM DEMAZIN C&amp;F D&amp;N TAB</t>
  </si>
  <si>
    <t>012996</t>
  </si>
  <si>
    <t>FOIL 108MM GRD C&amp;F D&amp;N RLF TAB</t>
  </si>
  <si>
    <t>012997</t>
  </si>
  <si>
    <t xml:space="preserve">FOIL AMC SINUS PAIN RLF TABS  </t>
  </si>
  <si>
    <t>012998</t>
  </si>
  <si>
    <t xml:space="preserve">FOIL GRD SINUS PAIN RLF TABS  </t>
  </si>
  <si>
    <t>013000</t>
  </si>
  <si>
    <t xml:space="preserve">IND CTN HRN BLUE TABSULE 24   </t>
  </si>
  <si>
    <t>013001</t>
  </si>
  <si>
    <t xml:space="preserve">IND CTN HRN BLUE TABLET 24    </t>
  </si>
  <si>
    <t>013002</t>
  </si>
  <si>
    <t>IND CTN GRDN PARA EXTRA CAP 24</t>
  </si>
  <si>
    <t>013009</t>
  </si>
  <si>
    <t xml:space="preserve">X CTN CO C&amp;F D&amp;N TABS 24      </t>
  </si>
  <si>
    <t>013010</t>
  </si>
  <si>
    <t xml:space="preserve">CTN DEMAZIN C&amp;F D&amp;N TABS 24   </t>
  </si>
  <si>
    <t>013011</t>
  </si>
  <si>
    <t xml:space="preserve">CTN GRD C&amp;F D&amp;N RLF TABS 24   </t>
  </si>
  <si>
    <t>013014</t>
  </si>
  <si>
    <t>CTN GRD SINUS PAIN RLF TABS 24</t>
  </si>
  <si>
    <t>013016</t>
  </si>
  <si>
    <t xml:space="preserve">CTN AMC C&amp;F RLF TABS 24       </t>
  </si>
  <si>
    <t>013017</t>
  </si>
  <si>
    <t xml:space="preserve">X CTN CO C&amp;F TABS 24          </t>
  </si>
  <si>
    <t>013018</t>
  </si>
  <si>
    <t xml:space="preserve">X CTN CO SINUS PAIN TABS 24   </t>
  </si>
  <si>
    <t>013023</t>
  </si>
  <si>
    <t>BAG POLY CLEAR 1200X540X580MMX</t>
  </si>
  <si>
    <t>013030</t>
  </si>
  <si>
    <t>IND CTN GRDN PARA EX CAP 48 PO</t>
  </si>
  <si>
    <t>013032</t>
  </si>
  <si>
    <t xml:space="preserve">OUTER 291X243X283MM           </t>
  </si>
  <si>
    <t>013033</t>
  </si>
  <si>
    <t xml:space="preserve">CTN FELODIL XR TABS 5MG 30    </t>
  </si>
  <si>
    <t>013034</t>
  </si>
  <si>
    <t xml:space="preserve">CTN FELODIL XR TABS 10MG 30   </t>
  </si>
  <si>
    <t>013036</t>
  </si>
  <si>
    <t xml:space="preserve">PAIL LID 20L DISPOSABLE       </t>
  </si>
  <si>
    <t>013037</t>
  </si>
  <si>
    <t xml:space="preserve">PAIL 10L DISPOSABLE           </t>
  </si>
  <si>
    <t>013038</t>
  </si>
  <si>
    <t xml:space="preserve">PAIL LID 10L DISPOSABLE       </t>
  </si>
  <si>
    <t>013040</t>
  </si>
  <si>
    <t xml:space="preserve">PAIL 5L DISPOSABLE            </t>
  </si>
  <si>
    <t>013041</t>
  </si>
  <si>
    <t xml:space="preserve">PAIL LID 5L DISPOSABLE        </t>
  </si>
  <si>
    <t>013042</t>
  </si>
  <si>
    <t xml:space="preserve">PAIL 1L DISPOSABLE            </t>
  </si>
  <si>
    <t>013043</t>
  </si>
  <si>
    <t xml:space="preserve">PAIL LID 1L DISPOSABLE        </t>
  </si>
  <si>
    <t>013051</t>
  </si>
  <si>
    <t xml:space="preserve">CTN LOGICIN SINUS TABS 12     </t>
  </si>
  <si>
    <t>013067</t>
  </si>
  <si>
    <t xml:space="preserve">BULK BAGS 70X90X90CM          </t>
  </si>
  <si>
    <t>013068</t>
  </si>
  <si>
    <t>CAP 38MM GREEN PLASTIC (T/TEL)</t>
  </si>
  <si>
    <t>013073</t>
  </si>
  <si>
    <t>FILM 128MM CLR TRIPLEX 250/30/</t>
  </si>
  <si>
    <t>013078</t>
  </si>
  <si>
    <t xml:space="preserve">LFLT GLUFAN 60 (SPAIN)        </t>
  </si>
  <si>
    <t>013087</t>
  </si>
  <si>
    <t xml:space="preserve">CAP PLAS SIL 38MM J SPIGOT    </t>
  </si>
  <si>
    <t>013092</t>
  </si>
  <si>
    <t>013093</t>
  </si>
  <si>
    <t>013094</t>
  </si>
  <si>
    <t>013095</t>
  </si>
  <si>
    <t>013103</t>
  </si>
  <si>
    <t>X LBL PENTAVITE INFANTS VIT 30</t>
  </si>
  <si>
    <t>013104</t>
  </si>
  <si>
    <t>X CTN PENTAVITE INFANTS VIT 30</t>
  </si>
  <si>
    <t>013114</t>
  </si>
  <si>
    <t xml:space="preserve">CTN TALAM TABS 20MG 28        </t>
  </si>
  <si>
    <t>013122</t>
  </si>
  <si>
    <t xml:space="preserve">CTN VALPAM TABS 2MG 50        </t>
  </si>
  <si>
    <t>013123</t>
  </si>
  <si>
    <t xml:space="preserve">CTN VALPAM TABS 5MG 50        </t>
  </si>
  <si>
    <t>013124</t>
  </si>
  <si>
    <t xml:space="preserve">CTN NIDEM TABS 80MG 100       </t>
  </si>
  <si>
    <t>013126</t>
  </si>
  <si>
    <t>IND CTN GRDN PARA EX CAP 96 PO</t>
  </si>
  <si>
    <t>013132</t>
  </si>
  <si>
    <t>X IND CTN-HRN GOLD+CODEINE 18S</t>
  </si>
  <si>
    <t>013140</t>
  </si>
  <si>
    <t xml:space="preserve">CTN METEX XR TABS 500MG 120   </t>
  </si>
  <si>
    <t>013146</t>
  </si>
  <si>
    <t xml:space="preserve">LBL LANOXIN PAED ELIXIR 60ML  </t>
  </si>
  <si>
    <t>013149</t>
  </si>
  <si>
    <t>LBL DEMAZIN COLD RLF CLR 100ML</t>
  </si>
  <si>
    <t>013163</t>
  </si>
  <si>
    <t xml:space="preserve">LBL DEMAZIN COLD RELIEF 100ML </t>
  </si>
  <si>
    <t>013164</t>
  </si>
  <si>
    <t xml:space="preserve">LBL DEMAZIN COLD RELIEF 200ML </t>
  </si>
  <si>
    <t>013165</t>
  </si>
  <si>
    <t>LBL DEMAZIN COLD RLF CLR 200ML</t>
  </si>
  <si>
    <t>013179</t>
  </si>
  <si>
    <t xml:space="preserve">HOSE APST-0188-0375 SILICONE  </t>
  </si>
  <si>
    <t>013180</t>
  </si>
  <si>
    <t xml:space="preserve">HOSE APST-0313-0500 SILICONE  </t>
  </si>
  <si>
    <t>013189</t>
  </si>
  <si>
    <t>ESCITALOPRAM TABS 10MG BULK IM</t>
  </si>
  <si>
    <t>013190</t>
  </si>
  <si>
    <t>ESCITALOPRAM TABS 20MG BULK IM</t>
  </si>
  <si>
    <t>013191</t>
  </si>
  <si>
    <t xml:space="preserve">CTN LEXAM TABS 10MG 28        </t>
  </si>
  <si>
    <t>013192</t>
  </si>
  <si>
    <t xml:space="preserve">CTN LEXAM TABS 20MG 28        </t>
  </si>
  <si>
    <t>013193</t>
  </si>
  <si>
    <t xml:space="preserve">LBL CEPACAINE ORAL SOLN 200ML </t>
  </si>
  <si>
    <t>013201</t>
  </si>
  <si>
    <t xml:space="preserve">LBL CAUTION HEAVY LIFTING     </t>
  </si>
  <si>
    <t>013239</t>
  </si>
  <si>
    <t xml:space="preserve">CAP 38MM WHITE WAD VIP-I24100 </t>
  </si>
  <si>
    <t>013240</t>
  </si>
  <si>
    <t xml:space="preserve">LBL ARR DIAZEPAM TABS 2MG 500 </t>
  </si>
  <si>
    <t>013241</t>
  </si>
  <si>
    <t xml:space="preserve">LBL ARR DIAZEPAM TABS 5MG 500 </t>
  </si>
  <si>
    <t>013254</t>
  </si>
  <si>
    <t xml:space="preserve">FOIL LEXAM TABS 10MG          </t>
  </si>
  <si>
    <t>013255</t>
  </si>
  <si>
    <t xml:space="preserve">FOIL LEXAM TABS 20MG          </t>
  </si>
  <si>
    <t>013256</t>
  </si>
  <si>
    <t xml:space="preserve">FILM 104MM PVC/ACLAR 3000     </t>
  </si>
  <si>
    <t>013257</t>
  </si>
  <si>
    <t xml:space="preserve">FILM 126MM PVC/ACLAR 3000     </t>
  </si>
  <si>
    <t>013277</t>
  </si>
  <si>
    <t xml:space="preserve">LBL-HRN FISH OIL 1000MG 600'S </t>
  </si>
  <si>
    <t>013278</t>
  </si>
  <si>
    <t xml:space="preserve">LBL-HRN GLUCOSAMINE 750 600'S </t>
  </si>
  <si>
    <t>013280</t>
  </si>
  <si>
    <t xml:space="preserve">PAIL-2 LTR 159MM PP           </t>
  </si>
  <si>
    <t>013281</t>
  </si>
  <si>
    <t xml:space="preserve">LID-PLAS WHT 159MM PP/LLDPE   </t>
  </si>
  <si>
    <t>013283</t>
  </si>
  <si>
    <t xml:space="preserve">PAIL-1.2 LTR 147.5MM PP       </t>
  </si>
  <si>
    <t>013284</t>
  </si>
  <si>
    <t xml:space="preserve">LID-PLAS WHT 147.5MM PP/LLDPE </t>
  </si>
  <si>
    <t>013285</t>
  </si>
  <si>
    <t xml:space="preserve">LBL-INNER                     </t>
  </si>
  <si>
    <t>013286</t>
  </si>
  <si>
    <t>013287</t>
  </si>
  <si>
    <t xml:space="preserve">SHPR-PLAIN VITAMIN 2 LTR PP   </t>
  </si>
  <si>
    <t>013288</t>
  </si>
  <si>
    <t xml:space="preserve">SHPR-PLAIN VITAMIN 1.2 LTR PP </t>
  </si>
  <si>
    <t>013289</t>
  </si>
  <si>
    <t xml:space="preserve">PLAS BAG RESEALABLE 150X230MM </t>
  </si>
  <si>
    <t>013290</t>
  </si>
  <si>
    <t xml:space="preserve">PLAS BAG RESEALABLE 250X330MM </t>
  </si>
  <si>
    <t>013292</t>
  </si>
  <si>
    <t xml:space="preserve">SOURCE TAG                    </t>
  </si>
  <si>
    <t>013293</t>
  </si>
  <si>
    <t xml:space="preserve">SECURITY SEAL                 </t>
  </si>
  <si>
    <t>013298</t>
  </si>
  <si>
    <t xml:space="preserve">FOIL 105MM HERRON SENNESOFT   </t>
  </si>
  <si>
    <t>013299</t>
  </si>
  <si>
    <t xml:space="preserve">X IND CTN-HRRN SENNETABS 100  </t>
  </si>
  <si>
    <t>013300</t>
  </si>
  <si>
    <t xml:space="preserve">FOIL 105MM HERRON SENNETABS   </t>
  </si>
  <si>
    <t>013312</t>
  </si>
  <si>
    <t xml:space="preserve">CTN NYAL COLD SORE CREAM 5G   </t>
  </si>
  <si>
    <t>013322</t>
  </si>
  <si>
    <t>CHLORINE (DPD 4) - REPLACEMENT</t>
  </si>
  <si>
    <t>013323</t>
  </si>
  <si>
    <t>ROUND TEST TUBES FOR PHOTOMETE</t>
  </si>
  <si>
    <t>013324</t>
  </si>
  <si>
    <t>OZONE METER CHECK STANDARDS WI</t>
  </si>
  <si>
    <t>013329</t>
  </si>
  <si>
    <t xml:space="preserve">SHP COSTCO 750ML              </t>
  </si>
  <si>
    <t>013330</t>
  </si>
  <si>
    <t xml:space="preserve">SHP COSTCO 1 LTR              </t>
  </si>
  <si>
    <t>013331</t>
  </si>
  <si>
    <t xml:space="preserve">SHPR-COSTCO GOANNA            </t>
  </si>
  <si>
    <t>013332</t>
  </si>
  <si>
    <t xml:space="preserve">SHPR-COSTCO 500ML             </t>
  </si>
  <si>
    <t>013333</t>
  </si>
  <si>
    <t xml:space="preserve">SHPR-COSTCO IBUPROFEN         </t>
  </si>
  <si>
    <t>013334</t>
  </si>
  <si>
    <t xml:space="preserve">PALLET LAYER SHEET (COSTCO)   </t>
  </si>
  <si>
    <t>013335</t>
  </si>
  <si>
    <t xml:space="preserve">PALLET CAP (COSTCO)           </t>
  </si>
  <si>
    <t>013339</t>
  </si>
  <si>
    <t xml:space="preserve">LBL HRN ECHINACEA 400 COSTCO  </t>
  </si>
  <si>
    <t>013342</t>
  </si>
  <si>
    <t xml:space="preserve">LBL OSTEOEZE ACTIVE 400       </t>
  </si>
  <si>
    <t>013344</t>
  </si>
  <si>
    <t xml:space="preserve">LBL HRN VITA-MINI RASP 400    </t>
  </si>
  <si>
    <t>013349</t>
  </si>
  <si>
    <t xml:space="preserve">LBL-HRN CALCIUM 300           </t>
  </si>
  <si>
    <t>013352</t>
  </si>
  <si>
    <t xml:space="preserve">LBL TERTROXIN TABS 20MCG 100  </t>
  </si>
  <si>
    <t>013353</t>
  </si>
  <si>
    <t xml:space="preserve">SHPR-COSTCO SENNESOFT         </t>
  </si>
  <si>
    <t>013363</t>
  </si>
  <si>
    <t>ORIGINAL LOZENGES BULK (INOVA)</t>
  </si>
  <si>
    <t>013364</t>
  </si>
  <si>
    <t>EUC&amp;MENTH LOZENGES BULK(INOVA)</t>
  </si>
  <si>
    <t>013379</t>
  </si>
  <si>
    <t xml:space="preserve">LBL-HRN SAW PALMETTO 1600     </t>
  </si>
  <si>
    <t>013380</t>
  </si>
  <si>
    <t xml:space="preserve">BULK BAGS 95X90X90CM          </t>
  </si>
  <si>
    <t>013384</t>
  </si>
  <si>
    <t xml:space="preserve">OUTER 526X273X325MM           </t>
  </si>
  <si>
    <t>013401</t>
  </si>
  <si>
    <t xml:space="preserve">LBL COLOXYL DROPS 30ML        </t>
  </si>
  <si>
    <t>013402</t>
  </si>
  <si>
    <t xml:space="preserve">CTN COLOXYL DROPS 30ML        </t>
  </si>
  <si>
    <t>013411</t>
  </si>
  <si>
    <t>TUBE ARISTOCORT CRM 0.02% 100G</t>
  </si>
  <si>
    <t>013412</t>
  </si>
  <si>
    <t>TUBE TRICORTONE CRM 0.02% 100G</t>
  </si>
  <si>
    <t>013413</t>
  </si>
  <si>
    <t>TUBE ARISTOCORT OINT 0.02% 100</t>
  </si>
  <si>
    <t>013414</t>
  </si>
  <si>
    <t>TUBE TRICORTONE OINT 0.02% 100</t>
  </si>
  <si>
    <t>013415</t>
  </si>
  <si>
    <t xml:space="preserve">TUBE BETNOVATE CRM 30G        </t>
  </si>
  <si>
    <t>013416</t>
  </si>
  <si>
    <t xml:space="preserve">TUBE BETNOVATE 1/2 CRM 15G    </t>
  </si>
  <si>
    <t>013417</t>
  </si>
  <si>
    <t xml:space="preserve">TUBE CORTIVAL 1/2 CRM 15G     </t>
  </si>
  <si>
    <t>013419</t>
  </si>
  <si>
    <t xml:space="preserve">TUBE BETNOVATE 1/5 CRM 100G   </t>
  </si>
  <si>
    <t>013420</t>
  </si>
  <si>
    <t xml:space="preserve">TUBE CORTIVAL 1/5 CRM 100G    </t>
  </si>
  <si>
    <t>013421</t>
  </si>
  <si>
    <t xml:space="preserve">TUBE BETNOVATE OINT 30G       </t>
  </si>
  <si>
    <t>013422</t>
  </si>
  <si>
    <t xml:space="preserve">TUBE BETNOVATE 1/2 OINT 15G   </t>
  </si>
  <si>
    <t>013423</t>
  </si>
  <si>
    <t xml:space="preserve">TUBE CORTIVAL 1/2 OINT 15G    </t>
  </si>
  <si>
    <t>013424</t>
  </si>
  <si>
    <t xml:space="preserve">TUBE NILSTAT VAGINAL CRM 75G  </t>
  </si>
  <si>
    <t>013425</t>
  </si>
  <si>
    <t xml:space="preserve">TUBE CORTIC-DS CRM 30G        </t>
  </si>
  <si>
    <t>013427</t>
  </si>
  <si>
    <t xml:space="preserve">TUBE CORTIC-DS CRM 50G        </t>
  </si>
  <si>
    <t>013428</t>
  </si>
  <si>
    <t xml:space="preserve">TUBE SIGMACORT CRM 30G        </t>
  </si>
  <si>
    <t>013429</t>
  </si>
  <si>
    <t xml:space="preserve">TUBE SIGMACORT CRM 50G        </t>
  </si>
  <si>
    <t>013431</t>
  </si>
  <si>
    <t xml:space="preserve">TUBE CORTIC-DS OINT 30G       </t>
  </si>
  <si>
    <t>013432</t>
  </si>
  <si>
    <t xml:space="preserve">TUBE CORTIC-DS OINT 50G       </t>
  </si>
  <si>
    <t>013433</t>
  </si>
  <si>
    <t xml:space="preserve">TUBE SIGMACORT OINT 30G       </t>
  </si>
  <si>
    <t>013435</t>
  </si>
  <si>
    <t xml:space="preserve">TUBE SIGMACORT OINT 50G       </t>
  </si>
  <si>
    <t>013437</t>
  </si>
  <si>
    <t xml:space="preserve">X TUBE CO COLD SORE CRM 5G    </t>
  </si>
  <si>
    <t>013438</t>
  </si>
  <si>
    <t xml:space="preserve">TUBE GRD COLD SORE CRM 5G     </t>
  </si>
  <si>
    <t>013439</t>
  </si>
  <si>
    <t xml:space="preserve">TUBE ZOLATEN CRM 5G           </t>
  </si>
  <si>
    <t>013448</t>
  </si>
  <si>
    <t xml:space="preserve">SHPR-COSTCO 750ML - 013350    </t>
  </si>
  <si>
    <t>013449</t>
  </si>
  <si>
    <t>013453</t>
  </si>
  <si>
    <t xml:space="preserve">SHPR-COSTCO GOANNA - 013337   </t>
  </si>
  <si>
    <t>013454</t>
  </si>
  <si>
    <t xml:space="preserve">SHP COSTCO 1 LTR 013327       </t>
  </si>
  <si>
    <t>013462</t>
  </si>
  <si>
    <t xml:space="preserve">IND CTN DOLASED 20            </t>
  </si>
  <si>
    <t>013464</t>
  </si>
  <si>
    <t xml:space="preserve">IND CTN CO IBUPROFEN TAB 96   </t>
  </si>
  <si>
    <t>013465</t>
  </si>
  <si>
    <t xml:space="preserve">FOIL EUTROXSIG TABS 50MCG     </t>
  </si>
  <si>
    <t>013466</t>
  </si>
  <si>
    <t xml:space="preserve">FOIL EUTROXSIG TABS 75MCG     </t>
  </si>
  <si>
    <t>013467</t>
  </si>
  <si>
    <t xml:space="preserve">FOIL EUTROXSIG TABS 100MCG    </t>
  </si>
  <si>
    <t>013468</t>
  </si>
  <si>
    <t xml:space="preserve">FOIL EUTROXSIG TABS 200MCG    </t>
  </si>
  <si>
    <t>013470</t>
  </si>
  <si>
    <t xml:space="preserve">FOIL OROXINE TABS 50MCG       </t>
  </si>
  <si>
    <t>013471</t>
  </si>
  <si>
    <t xml:space="preserve">FOIL OROXINE TABS 75MCG       </t>
  </si>
  <si>
    <t>013472</t>
  </si>
  <si>
    <t xml:space="preserve">FOIL OROXINE TABS 100MCG      </t>
  </si>
  <si>
    <t>013473</t>
  </si>
  <si>
    <t xml:space="preserve">FOIL OROXINE TABS 200MCG      </t>
  </si>
  <si>
    <t>013474</t>
  </si>
  <si>
    <t xml:space="preserve">LFLT EUTROXSIG TABS           </t>
  </si>
  <si>
    <t>013475</t>
  </si>
  <si>
    <t xml:space="preserve">LFLT OROXINE TABS             </t>
  </si>
  <si>
    <t>013476</t>
  </si>
  <si>
    <t xml:space="preserve">CTN EUTROXSIG TABS 50MCG 200  </t>
  </si>
  <si>
    <t>013478</t>
  </si>
  <si>
    <t xml:space="preserve">CTN EUTROXSIG TABS 75MCG 200  </t>
  </si>
  <si>
    <t>013479</t>
  </si>
  <si>
    <t xml:space="preserve">CTN EUTROXSIG TABS 100MCG 200 </t>
  </si>
  <si>
    <t>013480</t>
  </si>
  <si>
    <t xml:space="preserve">CTN EUTROXSIG TABS 200MCG 200 </t>
  </si>
  <si>
    <t>013481</t>
  </si>
  <si>
    <t xml:space="preserve">CTN OROXINE TABS 50MCG 200    </t>
  </si>
  <si>
    <t>013482</t>
  </si>
  <si>
    <t xml:space="preserve">CTN OROXINE TABS 75MCG 200    </t>
  </si>
  <si>
    <t>013483</t>
  </si>
  <si>
    <t xml:space="preserve">CTN OROXINE TABS 100MCG 200   </t>
  </si>
  <si>
    <t>013484</t>
  </si>
  <si>
    <t xml:space="preserve">CTN OROXINE TABS 200MCG 200   </t>
  </si>
  <si>
    <t>013487</t>
  </si>
  <si>
    <t xml:space="preserve">IND CTN-HRRN PARA CAPSEAL 12  </t>
  </si>
  <si>
    <t>013490</t>
  </si>
  <si>
    <t xml:space="preserve">FILM COLDFORM 134MM           </t>
  </si>
  <si>
    <t>013491</t>
  </si>
  <si>
    <t xml:space="preserve">FOIL EPIRAMAX TABS 25MG       </t>
  </si>
  <si>
    <t>013492</t>
  </si>
  <si>
    <t xml:space="preserve">FOIL EPIRAMAX TABS 50MG       </t>
  </si>
  <si>
    <t>013494</t>
  </si>
  <si>
    <t xml:space="preserve">FOIL EPIRAMAX TABS 100MG      </t>
  </si>
  <si>
    <t>013495</t>
  </si>
  <si>
    <t xml:space="preserve">FOIL EPIRAMAX TABS 200MG      </t>
  </si>
  <si>
    <t>013496</t>
  </si>
  <si>
    <t xml:space="preserve">CTN EPIRAMAX TABS 25MG 60     </t>
  </si>
  <si>
    <t>013497</t>
  </si>
  <si>
    <t xml:space="preserve">CTN EPIRAMAX TABS 50MG 60     </t>
  </si>
  <si>
    <t>013498</t>
  </si>
  <si>
    <t xml:space="preserve">CTN EPIRAMAX TABS 100MG 60    </t>
  </si>
  <si>
    <t>013499</t>
  </si>
  <si>
    <t xml:space="preserve">CTN EPIRAMAX TABS 200MG 60    </t>
  </si>
  <si>
    <t>013501</t>
  </si>
  <si>
    <t xml:space="preserve">CTN-HRN PARA TABSULE 12'S     </t>
  </si>
  <si>
    <t>013502</t>
  </si>
  <si>
    <t xml:space="preserve">CTN-HRN PARA TABSULE 24'S     </t>
  </si>
  <si>
    <t>013503</t>
  </si>
  <si>
    <t xml:space="preserve">LBL HRN VITA-MINI RASP 100    </t>
  </si>
  <si>
    <t>013504</t>
  </si>
  <si>
    <t xml:space="preserve">LBL HRN VITA-MINI RASP 50     </t>
  </si>
  <si>
    <t>013505</t>
  </si>
  <si>
    <t>CTN AMC SINUS PAIN RLF TABS 24</t>
  </si>
  <si>
    <t>013507</t>
  </si>
  <si>
    <t xml:space="preserve">CTN LANOXIN TABS 250MCG 100   </t>
  </si>
  <si>
    <t>013525</t>
  </si>
  <si>
    <t xml:space="preserve">FOIL NIDEM TABS 80MG          </t>
  </si>
  <si>
    <t>013526</t>
  </si>
  <si>
    <t xml:space="preserve">FOIL VALPAM TABS 2MG          </t>
  </si>
  <si>
    <t>013527</t>
  </si>
  <si>
    <t xml:space="preserve">FOIL VALPAM TABS 5MG          </t>
  </si>
  <si>
    <t>013528</t>
  </si>
  <si>
    <t xml:space="preserve">LBL VALPAM TABS 5MG 50 BTL    </t>
  </si>
  <si>
    <t>013529</t>
  </si>
  <si>
    <t xml:space="preserve">CTN ALPRAX TABS 0.25MG 50     </t>
  </si>
  <si>
    <t>013532</t>
  </si>
  <si>
    <t xml:space="preserve">CTN ALPRAX TABS 1MG 50        </t>
  </si>
  <si>
    <t>013533</t>
  </si>
  <si>
    <t>LABEL ALPRAX TAB 2MG 50 BOTTLE</t>
  </si>
  <si>
    <t>013536</t>
  </si>
  <si>
    <t>LABEL STELAX TABS 10MG 100 BTL</t>
  </si>
  <si>
    <t>013537</t>
  </si>
  <si>
    <t>LABEL STELAX TABS 25MG 100 BTL</t>
  </si>
  <si>
    <t>013539</t>
  </si>
  <si>
    <t xml:space="preserve">FOIL TALAM TABS 20MG          </t>
  </si>
  <si>
    <t>013540</t>
  </si>
  <si>
    <t xml:space="preserve">LBL TALAM TABS 20MG 28 BTL    </t>
  </si>
  <si>
    <t>013541</t>
  </si>
  <si>
    <t xml:space="preserve">CTN FORMET TABS 500MG 100     </t>
  </si>
  <si>
    <t>013543</t>
  </si>
  <si>
    <t xml:space="preserve">FOIL FORMET TABS 500MG        </t>
  </si>
  <si>
    <t>013545</t>
  </si>
  <si>
    <t xml:space="preserve">CTN FORMET TABS 850MG 60      </t>
  </si>
  <si>
    <t>013546</t>
  </si>
  <si>
    <t xml:space="preserve">LBL FORMET TABS 500MG 100 BTL </t>
  </si>
  <si>
    <t>013547</t>
  </si>
  <si>
    <t xml:space="preserve">FOIL FORMET TABS 850MG        </t>
  </si>
  <si>
    <t>013548</t>
  </si>
  <si>
    <t xml:space="preserve">CTN FORMET TABS 1000MG 90     </t>
  </si>
  <si>
    <t>013550</t>
  </si>
  <si>
    <t xml:space="preserve">FOIL FORMET TABS 1000MG       </t>
  </si>
  <si>
    <t>013552</t>
  </si>
  <si>
    <t>LABEL FORMET TAB 1000MG 90 BTL</t>
  </si>
  <si>
    <t>013563</t>
  </si>
  <si>
    <t xml:space="preserve">CTN AUSFAM TABLETS 40MG 30    </t>
  </si>
  <si>
    <t>013564</t>
  </si>
  <si>
    <t xml:space="preserve">FOIL AUSFAM TABLETS 40MG      </t>
  </si>
  <si>
    <t>013566</t>
  </si>
  <si>
    <t xml:space="preserve">CTN DOLAPRIL CAPS 2.0MG 28    </t>
  </si>
  <si>
    <t>013567</t>
  </si>
  <si>
    <t xml:space="preserve">FOIL DOLAPRIL CAPS 2.0MG      </t>
  </si>
  <si>
    <t>013568</t>
  </si>
  <si>
    <t xml:space="preserve">CTN SEAZE TABLETS 100MG 56    </t>
  </si>
  <si>
    <t>013570</t>
  </si>
  <si>
    <t xml:space="preserve">FOIL SEAZE TABLETS 100MG      </t>
  </si>
  <si>
    <t>013571</t>
  </si>
  <si>
    <t xml:space="preserve">CTN DIAPRIDE TABLERS 2MG 30   </t>
  </si>
  <si>
    <t>013572</t>
  </si>
  <si>
    <t xml:space="preserve">FOIL DIAPRIDE TABLETS 2MG     </t>
  </si>
  <si>
    <t>013574</t>
  </si>
  <si>
    <t xml:space="preserve">LABEL GREEN STRIPE 74X102MM   </t>
  </si>
  <si>
    <t>013575</t>
  </si>
  <si>
    <t xml:space="preserve">LABEL RED STRIPE 74X102MM     </t>
  </si>
  <si>
    <t>013577</t>
  </si>
  <si>
    <t xml:space="preserve">FOIL VALPREASE TABS 200MG     </t>
  </si>
  <si>
    <t>013578</t>
  </si>
  <si>
    <t xml:space="preserve">FILM COLDFORM 115MM           </t>
  </si>
  <si>
    <t xml:space="preserve">CTN VALPREASE TABS 200MG 100  </t>
  </si>
  <si>
    <t xml:space="preserve">OUTER 488X398X284MM           </t>
  </si>
  <si>
    <t>013582</t>
  </si>
  <si>
    <t xml:space="preserve">FOIL VALPREASE TABS 500MG     </t>
  </si>
  <si>
    <t xml:space="preserve">CTN VALPREASE TABS 500MG 100  </t>
  </si>
  <si>
    <t xml:space="preserve">OUTER 488X348X316MM           </t>
  </si>
  <si>
    <t>013591</t>
  </si>
  <si>
    <t>CTN DISPLAY NYAL COLD SORE CRM</t>
  </si>
  <si>
    <t>013592</t>
  </si>
  <si>
    <t xml:space="preserve">X CTN ENDONE TABS 5MG 20      </t>
  </si>
  <si>
    <t>013593</t>
  </si>
  <si>
    <t>013596</t>
  </si>
  <si>
    <t xml:space="preserve">LBL-HRN VIT C 1000'S          </t>
  </si>
  <si>
    <t>013612</t>
  </si>
  <si>
    <t xml:space="preserve">FOIL ALPRAX TABLETS 0.5MG     </t>
  </si>
  <si>
    <t>013613</t>
  </si>
  <si>
    <t xml:space="preserve">FOIL ALPRAX TABLETS 1.0MG     </t>
  </si>
  <si>
    <t>013614</t>
  </si>
  <si>
    <t xml:space="preserve">CTN PRILACE CAPSULES 10MG 30  </t>
  </si>
  <si>
    <t>013615</t>
  </si>
  <si>
    <t xml:space="preserve">CTN PRILACE TABLETS 5MG 30    </t>
  </si>
  <si>
    <t>013616</t>
  </si>
  <si>
    <t xml:space="preserve">FOIL PRILACE CAPSULES 10MG    </t>
  </si>
  <si>
    <t>013617</t>
  </si>
  <si>
    <t xml:space="preserve">FOIL PRILACE TABLETS 5MG      </t>
  </si>
  <si>
    <t>013618</t>
  </si>
  <si>
    <t xml:space="preserve">CTN SEAZE TABLETS 50MG 56     </t>
  </si>
  <si>
    <t>013619</t>
  </si>
  <si>
    <t xml:space="preserve">FOIL SEAZE TABLETS 50MG       </t>
  </si>
  <si>
    <t>013620</t>
  </si>
  <si>
    <t xml:space="preserve">CTN SEAZE TABLETS 200MG 56    </t>
  </si>
  <si>
    <t>013621</t>
  </si>
  <si>
    <t xml:space="preserve">FOIL SEAZE TABLETS 200MG      </t>
  </si>
  <si>
    <t>013622</t>
  </si>
  <si>
    <t xml:space="preserve">CTN FIBSOL TABLETS 10MG 30    </t>
  </si>
  <si>
    <t>013623</t>
  </si>
  <si>
    <t xml:space="preserve">FOIL FIBSOL TABLETS 10MG      </t>
  </si>
  <si>
    <t>013624</t>
  </si>
  <si>
    <t xml:space="preserve">CTN SUMAGRAN TABLETS 50MG 4   </t>
  </si>
  <si>
    <t>013625</t>
  </si>
  <si>
    <t xml:space="preserve">FOIL SUMAGRAN TABLETS 50MG    </t>
  </si>
  <si>
    <t>013626</t>
  </si>
  <si>
    <t xml:space="preserve">CTN ADDOS XR TABLETS 30MG 30  </t>
  </si>
  <si>
    <t>013627</t>
  </si>
  <si>
    <t xml:space="preserve">FOIL ADDOS XR TABLETS 30MG    </t>
  </si>
  <si>
    <t>013628</t>
  </si>
  <si>
    <t xml:space="preserve">CTN ADDOS XR TABLETS 60MG 30  </t>
  </si>
  <si>
    <t>013630</t>
  </si>
  <si>
    <t xml:space="preserve">FOIL ADDOS XR TABLETS 60MG    </t>
  </si>
  <si>
    <t>013632</t>
  </si>
  <si>
    <t xml:space="preserve">LBL ROXIN TABLETS 400MG 14    </t>
  </si>
  <si>
    <t>013638</t>
  </si>
  <si>
    <t xml:space="preserve">FOIL ALPRAX TABLETS 0.25MG    </t>
  </si>
  <si>
    <t>013640</t>
  </si>
  <si>
    <t>X LBL AMC CHESTY COUGH MIX 200</t>
  </si>
  <si>
    <t>013641</t>
  </si>
  <si>
    <t>LBL GRD CHESTY COUGH MIX 200ML</t>
  </si>
  <si>
    <t>013642</t>
  </si>
  <si>
    <t xml:space="preserve">LBL CO CHILD COLD&amp;ALLERGY 200 </t>
  </si>
  <si>
    <t>013643</t>
  </si>
  <si>
    <t>X LBL CO CHILD COLD&amp;ALLERGY 10</t>
  </si>
  <si>
    <t>013646</t>
  </si>
  <si>
    <t>X CTN AMC CHESTY COUGH MIX 200</t>
  </si>
  <si>
    <t>013647</t>
  </si>
  <si>
    <t>CTN GRD CHESTY COUGH MIX 200ML</t>
  </si>
  <si>
    <t>013648</t>
  </si>
  <si>
    <t xml:space="preserve">CTN CO CHILD COLD&amp;ALLERGY 200 </t>
  </si>
  <si>
    <t>013649</t>
  </si>
  <si>
    <t>X CTN CO CHILD COLD&amp;ALLERGY 10</t>
  </si>
  <si>
    <t>013651</t>
  </si>
  <si>
    <t xml:space="preserve">LBL AMC JNR DECONGESTANT MIX  </t>
  </si>
  <si>
    <t>013652</t>
  </si>
  <si>
    <t xml:space="preserve">CTN AMC JNR DECONGESTANT MIX  </t>
  </si>
  <si>
    <t>013656</t>
  </si>
  <si>
    <t xml:space="preserve">LBL HRN GARLIC OIL 3G 200     </t>
  </si>
  <si>
    <t>013657</t>
  </si>
  <si>
    <t xml:space="preserve">LBL HRN FISH OIL 1000MG 400   </t>
  </si>
  <si>
    <t>013658</t>
  </si>
  <si>
    <t xml:space="preserve">LBL HRN CALCIUM PLUS 50       </t>
  </si>
  <si>
    <t>013659</t>
  </si>
  <si>
    <t xml:space="preserve">LBL HRN BIO C 1000MG 45       </t>
  </si>
  <si>
    <t>013660</t>
  </si>
  <si>
    <t xml:space="preserve">LBL HRN FISH OIL 500MG 60     </t>
  </si>
  <si>
    <t>013663</t>
  </si>
  <si>
    <t xml:space="preserve">LBL HRN MAGNESIUM PLUS 100    </t>
  </si>
  <si>
    <t>013668</t>
  </si>
  <si>
    <t xml:space="preserve">LBL COUMADIN TABS 1MG 50      </t>
  </si>
  <si>
    <t>013669</t>
  </si>
  <si>
    <t xml:space="preserve">LBL COUMADIN TABS 2MG 50      </t>
  </si>
  <si>
    <t>013671</t>
  </si>
  <si>
    <t xml:space="preserve">LBL COUMADIN TABS 5MG 50      </t>
  </si>
  <si>
    <t>013676</t>
  </si>
  <si>
    <t xml:space="preserve">CTN PRILACE TABLETS 1.25MG 30 </t>
  </si>
  <si>
    <t>013677</t>
  </si>
  <si>
    <t xml:space="preserve">FOIL PRILACE TABLETS 1.25MG   </t>
  </si>
  <si>
    <t>013678</t>
  </si>
  <si>
    <t xml:space="preserve">CTN PRILACE TABLETS 2.5MG 30  </t>
  </si>
  <si>
    <t>013679</t>
  </si>
  <si>
    <t xml:space="preserve">FOIL PRILACE TABLETS 2.5MG    </t>
  </si>
  <si>
    <t>013680</t>
  </si>
  <si>
    <t xml:space="preserve">CTN SEAZE TABLETS 5MG 56      </t>
  </si>
  <si>
    <t>013681</t>
  </si>
  <si>
    <t xml:space="preserve">FOIL SEAZE TABLETS 5MG        </t>
  </si>
  <si>
    <t>013682</t>
  </si>
  <si>
    <t xml:space="preserve">CTN SEAZE TABLETS 25MG 56     </t>
  </si>
  <si>
    <t>013683</t>
  </si>
  <si>
    <t xml:space="preserve">FOIL SEAZE TABLETS 25MG       </t>
  </si>
  <si>
    <t>013684</t>
  </si>
  <si>
    <t xml:space="preserve">CTN FIBSOL TABLETS 5MG 30     </t>
  </si>
  <si>
    <t>013685</t>
  </si>
  <si>
    <t xml:space="preserve">FOIL FIBSOL TABLETS 5MG       </t>
  </si>
  <si>
    <t>013686</t>
  </si>
  <si>
    <t xml:space="preserve">CTN FIBSOL TABLETS 20MG 30    </t>
  </si>
  <si>
    <t>013687</t>
  </si>
  <si>
    <t xml:space="preserve">FOIL FIBSOL TABLETS 20MG      </t>
  </si>
  <si>
    <t>013689</t>
  </si>
  <si>
    <t xml:space="preserve">CTN SUMAGRAN TABLETS 50MG 2   </t>
  </si>
  <si>
    <t>013690</t>
  </si>
  <si>
    <t xml:space="preserve">CTN SUMAGRAN TABLETS 100MG 2  </t>
  </si>
  <si>
    <t>013691</t>
  </si>
  <si>
    <t xml:space="preserve">FOIL SUMAGRAN TABLETS 100MG   </t>
  </si>
  <si>
    <t>013692</t>
  </si>
  <si>
    <t xml:space="preserve">BTL 500ML OVAL WHITE PLASTIC  </t>
  </si>
  <si>
    <t>013695</t>
  </si>
  <si>
    <t xml:space="preserve">CTN AUSFAM TABLETS 20MG 60    </t>
  </si>
  <si>
    <t>013697</t>
  </si>
  <si>
    <t xml:space="preserve">FOIL AUSFAM TABLETS 20MG      </t>
  </si>
  <si>
    <t>013698</t>
  </si>
  <si>
    <t>CTN DOLAPRIL CAPSULES 0.5MG 28</t>
  </si>
  <si>
    <t>013699</t>
  </si>
  <si>
    <t xml:space="preserve">FOIL DOLAPRIL CAPSULES 0.5MG  </t>
  </si>
  <si>
    <t>013700</t>
  </si>
  <si>
    <t>CTN DOLAPRIL CAPSULES 1.0MG 28</t>
  </si>
  <si>
    <t>013701</t>
  </si>
  <si>
    <t xml:space="preserve">FOIL DOLAPRIL CAPSULES 1.0MG  </t>
  </si>
  <si>
    <t>013702</t>
  </si>
  <si>
    <t>CTN DOLAPRIL CAPSULES 4.0MG 28</t>
  </si>
  <si>
    <t>013703</t>
  </si>
  <si>
    <t xml:space="preserve">FOIL DOLAPRIL CAPSULES 4.0MG  </t>
  </si>
  <si>
    <t>013704</t>
  </si>
  <si>
    <t xml:space="preserve">CTN DIAPRIDE TABLETS 1MG 30   </t>
  </si>
  <si>
    <t>013705</t>
  </si>
  <si>
    <t xml:space="preserve">FOIL DIAPRIDE TABLETS 1MG     </t>
  </si>
  <si>
    <t>013706</t>
  </si>
  <si>
    <t xml:space="preserve">CTN DIAPRIDE TABLETS 3MG 30   </t>
  </si>
  <si>
    <t>013707</t>
  </si>
  <si>
    <t xml:space="preserve">FOIL DIAPRIDE TABLETS 3MG     </t>
  </si>
  <si>
    <t>013708</t>
  </si>
  <si>
    <t xml:space="preserve">CTN DIAPRIDE TABLETS 4MG 30   </t>
  </si>
  <si>
    <t>013709</t>
  </si>
  <si>
    <t>X CARTON 013709 UREX TABS 40MG</t>
  </si>
  <si>
    <t>013710</t>
  </si>
  <si>
    <t xml:space="preserve">FOIL DIAPRIDE TABLETS 4MG     </t>
  </si>
  <si>
    <t>013712</t>
  </si>
  <si>
    <t xml:space="preserve">LBL FIX-A-FORM PHYMET SYRUP   </t>
  </si>
  <si>
    <t>013713</t>
  </si>
  <si>
    <t xml:space="preserve">X CTN ROXAR TABLETS 150MG 10  </t>
  </si>
  <si>
    <t>013714</t>
  </si>
  <si>
    <t xml:space="preserve">X FOIL ROXAR TABLETS 150MG    </t>
  </si>
  <si>
    <t>013715</t>
  </si>
  <si>
    <t xml:space="preserve">X CTN ROXAR TABLETS 300MG 5   </t>
  </si>
  <si>
    <t>013716</t>
  </si>
  <si>
    <t xml:space="preserve">X FOIL ROXAR TABLETS 300MG    </t>
  </si>
  <si>
    <t>013718</t>
  </si>
  <si>
    <t xml:space="preserve">FOIL CLARITHRO TABLETS 250MG  </t>
  </si>
  <si>
    <t>013719</t>
  </si>
  <si>
    <t>CTN CLARITHRO TABLETS 250MG 14</t>
  </si>
  <si>
    <t>013721</t>
  </si>
  <si>
    <t xml:space="preserve">CTN EXTINE TABLETS 20MG 30    </t>
  </si>
  <si>
    <t>013722</t>
  </si>
  <si>
    <t xml:space="preserve">FOIL EXTINE TABLETS 20MG      </t>
  </si>
  <si>
    <t>013723</t>
  </si>
  <si>
    <t xml:space="preserve">CTN FOSIPRIL TABLETS 10MG 30  </t>
  </si>
  <si>
    <t>013724</t>
  </si>
  <si>
    <t xml:space="preserve">FOIL FOSIPRIL TABLETS 10MG    </t>
  </si>
  <si>
    <t>013726</t>
  </si>
  <si>
    <t xml:space="preserve">CTN FOSIPRIL TABLETS 20MG 30  </t>
  </si>
  <si>
    <t>013727</t>
  </si>
  <si>
    <t xml:space="preserve">FOIL FOSIPRIL TABLETS 20MG    </t>
  </si>
  <si>
    <t>013728</t>
  </si>
  <si>
    <t xml:space="preserve">CTN CIPROL TABLETS 250MG 14   </t>
  </si>
  <si>
    <t>013729</t>
  </si>
  <si>
    <t xml:space="preserve">FOIL CIPROL TABLETS 250MG     </t>
  </si>
  <si>
    <t>013730</t>
  </si>
  <si>
    <t xml:space="preserve">CTN CIPROL TABLETS 500MG 14   </t>
  </si>
  <si>
    <t>013731</t>
  </si>
  <si>
    <t xml:space="preserve">FOIL CIPROL TABLETS 500MG     </t>
  </si>
  <si>
    <t>013732</t>
  </si>
  <si>
    <t xml:space="preserve">CTN CIPROL TABLETS 750MG 14   </t>
  </si>
  <si>
    <t>013734</t>
  </si>
  <si>
    <t xml:space="preserve">FOIL CIPROL TABLETS 750MG     </t>
  </si>
  <si>
    <t>013735</t>
  </si>
  <si>
    <t xml:space="preserve">CARTON UREX TABS 40MG 100     </t>
  </si>
  <si>
    <t>013736</t>
  </si>
  <si>
    <t>X SHRINKFILM 2 COLOUR ORIGINAL</t>
  </si>
  <si>
    <t>013737</t>
  </si>
  <si>
    <t xml:space="preserve">X SHRINKFILM 2 COLOUR ORANGE  </t>
  </si>
  <si>
    <t>013738</t>
  </si>
  <si>
    <t xml:space="preserve">X FILM HEAT SHRINK OPAQUE     </t>
  </si>
  <si>
    <t>013763</t>
  </si>
  <si>
    <t xml:space="preserve">LBL HRN ST JOHNS WORT 1800    </t>
  </si>
  <si>
    <t>013764</t>
  </si>
  <si>
    <t>013765</t>
  </si>
  <si>
    <t xml:space="preserve">LBL-HRN COD LIV/OIL 100       </t>
  </si>
  <si>
    <t>013766</t>
  </si>
  <si>
    <t>013767</t>
  </si>
  <si>
    <t xml:space="preserve">LBL GLUCOSAMINE 1000MG 400    </t>
  </si>
  <si>
    <t>013769</t>
  </si>
  <si>
    <t xml:space="preserve">LBL HRN CRANBERRY 30          </t>
  </si>
  <si>
    <t>013773</t>
  </si>
  <si>
    <t xml:space="preserve">LBL HRN ZINC COMPLEX TABS     </t>
  </si>
  <si>
    <t>013786</t>
  </si>
  <si>
    <t>FOIL URAL CRANBERRY SACHETS 4G</t>
  </si>
  <si>
    <t>013787</t>
  </si>
  <si>
    <t xml:space="preserve">CTN URAL CRANBERRY SACH 4GX28 </t>
  </si>
  <si>
    <t>013789</t>
  </si>
  <si>
    <t xml:space="preserve">LBL HRN GINKGO BILOBA 2000    </t>
  </si>
  <si>
    <t>013790</t>
  </si>
  <si>
    <t xml:space="preserve">LBL HRN LIVER DETOX 90        </t>
  </si>
  <si>
    <t>013791</t>
  </si>
  <si>
    <t xml:space="preserve">LBL HRN FISH OIL 1000MG 200   </t>
  </si>
  <si>
    <t>013793</t>
  </si>
  <si>
    <t xml:space="preserve">LBL HRN FISH OIL 1000MG 80    </t>
  </si>
  <si>
    <t>013794</t>
  </si>
  <si>
    <t xml:space="preserve">LBL HRN GINKGO BRAHMI COMPLEX </t>
  </si>
  <si>
    <t>013801</t>
  </si>
  <si>
    <t xml:space="preserve">LBL AMC EPO 1000MG 200        </t>
  </si>
  <si>
    <t>013803</t>
  </si>
  <si>
    <t xml:space="preserve">LBL MAREVAN TABS 1MG 50       </t>
  </si>
  <si>
    <t>013804</t>
  </si>
  <si>
    <t xml:space="preserve">LBL MAREVAN TABS 3MG 50       </t>
  </si>
  <si>
    <t>013806</t>
  </si>
  <si>
    <t xml:space="preserve">LBL MAREVAN TABS 5MG 50       </t>
  </si>
  <si>
    <t>013807</t>
  </si>
  <si>
    <t xml:space="preserve">CTN ALENDRO TABS 70MG 4       </t>
  </si>
  <si>
    <t>013810</t>
  </si>
  <si>
    <t xml:space="preserve">CTN CODALGIN TABS 100 S2 NZ   </t>
  </si>
  <si>
    <t>013812</t>
  </si>
  <si>
    <t xml:space="preserve">LBL HRN ECHINACEA PUR 60      </t>
  </si>
  <si>
    <t>013814</t>
  </si>
  <si>
    <t xml:space="preserve">LBL HRN VALERIAN PLUS SGEL 30 </t>
  </si>
  <si>
    <t>013815</t>
  </si>
  <si>
    <t>LBL AMC SENEGA &amp; AMMONIA MIXTU</t>
  </si>
  <si>
    <t>013816</t>
  </si>
  <si>
    <t>LBL GRD SENEGA &amp; AMMONIA MIXTU</t>
  </si>
  <si>
    <t>013818</t>
  </si>
  <si>
    <t xml:space="preserve">LBL SENEGAR LIQUID 200ML      </t>
  </si>
  <si>
    <t>013819</t>
  </si>
  <si>
    <t xml:space="preserve">CARTRIDGE MAKE-UP MC803BK 1L  </t>
  </si>
  <si>
    <t>013831</t>
  </si>
  <si>
    <t xml:space="preserve">LBL AMC VITAMIN C 500MG 400   </t>
  </si>
  <si>
    <t>013832</t>
  </si>
  <si>
    <t xml:space="preserve">LBL AMC MULTIVITAMINS 200     </t>
  </si>
  <si>
    <t>013833</t>
  </si>
  <si>
    <t xml:space="preserve">LBL AMC VIT C 500MG TAB 200   </t>
  </si>
  <si>
    <t>013834</t>
  </si>
  <si>
    <t xml:space="preserve">PVC/PVDC 202MM 250UM CLEAR    </t>
  </si>
  <si>
    <t>013835</t>
  </si>
  <si>
    <t xml:space="preserve">LBL SECURE WASTE              </t>
  </si>
  <si>
    <t>013836</t>
  </si>
  <si>
    <t xml:space="preserve">LBL GENERAL WASTE             </t>
  </si>
  <si>
    <t>013837</t>
  </si>
  <si>
    <t xml:space="preserve">LBL PHARMACEUTICAL WASTE      </t>
  </si>
  <si>
    <t>013839</t>
  </si>
  <si>
    <t xml:space="preserve">SHP PLAIN VITAMIN             </t>
  </si>
  <si>
    <t>013918</t>
  </si>
  <si>
    <t xml:space="preserve">FEMAZOLE DUO CREAM 10G        </t>
  </si>
  <si>
    <t xml:space="preserve">CB  </t>
  </si>
  <si>
    <t>013920</t>
  </si>
  <si>
    <t>CTN AMC SKIN IRRITATION CRM 1%</t>
  </si>
  <si>
    <t>013922</t>
  </si>
  <si>
    <t xml:space="preserve">CTN CITALOPRAM TABS 20MG 28   </t>
  </si>
  <si>
    <t>013923</t>
  </si>
  <si>
    <t xml:space="preserve">BTL B2GO 250ML CLEAR PET      </t>
  </si>
  <si>
    <t>013924</t>
  </si>
  <si>
    <t xml:space="preserve">LBL HRN MULTI VITAMIN 60      </t>
  </si>
  <si>
    <t>013929</t>
  </si>
  <si>
    <t xml:space="preserve">LBL VITAMINORUM 100           </t>
  </si>
  <si>
    <t>013930</t>
  </si>
  <si>
    <t>013932</t>
  </si>
  <si>
    <t xml:space="preserve">LBL-AMC WOMENS MULTI 100      </t>
  </si>
  <si>
    <t>013934</t>
  </si>
  <si>
    <t xml:space="preserve">CTN AMC IBUPROFEN CODEINE 24  </t>
  </si>
  <si>
    <t>013936</t>
  </si>
  <si>
    <t xml:space="preserve">CTN GRD IBUPROFEN CODEINE 24  </t>
  </si>
  <si>
    <t>013937</t>
  </si>
  <si>
    <t>LBL AMC NASAL DECON SPRAY 18ML</t>
  </si>
  <si>
    <t>013938</t>
  </si>
  <si>
    <t>CTN AMC NASAL DECON SPRAY 18ML</t>
  </si>
  <si>
    <t>013939</t>
  </si>
  <si>
    <t>CTN AMC NASAL DEC SPRY RF 18ML</t>
  </si>
  <si>
    <t>013945</t>
  </si>
  <si>
    <t>CAP BLU CEL WAD 38MM T/T EMBOS</t>
  </si>
  <si>
    <t>013947</t>
  </si>
  <si>
    <t xml:space="preserve">JAR HDPE WHT 165ML/63MM T/T   </t>
  </si>
  <si>
    <t>013948</t>
  </si>
  <si>
    <t xml:space="preserve">CAP PLAS WHT 63MM WAD T/T     </t>
  </si>
  <si>
    <t>013955</t>
  </si>
  <si>
    <t xml:space="preserve">LBL HRN H/RAD/GAR 50          </t>
  </si>
  <si>
    <t>013956</t>
  </si>
  <si>
    <t xml:space="preserve">LBL HRN VIT C 300             </t>
  </si>
  <si>
    <t>013957</t>
  </si>
  <si>
    <t xml:space="preserve">LBL HRN GLUCOSAMINE 1000 90   </t>
  </si>
  <si>
    <t>013958</t>
  </si>
  <si>
    <t xml:space="preserve">LBL HRN VITAMIN C 100         </t>
  </si>
  <si>
    <t>013959</t>
  </si>
  <si>
    <t xml:space="preserve">LBL HRN SELENIUM SELECT 90    </t>
  </si>
  <si>
    <t>013960</t>
  </si>
  <si>
    <t xml:space="preserve">LBL HRN MENS FUNCTION SUPPORT </t>
  </si>
  <si>
    <t>013962</t>
  </si>
  <si>
    <t xml:space="preserve">LBL HRN VIT C 500             </t>
  </si>
  <si>
    <t>013963</t>
  </si>
  <si>
    <t>013969</t>
  </si>
  <si>
    <t>CTN AMC IBUPROFEN TAB 200MG 24</t>
  </si>
  <si>
    <t>013970</t>
  </si>
  <si>
    <t>CTN AMC IBUPROFEN TAB 200MG 48</t>
  </si>
  <si>
    <t>013971</t>
  </si>
  <si>
    <t>013972</t>
  </si>
  <si>
    <t>LBL AMC PARA INFANT DROPS 20ML</t>
  </si>
  <si>
    <t>013973</t>
  </si>
  <si>
    <t>CTN AMC PARA INFANT DROPS 20ML</t>
  </si>
  <si>
    <t>013974</t>
  </si>
  <si>
    <t xml:space="preserve">TUBE AMC COLD SORE CREAM 5G   </t>
  </si>
  <si>
    <t>013975</t>
  </si>
  <si>
    <t xml:space="preserve">CTN AMC COLD SORE CREAM 5G    </t>
  </si>
  <si>
    <t>013976</t>
  </si>
  <si>
    <t>TUBE AMC SKIN IRRIT CRM 1% 30G</t>
  </si>
  <si>
    <t>013977</t>
  </si>
  <si>
    <t xml:space="preserve">LBL AMC SENNA-COL TABS 90     </t>
  </si>
  <si>
    <t>013978</t>
  </si>
  <si>
    <t>CTN AMC STRONG PAIN RLF TAB 24</t>
  </si>
  <si>
    <t>013980</t>
  </si>
  <si>
    <t>CTN AMC STRONG PAIN RLF TAB 40</t>
  </si>
  <si>
    <t>013981</t>
  </si>
  <si>
    <t>CTN AMC STRONG PAIN RLF TBL 24</t>
  </si>
  <si>
    <t>013982</t>
  </si>
  <si>
    <t>CTN AMC STRONG PAIN RLF TBL 40</t>
  </si>
  <si>
    <t>013983</t>
  </si>
  <si>
    <t xml:space="preserve">CTN AMC PARA PAIN RLF 24      </t>
  </si>
  <si>
    <t>013989</t>
  </si>
  <si>
    <t xml:space="preserve">CTN AMC C&amp;F D&amp;N RLF TABS 24   </t>
  </si>
  <si>
    <t>013990</t>
  </si>
  <si>
    <t>IND CTN AMC STRONG PAIN PLUS20</t>
  </si>
  <si>
    <t>013992</t>
  </si>
  <si>
    <t xml:space="preserve">CTN AMC C-ZINE TABS 10MG 10   </t>
  </si>
  <si>
    <t>013993</t>
  </si>
  <si>
    <t xml:space="preserve">CTN AMC C-ZINE TABS 10MG 30   </t>
  </si>
  <si>
    <t>013997</t>
  </si>
  <si>
    <t>CTN AMC SIN ALG&amp;PAIN PE TAB 24</t>
  </si>
  <si>
    <t>013998</t>
  </si>
  <si>
    <t>CTN AMC C&amp;F D&amp;N RLF PE TABS 24</t>
  </si>
  <si>
    <t>013999</t>
  </si>
  <si>
    <t>CTN AMC SINUS&amp;NASAL RLF TAB 12</t>
  </si>
  <si>
    <t>014000</t>
  </si>
  <si>
    <t>CTN AMC LORATADINE TAB 10MG 10</t>
  </si>
  <si>
    <t>014001</t>
  </si>
  <si>
    <t>CTN AMC LORATADINE TAB 10MG 30</t>
  </si>
  <si>
    <t>014002</t>
  </si>
  <si>
    <t>CTN AMC COLD&amp;FLU RLF PE TAB 24</t>
  </si>
  <si>
    <t>014003</t>
  </si>
  <si>
    <t>CTN AMC PARA PAIN RLF TABS 100</t>
  </si>
  <si>
    <t>014004</t>
  </si>
  <si>
    <t>CTN AMC HEARTBURN RLF 150MG 28</t>
  </si>
  <si>
    <t>014005</t>
  </si>
  <si>
    <t>CTN AMC HEARTBURN XTR 300MG 14</t>
  </si>
  <si>
    <t>014006</t>
  </si>
  <si>
    <t>CTN AMC ASPIRIN TABS 100MG 112</t>
  </si>
  <si>
    <t>014007</t>
  </si>
  <si>
    <t>LABEL 014007 DEXAMPHETAMINE TA</t>
  </si>
  <si>
    <t>014008</t>
  </si>
  <si>
    <t xml:space="preserve">CTN AMC COLD RELIEF TABS 24   </t>
  </si>
  <si>
    <t>014011</t>
  </si>
  <si>
    <t>FOIL AMCAL REHYDRATION FORMULA</t>
  </si>
  <si>
    <t>014018</t>
  </si>
  <si>
    <t xml:space="preserve">CTN TENSIG TABS 50MG 30       </t>
  </si>
  <si>
    <t>014019</t>
  </si>
  <si>
    <t xml:space="preserve">LBL PROBANTHINE 15MG 100 NZ   </t>
  </si>
  <si>
    <t>014020</t>
  </si>
  <si>
    <t xml:space="preserve">CTN AVOMINE TABS 25MG 30      </t>
  </si>
  <si>
    <t>014021</t>
  </si>
  <si>
    <t xml:space="preserve">LFT AVOMINE TABS 25MG 30      </t>
  </si>
  <si>
    <t>014022</t>
  </si>
  <si>
    <t xml:space="preserve">CTN AVOMINE TABS 25MG 10      </t>
  </si>
  <si>
    <t>014024</t>
  </si>
  <si>
    <t xml:space="preserve">LFT AVOMINE TABS 25MG 10      </t>
  </si>
  <si>
    <t>014026</t>
  </si>
  <si>
    <t xml:space="preserve">JAR HDPE WHT 260ML/63MM T/T   </t>
  </si>
  <si>
    <t>014027</t>
  </si>
  <si>
    <t>BTL-JAR WHT RND 500ML/83MM T/E</t>
  </si>
  <si>
    <t>014028</t>
  </si>
  <si>
    <t xml:space="preserve">CAP-PLAS WHT 83MM WAD T/E     </t>
  </si>
  <si>
    <t>014043</t>
  </si>
  <si>
    <t>DI-SODIUM HYDROGEN ORTHOPHOSPH</t>
  </si>
  <si>
    <t>014045</t>
  </si>
  <si>
    <t>POTASSIUM DIHYDROGEN ORTHOPHOS</t>
  </si>
  <si>
    <t>014047</t>
  </si>
  <si>
    <t xml:space="preserve">ORTHOPHOSPHORIC ACID 85%      </t>
  </si>
  <si>
    <t>014048</t>
  </si>
  <si>
    <t xml:space="preserve">PH 4 BUFFER                   </t>
  </si>
  <si>
    <t>014049</t>
  </si>
  <si>
    <t xml:space="preserve">PH 7 BUFFER                   </t>
  </si>
  <si>
    <t>014050</t>
  </si>
  <si>
    <t xml:space="preserve">FOIL ALPRAZOLAM 0.25MG SANDOZ </t>
  </si>
  <si>
    <t>014051</t>
  </si>
  <si>
    <t xml:space="preserve">CTN/LSERT ALPRAZOLAM .25MG 50 </t>
  </si>
  <si>
    <t>014052</t>
  </si>
  <si>
    <t xml:space="preserve">FOIL ALPRAZOLAM 0.5MG SANDOZ  </t>
  </si>
  <si>
    <t>014053</t>
  </si>
  <si>
    <t xml:space="preserve">CTN/LSERT ALPRAZOLAM 0.5MG 50 </t>
  </si>
  <si>
    <t>014054</t>
  </si>
  <si>
    <t xml:space="preserve">FOIL ALPRAZOLAM 1MG SANDOZ    </t>
  </si>
  <si>
    <t>014055</t>
  </si>
  <si>
    <t xml:space="preserve">CTN/LSERT ALPRAZOLAM 1MG 50   </t>
  </si>
  <si>
    <t>014057</t>
  </si>
  <si>
    <t xml:space="preserve">LBL SEPTRIN SUSPENSION 100ML  </t>
  </si>
  <si>
    <t>014061</t>
  </si>
  <si>
    <t xml:space="preserve">CTN ALPRAX TABS 0.5MG 50      </t>
  </si>
  <si>
    <t>014062</t>
  </si>
  <si>
    <t>CTN AMC LORATADINE TAB 10MG 50</t>
  </si>
  <si>
    <t>014063</t>
  </si>
  <si>
    <t>CTN AMC HEARTBURN RLF 150MG 14</t>
  </si>
  <si>
    <t>014068</t>
  </si>
  <si>
    <t xml:space="preserve">LBL AMC GLUCOSAMINE 200       </t>
  </si>
  <si>
    <t>014069</t>
  </si>
  <si>
    <t xml:space="preserve">LBL AMC GLUC/CHOND 200        </t>
  </si>
  <si>
    <t>014070</t>
  </si>
  <si>
    <t xml:space="preserve">LBL HRN MEGA B 100            </t>
  </si>
  <si>
    <t>014071</t>
  </si>
  <si>
    <t xml:space="preserve">LBL HRN WOMENS MULTI TABS 60  </t>
  </si>
  <si>
    <t>014075</t>
  </si>
  <si>
    <t xml:space="preserve">SHPR-BLANK JAR 500ML/83MM     </t>
  </si>
  <si>
    <t>014076</t>
  </si>
  <si>
    <t xml:space="preserve">SHP BLANK JAR 260ML/63MM      </t>
  </si>
  <si>
    <t>014083</t>
  </si>
  <si>
    <t xml:space="preserve">PRINT MAT D-226-120153CL      </t>
  </si>
  <si>
    <t>014094</t>
  </si>
  <si>
    <t>CAP 28MM TECR WITH PLUG INSERT</t>
  </si>
  <si>
    <t>014096</t>
  </si>
  <si>
    <t>CTN CO LORATADINE TABS 10MG 10</t>
  </si>
  <si>
    <t>014097</t>
  </si>
  <si>
    <t xml:space="preserve">CTN CO LORATADINE TAB 10MG 30 </t>
  </si>
  <si>
    <t>014098</t>
  </si>
  <si>
    <t xml:space="preserve">CTN CO LORATADINE TAB 10MG 50 </t>
  </si>
  <si>
    <t>014100</t>
  </si>
  <si>
    <t>CTN GRD LORATADINE TAB 10MG 10</t>
  </si>
  <si>
    <t>014101</t>
  </si>
  <si>
    <t>CTN GRD LORATADINE TAB 10MG 30</t>
  </si>
  <si>
    <t>014102</t>
  </si>
  <si>
    <t>CTN GRD LORATADINE TAB 10MG 50</t>
  </si>
  <si>
    <t>014103</t>
  </si>
  <si>
    <t xml:space="preserve">CTN ASPALGIN TABS 20          </t>
  </si>
  <si>
    <t>014118</t>
  </si>
  <si>
    <t>LBL CO PARA SUSP 120MG/5ML 100</t>
  </si>
  <si>
    <t>014119</t>
  </si>
  <si>
    <t>LBL CO PARA SUSP 120MG/5ML 200</t>
  </si>
  <si>
    <t>014121</t>
  </si>
  <si>
    <t>LBL CO PARA SUSP 240MG/5ML 100</t>
  </si>
  <si>
    <t>014122</t>
  </si>
  <si>
    <t>LBL CO PARA SUSP 240MG/5ML 200</t>
  </si>
  <si>
    <t>014123</t>
  </si>
  <si>
    <t>CTN CO PARA SUSP 120MG/5ML 100</t>
  </si>
  <si>
    <t>014124</t>
  </si>
  <si>
    <t>CTN CO PARA SUSP 120MG/5ML 200</t>
  </si>
  <si>
    <t>014125</t>
  </si>
  <si>
    <t>CTN CO PARA SUSP 240MG/5ML 100</t>
  </si>
  <si>
    <t>014126</t>
  </si>
  <si>
    <t>CTN CO PARA SUSP 240MG/5ML 200</t>
  </si>
  <si>
    <t>014129</t>
  </si>
  <si>
    <t xml:space="preserve">CLOPIDOGREL TABS 75MG         </t>
  </si>
  <si>
    <t>014130</t>
  </si>
  <si>
    <t xml:space="preserve">LBL HRN HAIR SKIN + NAIL 45   </t>
  </si>
  <si>
    <t>014131</t>
  </si>
  <si>
    <t xml:space="preserve">CTN GRD PARA EXTRA TABS 24    </t>
  </si>
  <si>
    <t>014133</t>
  </si>
  <si>
    <t xml:space="preserve">CTN GRD PARA EXTRA TABS 40    </t>
  </si>
  <si>
    <t>014135</t>
  </si>
  <si>
    <t xml:space="preserve">CTN GRDN PARA EXTRA TBSL 24   </t>
  </si>
  <si>
    <t>014137</t>
  </si>
  <si>
    <t>MEMANTINE TABS 10MG (IMPORTED)</t>
  </si>
  <si>
    <t>014139</t>
  </si>
  <si>
    <t xml:space="preserve">FOIL MEMANXA TABS 10MG        </t>
  </si>
  <si>
    <t>014140</t>
  </si>
  <si>
    <t xml:space="preserve">FILM 126MM PVC                </t>
  </si>
  <si>
    <t>014141</t>
  </si>
  <si>
    <t xml:space="preserve">CTN MEMANXA TABS 10MG X 56    </t>
  </si>
  <si>
    <t>014142</t>
  </si>
  <si>
    <t xml:space="preserve">CTN CODALGIN TABS 40          </t>
  </si>
  <si>
    <t>014143</t>
  </si>
  <si>
    <t xml:space="preserve">CTN ASPALGIN TABS 40          </t>
  </si>
  <si>
    <t>014147</t>
  </si>
  <si>
    <t xml:space="preserve">CTN CO IBUPROFEN CODEINE 30   </t>
  </si>
  <si>
    <t>014149</t>
  </si>
  <si>
    <t xml:space="preserve">CTN CO PAIN TABS 24           </t>
  </si>
  <si>
    <t>014150</t>
  </si>
  <si>
    <t xml:space="preserve">CTN CO PAIN TABS 40 BL        </t>
  </si>
  <si>
    <t>014152</t>
  </si>
  <si>
    <t xml:space="preserve">CTN CODALGIN TABS 20          </t>
  </si>
  <si>
    <t>014157</t>
  </si>
  <si>
    <t xml:space="preserve">CTN GRD PARA EXTRA TBSL 40    </t>
  </si>
  <si>
    <t>014158</t>
  </si>
  <si>
    <t xml:space="preserve">IND CTN CO PAIN TABSULES 24   </t>
  </si>
  <si>
    <t>014159</t>
  </si>
  <si>
    <t xml:space="preserve">IND CTN CO PAIN TABSULES 40   </t>
  </si>
  <si>
    <t>014161</t>
  </si>
  <si>
    <t xml:space="preserve">FOIL CLOVIX TABS 75MG         </t>
  </si>
  <si>
    <t>014163</t>
  </si>
  <si>
    <t xml:space="preserve">CTN CLOVIX TABS 75MG 28       </t>
  </si>
  <si>
    <t>014165</t>
  </si>
  <si>
    <t xml:space="preserve">CTN MAYNE ASPIRIN TABS 100MG  </t>
  </si>
  <si>
    <t>014166</t>
  </si>
  <si>
    <t xml:space="preserve">CTN ASTRIX TABS 100MG 112     </t>
  </si>
  <si>
    <t>014174</t>
  </si>
  <si>
    <t xml:space="preserve">DAILY FRUIT LABELS            </t>
  </si>
  <si>
    <t>014175</t>
  </si>
  <si>
    <t xml:space="preserve">DAILY VEG LABELS              </t>
  </si>
  <si>
    <t>014176</t>
  </si>
  <si>
    <t xml:space="preserve">DAILY VEG BARCODES            </t>
  </si>
  <si>
    <t>014177</t>
  </si>
  <si>
    <t xml:space="preserve">DAILY FRUIT BARCODES          </t>
  </si>
  <si>
    <t>014178</t>
  </si>
  <si>
    <t xml:space="preserve">DAILY VEG CARTONS             </t>
  </si>
  <si>
    <t>014179</t>
  </si>
  <si>
    <t xml:space="preserve">DAILY FRUIT CARTONS           </t>
  </si>
  <si>
    <t>014180</t>
  </si>
  <si>
    <t xml:space="preserve">DAILY FRUIT SHIPPERS          </t>
  </si>
  <si>
    <t>014181</t>
  </si>
  <si>
    <t xml:space="preserve">DAILY VEG SHIPPERS            </t>
  </si>
  <si>
    <t>014182</t>
  </si>
  <si>
    <t xml:space="preserve">LBL HRN PARA TABSULES 25'S    </t>
  </si>
  <si>
    <t>014183</t>
  </si>
  <si>
    <t xml:space="preserve">LBL HRN PARA TSL 36           </t>
  </si>
  <si>
    <t>014184</t>
  </si>
  <si>
    <t xml:space="preserve">LBL HRN PARA TSL 60           </t>
  </si>
  <si>
    <t>014198</t>
  </si>
  <si>
    <t>OUTER GOANNA ARTHRITIS CRM 100</t>
  </si>
  <si>
    <t>014199</t>
  </si>
  <si>
    <t xml:space="preserve">OUTER GOANNA HEAT CRM 100GX72 </t>
  </si>
  <si>
    <t>014201</t>
  </si>
  <si>
    <t xml:space="preserve">OUTER 432X207X330MM           </t>
  </si>
  <si>
    <t>014205</t>
  </si>
  <si>
    <t>LBL HRN GLUCOSAMINE 1000MG 180</t>
  </si>
  <si>
    <t>014208</t>
  </si>
  <si>
    <t xml:space="preserve">LBL HRN VIT E CAPS 500IU 100  </t>
  </si>
  <si>
    <t>014209</t>
  </si>
  <si>
    <t xml:space="preserve">LBL HRN EPO 1000MG 200        </t>
  </si>
  <si>
    <t>014212</t>
  </si>
  <si>
    <t xml:space="preserve">X CTN CO FEXO TABS 120MG 30   </t>
  </si>
  <si>
    <t>014220</t>
  </si>
  <si>
    <t xml:space="preserve">LBL HRN GINKGO BILOBA 125     </t>
  </si>
  <si>
    <t>014222</t>
  </si>
  <si>
    <t xml:space="preserve">LBL OSTEOEZE ACTIVE 200       </t>
  </si>
  <si>
    <t>014223</t>
  </si>
  <si>
    <t>014224</t>
  </si>
  <si>
    <t xml:space="preserve">X CTN NILSTAT ORAL DROPS 24ML </t>
  </si>
  <si>
    <t>014227</t>
  </si>
  <si>
    <t xml:space="preserve">BTL 500ML AMBER PVC           </t>
  </si>
  <si>
    <t>014228</t>
  </si>
  <si>
    <t xml:space="preserve">LBL GENLAC ORAL LIQUID 500ML  </t>
  </si>
  <si>
    <t>014230</t>
  </si>
  <si>
    <t xml:space="preserve">OUTER 475X316X175MM           </t>
  </si>
  <si>
    <t>014232</t>
  </si>
  <si>
    <t xml:space="preserve">TUBE NYAL COLD SORE CRM 5G    </t>
  </si>
  <si>
    <t>014233</t>
  </si>
  <si>
    <t xml:space="preserve">PALLET 800 X 1200MM EURO      </t>
  </si>
  <si>
    <t>014235</t>
  </si>
  <si>
    <t xml:space="preserve">ACIDOPHILLUS+ CAPSULES BULK   </t>
  </si>
  <si>
    <t>014237</t>
  </si>
  <si>
    <t xml:space="preserve">FOIL DOLASED DAY EXTRA TABS   </t>
  </si>
  <si>
    <t>014239</t>
  </si>
  <si>
    <t xml:space="preserve">FOIL CO FEMAZOLE DUO          </t>
  </si>
  <si>
    <t>014240</t>
  </si>
  <si>
    <t xml:space="preserve">CTN LFSRT CO FEMAZOLE DUO     </t>
  </si>
  <si>
    <t>014241</t>
  </si>
  <si>
    <t xml:space="preserve">OUTER 610x416x261MM           </t>
  </si>
  <si>
    <t>014243</t>
  </si>
  <si>
    <t xml:space="preserve">FOIL URAL SACHETS 4G (PHIL)   </t>
  </si>
  <si>
    <t>014248</t>
  </si>
  <si>
    <t>CTN URAL SACHETS 4G X28 (PHIL)</t>
  </si>
  <si>
    <t>014249</t>
  </si>
  <si>
    <t>014262</t>
  </si>
  <si>
    <t>014264</t>
  </si>
  <si>
    <t xml:space="preserve">FOIL MAYNE ASPIRIN TABS 100MG </t>
  </si>
  <si>
    <t>014270</t>
  </si>
  <si>
    <t xml:space="preserve">LBL GRD VIT C 500MG TAB 200   </t>
  </si>
  <si>
    <t>014271</t>
  </si>
  <si>
    <t xml:space="preserve">LBL GRD VITAMIN C 500MG 400   </t>
  </si>
  <si>
    <t>014272</t>
  </si>
  <si>
    <t xml:space="preserve">LBL GRD FISH OIL 1000MG 400   </t>
  </si>
  <si>
    <t>014273</t>
  </si>
  <si>
    <t xml:space="preserve">LBL WOMEN'S VIT MIN HERB 100  </t>
  </si>
  <si>
    <t>014274</t>
  </si>
  <si>
    <t xml:space="preserve">LBL GRD FISH OIL 1000MG 200   </t>
  </si>
  <si>
    <t>014275</t>
  </si>
  <si>
    <t>LBL GRD GLUCOSAMINE 1000MG 200</t>
  </si>
  <si>
    <t>014276</t>
  </si>
  <si>
    <t xml:space="preserve">LBL GRD GLUC/CHOND 200        </t>
  </si>
  <si>
    <t>014278</t>
  </si>
  <si>
    <t xml:space="preserve">LBL GRD EPO 1000MG 200        </t>
  </si>
  <si>
    <t>014279</t>
  </si>
  <si>
    <t xml:space="preserve">LBL GRD MULTIVITAMINS 200     </t>
  </si>
  <si>
    <t>014288</t>
  </si>
  <si>
    <t>LABEL NEO-MERCAZOLE TAB 5MG100</t>
  </si>
  <si>
    <t>014291</t>
  </si>
  <si>
    <t xml:space="preserve">OUTER URAL SACHETS (PHIL)     </t>
  </si>
  <si>
    <t>014311</t>
  </si>
  <si>
    <t xml:space="preserve">TUBE GOANNA HEAT CREAM 100G   </t>
  </si>
  <si>
    <t>014313</t>
  </si>
  <si>
    <t>TUBE GOANNA ARTHRITIS CRM 100G</t>
  </si>
  <si>
    <t>014314</t>
  </si>
  <si>
    <t xml:space="preserve">CTN GOANNA ARTHRITIS CRM 100G </t>
  </si>
  <si>
    <t>014315</t>
  </si>
  <si>
    <t xml:space="preserve">BTL 40ML WHT HDPE 25 PACK TAB </t>
  </si>
  <si>
    <t>014316</t>
  </si>
  <si>
    <t xml:space="preserve">CAP 28MM YLW PP TE/CR WADDED  </t>
  </si>
  <si>
    <t>014317</t>
  </si>
  <si>
    <t>TRAY PVC ANALGES 25ML BTL 12'S</t>
  </si>
  <si>
    <t>014318</t>
  </si>
  <si>
    <t xml:space="preserve">HYDROCHLORIC ACID 32%         </t>
  </si>
  <si>
    <t>014319</t>
  </si>
  <si>
    <t xml:space="preserve">VERTEX MEMBRANE CLEANER       </t>
  </si>
  <si>
    <t>014320</t>
  </si>
  <si>
    <t xml:space="preserve">WATER SOFTENER (NaCl) 10KG    </t>
  </si>
  <si>
    <t>014321</t>
  </si>
  <si>
    <t xml:space="preserve">FILTER 0.2UM SARTOPORE 2      </t>
  </si>
  <si>
    <t>014323</t>
  </si>
  <si>
    <t xml:space="preserve">X TURBO DESTAINER             </t>
  </si>
  <si>
    <t>014324</t>
  </si>
  <si>
    <t xml:space="preserve">CAUSTIC SODA (NaOH) 8%        </t>
  </si>
  <si>
    <t>014329</t>
  </si>
  <si>
    <t xml:space="preserve">CAP 28MM BLUE PP TE/CR WADDED </t>
  </si>
  <si>
    <t>014330</t>
  </si>
  <si>
    <t xml:space="preserve">CAP 28MM PINK PP TE/CR WADDED </t>
  </si>
  <si>
    <t>014331</t>
  </si>
  <si>
    <t xml:space="preserve">BTL 50ML WHT HDPE 36 PACK TAB </t>
  </si>
  <si>
    <t>014332</t>
  </si>
  <si>
    <t xml:space="preserve">BTL 60ML WHT HDPE 60 PACK TAB </t>
  </si>
  <si>
    <t>014339</t>
  </si>
  <si>
    <t xml:space="preserve">LBLLFLT ARTROX TAB 60 (BTL)   </t>
  </si>
  <si>
    <t>014340</t>
  </si>
  <si>
    <t xml:space="preserve">LBLLFLT ARTROX TABS 180 BTL   </t>
  </si>
  <si>
    <t>014341</t>
  </si>
  <si>
    <t>SCOURER PADS FP-635 WHITE POLI</t>
  </si>
  <si>
    <t>014342</t>
  </si>
  <si>
    <t>CTN/LSRT AMC REHYDRATION FRUIT</t>
  </si>
  <si>
    <t>014344</t>
  </si>
  <si>
    <t xml:space="preserve">CTN CO FEMAZOLE DUO(BLISTER)  </t>
  </si>
  <si>
    <t>014345</t>
  </si>
  <si>
    <t xml:space="preserve">TERBINAFINE TABS 250MG BULK   </t>
  </si>
  <si>
    <t>014346</t>
  </si>
  <si>
    <t xml:space="preserve">FOIL TAMSIL TABS 250MG        </t>
  </si>
  <si>
    <t>014347</t>
  </si>
  <si>
    <t xml:space="preserve">FILM PVC/PVDC 250/60 140MM    </t>
  </si>
  <si>
    <t>014348</t>
  </si>
  <si>
    <t xml:space="preserve">CTN TAMSIL TABS 250MG 42      </t>
  </si>
  <si>
    <t>014350</t>
  </si>
  <si>
    <t xml:space="preserve">OUTER 318X239X175MM           </t>
  </si>
  <si>
    <t>014354</t>
  </si>
  <si>
    <t xml:space="preserve">TUBE HYDRADERM PEARL CRM 50G  </t>
  </si>
  <si>
    <t>014355</t>
  </si>
  <si>
    <t xml:space="preserve">TUBE HYDRADERM PEARL CRM 100G </t>
  </si>
  <si>
    <t>014356</t>
  </si>
  <si>
    <t xml:space="preserve">CTN HYDRADERM PEARL CRM 50G   </t>
  </si>
  <si>
    <t>014358</t>
  </si>
  <si>
    <t xml:space="preserve">CTN HYDRADERM PEARL CRM 100G  </t>
  </si>
  <si>
    <t>014360</t>
  </si>
  <si>
    <t>CTN DEMAZIN PE C&amp;F D&amp;N TABS 24</t>
  </si>
  <si>
    <t>014361</t>
  </si>
  <si>
    <t>CTN DEMAZIN PE C&amp;F D&amp;N TABS 48</t>
  </si>
  <si>
    <t>014362</t>
  </si>
  <si>
    <t>CTN DEMAZIN PE C&amp;F RLF TABS 24</t>
  </si>
  <si>
    <t>014363</t>
  </si>
  <si>
    <t>CTN DEMAZIN PE C&amp;F RLF TABS 48</t>
  </si>
  <si>
    <t>014367</t>
  </si>
  <si>
    <t xml:space="preserve">CTN AMC FEMAZOLE CAPS 150MG 1 </t>
  </si>
  <si>
    <t>014368</t>
  </si>
  <si>
    <t xml:space="preserve">STERILE SAMPLE JARS           </t>
  </si>
  <si>
    <t>014393</t>
  </si>
  <si>
    <t xml:space="preserve">LBL HRN ZINC &amp; CASTOR OIL CRM </t>
  </si>
  <si>
    <t>014414</t>
  </si>
  <si>
    <t xml:space="preserve">TUBING PUMPSIL 913.A064.024   </t>
  </si>
  <si>
    <t>014415</t>
  </si>
  <si>
    <t xml:space="preserve">SCOURER PADS GREEN SC103      </t>
  </si>
  <si>
    <t>014417</t>
  </si>
  <si>
    <t>IND CTN GRDN PARA XTRA PLUS 20</t>
  </si>
  <si>
    <t>014418</t>
  </si>
  <si>
    <t>FOIL PEDIALYTE RASPBERRY 12X6G</t>
  </si>
  <si>
    <t>014420</t>
  </si>
  <si>
    <t xml:space="preserve">OUTER 368X368X245MM           </t>
  </si>
  <si>
    <t>014421</t>
  </si>
  <si>
    <t xml:space="preserve">OUTER 565X290X269MM           </t>
  </si>
  <si>
    <t>014425</t>
  </si>
  <si>
    <t xml:space="preserve">LBL HRN IRON COMPLEX 120      </t>
  </si>
  <si>
    <t>014426</t>
  </si>
  <si>
    <t xml:space="preserve">IND CTN HRN BLUE CAPSEAL 24   </t>
  </si>
  <si>
    <t>014427</t>
  </si>
  <si>
    <t>FOIL URAL SACHETS 4G (MALAYSIA</t>
  </si>
  <si>
    <t>014435</t>
  </si>
  <si>
    <t xml:space="preserve">FOIL DIAZEPAM-GA TABS 5MG     </t>
  </si>
  <si>
    <t>014436</t>
  </si>
  <si>
    <t xml:space="preserve">CTN DIAZEPAM-GA TABS 5MG 50   </t>
  </si>
  <si>
    <t>014439</t>
  </si>
  <si>
    <t xml:space="preserve">HOSE HEL150 ARMORVIN HNA FOOD </t>
  </si>
  <si>
    <t>014443</t>
  </si>
  <si>
    <t xml:space="preserve">FOIL FLOWRAP 185MM 12/12/50   </t>
  </si>
  <si>
    <t>014444</t>
  </si>
  <si>
    <t xml:space="preserve">LFLT ECOTRIN TABS 100MG PERU  </t>
  </si>
  <si>
    <t>014445</t>
  </si>
  <si>
    <t xml:space="preserve">X CTN ECOTRIN TABS 100MG 14   </t>
  </si>
  <si>
    <t>014446</t>
  </si>
  <si>
    <t xml:space="preserve">X CTN ECOTRIN TABS 100MG 28   </t>
  </si>
  <si>
    <t>014447</t>
  </si>
  <si>
    <t xml:space="preserve">X CTN ECOTRIN TABS 100MG 112  </t>
  </si>
  <si>
    <t>014449</t>
  </si>
  <si>
    <t xml:space="preserve">LBL AMC WOMENS MULTI 100      </t>
  </si>
  <si>
    <t>014450</t>
  </si>
  <si>
    <t>PIPETTES 1ML STERILISED DISPOS</t>
  </si>
  <si>
    <t>014451</t>
  </si>
  <si>
    <t>BAG PREDSOL RETENTION ENEMA 10</t>
  </si>
  <si>
    <t>014452</t>
  </si>
  <si>
    <t>CTN PREDSOL RETENTION ENEMA 10</t>
  </si>
  <si>
    <t>014456</t>
  </si>
  <si>
    <t xml:space="preserve">CTN DEMAZIN 6 HR RLF TABS 12  </t>
  </si>
  <si>
    <t>014460</t>
  </si>
  <si>
    <t>OUTER STORE AT 2C-8C (REFRIGER</t>
  </si>
  <si>
    <t>014464</t>
  </si>
  <si>
    <t>FOIL GRD ASPIRIN TAB 100MG 112</t>
  </si>
  <si>
    <t>014465</t>
  </si>
  <si>
    <t>CTN GRD ASPIRIN TABS 100MG 112</t>
  </si>
  <si>
    <t>014466</t>
  </si>
  <si>
    <t xml:space="preserve">LBL HRN IBUPROFEN TABSULE 60  </t>
  </si>
  <si>
    <t>014467</t>
  </si>
  <si>
    <t xml:space="preserve">OUTER 244X168X251MM           </t>
  </si>
  <si>
    <t>014468</t>
  </si>
  <si>
    <t xml:space="preserve">OUTER 244X168X215MM           </t>
  </si>
  <si>
    <t>014503</t>
  </si>
  <si>
    <t xml:space="preserve">LBL VITA-MINIS SPORT MULTI 50 </t>
  </si>
  <si>
    <t>014504</t>
  </si>
  <si>
    <t xml:space="preserve">LABEL NILSTAT ORAL TABS 50    </t>
  </si>
  <si>
    <t>014505</t>
  </si>
  <si>
    <t xml:space="preserve">LABEL NILSTAT ORAL CAPS 50    </t>
  </si>
  <si>
    <t>014516</t>
  </si>
  <si>
    <t xml:space="preserve">LBL SERENACE TABS 0.5MG 100   </t>
  </si>
  <si>
    <t>014518</t>
  </si>
  <si>
    <t xml:space="preserve">LBL SERENACE TABS 1.5MG 100   </t>
  </si>
  <si>
    <t>014519</t>
  </si>
  <si>
    <t xml:space="preserve">LBL SERENACE TABS 5MG 100     </t>
  </si>
  <si>
    <t>014520</t>
  </si>
  <si>
    <t xml:space="preserve">LBL SERENACE LIQUID 100ML     </t>
  </si>
  <si>
    <t>014521</t>
  </si>
  <si>
    <t xml:space="preserve">CTN SERENACE LIQUID 100ML     </t>
  </si>
  <si>
    <t>014523</t>
  </si>
  <si>
    <t xml:space="preserve">FOIL CARTIA TABS 100MG 28 ISR </t>
  </si>
  <si>
    <t>014527</t>
  </si>
  <si>
    <t xml:space="preserve">CTN ARTROX TAB 625MG 60       </t>
  </si>
  <si>
    <t>014536</t>
  </si>
  <si>
    <t xml:space="preserve">TOTE BIN (BLISTERS)           </t>
  </si>
  <si>
    <t>014537</t>
  </si>
  <si>
    <t xml:space="preserve">LBL PEXSIG TABS 100MG 100     </t>
  </si>
  <si>
    <t>014539</t>
  </si>
  <si>
    <t>CAP 28MM WHITE PP TE/CR WADDED</t>
  </si>
  <si>
    <t>014540</t>
  </si>
  <si>
    <t>014544</t>
  </si>
  <si>
    <t xml:space="preserve">LBL HRN FISH OIL 1000MG 60    </t>
  </si>
  <si>
    <t>014545</t>
  </si>
  <si>
    <t xml:space="preserve">CTN HRN SENNETABS 100         </t>
  </si>
  <si>
    <t>014546</t>
  </si>
  <si>
    <t xml:space="preserve">CTN HRN SENNESOFT 100         </t>
  </si>
  <si>
    <t>014548</t>
  </si>
  <si>
    <t xml:space="preserve">X CTN CO COLD-EZE TABS 24     </t>
  </si>
  <si>
    <t>014549</t>
  </si>
  <si>
    <t xml:space="preserve">CTN CO IBUPROFEN TABS 24      </t>
  </si>
  <si>
    <t>014551</t>
  </si>
  <si>
    <t xml:space="preserve">CTN CO IBUPROFEN TABS 48      </t>
  </si>
  <si>
    <t>014552</t>
  </si>
  <si>
    <t xml:space="preserve">CTN HRN BLUE TABS 12          </t>
  </si>
  <si>
    <t>014553</t>
  </si>
  <si>
    <t xml:space="preserve">CTN CO PARA TABS 500MG 24     </t>
  </si>
  <si>
    <t>014554</t>
  </si>
  <si>
    <t xml:space="preserve">CTN CO PARA TABS 96           </t>
  </si>
  <si>
    <t>014560</t>
  </si>
  <si>
    <t xml:space="preserve">LFLT VFLX GLUC INT 625MG      </t>
  </si>
  <si>
    <t>014561</t>
  </si>
  <si>
    <t xml:space="preserve">LFLT ARTROX TABS 625MG        </t>
  </si>
  <si>
    <t>014563</t>
  </si>
  <si>
    <t xml:space="preserve">CTN ANAMORPH TABS 30MG 20     </t>
  </si>
  <si>
    <t>014565</t>
  </si>
  <si>
    <t xml:space="preserve">FOIL FELODIL XR TABS 5MG      </t>
  </si>
  <si>
    <t>014566</t>
  </si>
  <si>
    <t xml:space="preserve">CTN GOANNA HEAT CREAM 100G    </t>
  </si>
  <si>
    <t>014567</t>
  </si>
  <si>
    <t xml:space="preserve">FOIL FELODIL XR TABS 10MG     </t>
  </si>
  <si>
    <t>014570</t>
  </si>
  <si>
    <t xml:space="preserve">CTN HRN PARA TABS 24          </t>
  </si>
  <si>
    <t>014571</t>
  </si>
  <si>
    <t xml:space="preserve">CTN PARACETAMOL TABS 500MG 24 </t>
  </si>
  <si>
    <t>014578</t>
  </si>
  <si>
    <t xml:space="preserve">MARKEM 81 3910060055 BK 55MM  </t>
  </si>
  <si>
    <t>014579</t>
  </si>
  <si>
    <t xml:space="preserve">LBL SERENACE TABS 5MG 50      </t>
  </si>
  <si>
    <t>014580</t>
  </si>
  <si>
    <t xml:space="preserve">FOIL 202MM HRN SENNESOFT      </t>
  </si>
  <si>
    <t>014581</t>
  </si>
  <si>
    <t xml:space="preserve">HAPA CLEANING (199-16-04-019) </t>
  </si>
  <si>
    <t>014582</t>
  </si>
  <si>
    <t>HAPA BLACK INK (199-20-25-001)</t>
  </si>
  <si>
    <t>014583</t>
  </si>
  <si>
    <t xml:space="preserve">FOIL 202MM CO COLD-EZE TABS   </t>
  </si>
  <si>
    <t>014585</t>
  </si>
  <si>
    <t xml:space="preserve">FOIL 202MM CO PARA TABS       </t>
  </si>
  <si>
    <t>014586</t>
  </si>
  <si>
    <t xml:space="preserve">FOIL 202MM HRN SENNETABS      </t>
  </si>
  <si>
    <t>014587</t>
  </si>
  <si>
    <t xml:space="preserve">FOIL 202MM DOLASED TABS       </t>
  </si>
  <si>
    <t>014588</t>
  </si>
  <si>
    <t>FOIL 202MM AMC STRONG PAIN TBL</t>
  </si>
  <si>
    <t>014590</t>
  </si>
  <si>
    <t>FOIL 202MM AMC STRONG PAIN RLF</t>
  </si>
  <si>
    <t>014591</t>
  </si>
  <si>
    <t xml:space="preserve">FOIL 202MM CO PAIN TBSL       </t>
  </si>
  <si>
    <t>014660</t>
  </si>
  <si>
    <t>014661</t>
  </si>
  <si>
    <t>014662</t>
  </si>
  <si>
    <t>014663</t>
  </si>
  <si>
    <t>014665</t>
  </si>
  <si>
    <t>SCOOP 60ML DISPOSABLE 8045A-60</t>
  </si>
  <si>
    <t>014666</t>
  </si>
  <si>
    <t>SCOOP 125ML DISPOSABLE 8045A-1</t>
  </si>
  <si>
    <t>014667</t>
  </si>
  <si>
    <t>SCOOP 500ML DISPOSABLE 8045-50</t>
  </si>
  <si>
    <t>014668</t>
  </si>
  <si>
    <t>SCOOP 2500ML DISPOSABLE 8045A-</t>
  </si>
  <si>
    <t>014669</t>
  </si>
  <si>
    <t xml:space="preserve">LBL AMC FISH OIL 1000MG 200   </t>
  </si>
  <si>
    <t>014670</t>
  </si>
  <si>
    <t>LBL AMC NAT FISH OIL 1000MG 40</t>
  </si>
  <si>
    <t>014677</t>
  </si>
  <si>
    <t xml:space="preserve">CTN SEREPAX TABS 15MG 25      </t>
  </si>
  <si>
    <t>014683</t>
  </si>
  <si>
    <t xml:space="preserve">LBL COLOXYL TABS 120MG 100    </t>
  </si>
  <si>
    <t>014685</t>
  </si>
  <si>
    <t xml:space="preserve">LBL SOFLAX B 8MG 100          </t>
  </si>
  <si>
    <t>014686</t>
  </si>
  <si>
    <t xml:space="preserve">CTN OSTEOEZE 60 IRELAND       </t>
  </si>
  <si>
    <t>014687</t>
  </si>
  <si>
    <t xml:space="preserve">LFLT OSTEOEZE 60 IRELAND      </t>
  </si>
  <si>
    <t>014689</t>
  </si>
  <si>
    <t xml:space="preserve">BETAHISTINE HCL TABS 16MG     </t>
  </si>
  <si>
    <t>014694</t>
  </si>
  <si>
    <t>014696</t>
  </si>
  <si>
    <t xml:space="preserve">FOIL CITALOPRAM TABS 20MG     </t>
  </si>
  <si>
    <t>014701</t>
  </si>
  <si>
    <t xml:space="preserve">LBL UREX FORTE TABS 500MG 50  </t>
  </si>
  <si>
    <t>014702</t>
  </si>
  <si>
    <t xml:space="preserve">LBL UREX-M TABS 20MG 50       </t>
  </si>
  <si>
    <t>014711</t>
  </si>
  <si>
    <t>014712</t>
  </si>
  <si>
    <t>014713</t>
  </si>
  <si>
    <t>014714</t>
  </si>
  <si>
    <t>014715</t>
  </si>
  <si>
    <t>FILM 175MM PVC/PE/PVDC 250/30/</t>
  </si>
  <si>
    <t>014717</t>
  </si>
  <si>
    <t xml:space="preserve">CTN VFLX GLUC TAB 625MG 60 FR </t>
  </si>
  <si>
    <t>014718</t>
  </si>
  <si>
    <t>CTN VFLX GLUC TAB 625MG 180 FR</t>
  </si>
  <si>
    <t>014729</t>
  </si>
  <si>
    <t xml:space="preserve">ISOTRETINOIN CAPS 10MG        </t>
  </si>
  <si>
    <t>014730</t>
  </si>
  <si>
    <t xml:space="preserve">ISOTRETINOIN CAPS 20MG        </t>
  </si>
  <si>
    <t>014756</t>
  </si>
  <si>
    <t xml:space="preserve">FOIL ROCTA CAPS 10MG 60       </t>
  </si>
  <si>
    <t>014757</t>
  </si>
  <si>
    <t xml:space="preserve">FOIL ROCTA CAPS 20MG 60       </t>
  </si>
  <si>
    <t>014758</t>
  </si>
  <si>
    <t xml:space="preserve">FILM 138MM PVC/PE/PVDC OPAQUE </t>
  </si>
  <si>
    <t>014759</t>
  </si>
  <si>
    <t xml:space="preserve">CTN ROCTA CAPS 10MG 60        </t>
  </si>
  <si>
    <t>014760</t>
  </si>
  <si>
    <t xml:space="preserve">CTN ROCTA CAPS 20MG 60        </t>
  </si>
  <si>
    <t>014762</t>
  </si>
  <si>
    <t xml:space="preserve">SHP 420X290X280MM             </t>
  </si>
  <si>
    <t>014766</t>
  </si>
  <si>
    <t xml:space="preserve">CTN RAPATABS 24               </t>
  </si>
  <si>
    <t>014768</t>
  </si>
  <si>
    <t xml:space="preserve">PALLET 1000MM X 1200MM        </t>
  </si>
  <si>
    <t>014771</t>
  </si>
  <si>
    <t>014773</t>
  </si>
  <si>
    <t>014774</t>
  </si>
  <si>
    <t xml:space="preserve">CTN CARTIA TABS 100MG 28 AUST </t>
  </si>
  <si>
    <t>014775</t>
  </si>
  <si>
    <t xml:space="preserve">CTN CARTIA TABS 100MG 84 AUST </t>
  </si>
  <si>
    <t>014776</t>
  </si>
  <si>
    <t>CTN CARTIA TABS 100MG 168 AUST</t>
  </si>
  <si>
    <t>014777</t>
  </si>
  <si>
    <t xml:space="preserve">CTN CARTIA TABS 100MG 7 AUST  </t>
  </si>
  <si>
    <t>014778</t>
  </si>
  <si>
    <t>014780</t>
  </si>
  <si>
    <t>014783</t>
  </si>
  <si>
    <t xml:space="preserve">CTN PENTAVITE CHILD VIT 200ML </t>
  </si>
  <si>
    <t>014784</t>
  </si>
  <si>
    <t xml:space="preserve">CTN PENTAVITE CHILD VIT 100ML </t>
  </si>
  <si>
    <t>014785</t>
  </si>
  <si>
    <t xml:space="preserve">TRAY B2GO 250ML ORIGINAL      </t>
  </si>
  <si>
    <t>014790</t>
  </si>
  <si>
    <t xml:space="preserve">X TRAY B2GO 250ML ORANGE      </t>
  </si>
  <si>
    <t>014801</t>
  </si>
  <si>
    <t xml:space="preserve">SHP PENTA-VITE CHILD 200ML 24 </t>
  </si>
  <si>
    <t>014802</t>
  </si>
  <si>
    <t xml:space="preserve">SHP PENTA-VITE CHILD 100ML 36 </t>
  </si>
  <si>
    <t>014803</t>
  </si>
  <si>
    <t>X SHP PENTA-VITE INFANT 30ML 7</t>
  </si>
  <si>
    <t>014821</t>
  </si>
  <si>
    <t xml:space="preserve">FOIL SENIERE TABS 16MG        </t>
  </si>
  <si>
    <t>014822</t>
  </si>
  <si>
    <t xml:space="preserve">FILM 92MM CLEAR TRIPLEX       </t>
  </si>
  <si>
    <t>014823</t>
  </si>
  <si>
    <t xml:space="preserve">CTN SENIERE TABS 16MG 25      </t>
  </si>
  <si>
    <t>014825</t>
  </si>
  <si>
    <t xml:space="preserve">FOIL RISEDRO TABS 35MG        </t>
  </si>
  <si>
    <t>014826</t>
  </si>
  <si>
    <t xml:space="preserve">FILM 116MM PVC/PVDC 250/60    </t>
  </si>
  <si>
    <t>014827</t>
  </si>
  <si>
    <t xml:space="preserve">CTN RISEDRO TABS 35MG 4       </t>
  </si>
  <si>
    <t>014846</t>
  </si>
  <si>
    <t>LACTULOSE SOLUTION (ABBOTT AUS</t>
  </si>
  <si>
    <t>014848</t>
  </si>
  <si>
    <t>FOIL 157MM CARTIA TAB 100MG 14</t>
  </si>
  <si>
    <t>014849</t>
  </si>
  <si>
    <t>FOIL 157MM CARTIA TAB 100MG 28</t>
  </si>
  <si>
    <t>014857</t>
  </si>
  <si>
    <t xml:space="preserve">CTN CARTIA TABS 100MG 28 ISR  </t>
  </si>
  <si>
    <t>014858</t>
  </si>
  <si>
    <t xml:space="preserve">LFLT CARTIA TABS 100MG 28 ISR </t>
  </si>
  <si>
    <t>014862</t>
  </si>
  <si>
    <t xml:space="preserve">CTN CARTIA TABS 100MG 28 NZ   </t>
  </si>
  <si>
    <t>014863</t>
  </si>
  <si>
    <t xml:space="preserve">CTN CARTIA TABS 100MG 84 NZ   </t>
  </si>
  <si>
    <t>014870</t>
  </si>
  <si>
    <t xml:space="preserve">SHP 434X297X294MM             </t>
  </si>
  <si>
    <t>014871</t>
  </si>
  <si>
    <t>CTN URAL SACHETS 4G (MALAYSIA)</t>
  </si>
  <si>
    <t>014872</t>
  </si>
  <si>
    <t xml:space="preserve">LFLT VFLX MONO OTC SI 60      </t>
  </si>
  <si>
    <t>014873</t>
  </si>
  <si>
    <t xml:space="preserve">BTL 200ML AMBER PVC           </t>
  </si>
  <si>
    <t>014876</t>
  </si>
  <si>
    <t xml:space="preserve">FILM 116MM CLEAR 250/25/90    </t>
  </si>
  <si>
    <t>014878</t>
  </si>
  <si>
    <t xml:space="preserve">LBL DUPHALAC LIQUID 200ML     </t>
  </si>
  <si>
    <t>014884</t>
  </si>
  <si>
    <t>X LBL PENTAVITE CHILD VIT 200M</t>
  </si>
  <si>
    <t>014885</t>
  </si>
  <si>
    <t>X LBL PENTAVITE CHILD VIT 100M</t>
  </si>
  <si>
    <t>014889</t>
  </si>
  <si>
    <t>014890</t>
  </si>
  <si>
    <t>014893</t>
  </si>
  <si>
    <t xml:space="preserve">FOIL 202MM CODALGIN PLUS      </t>
  </si>
  <si>
    <t>014894</t>
  </si>
  <si>
    <t xml:space="preserve">CTN CODALGIN PLUS 20          </t>
  </si>
  <si>
    <t>014899</t>
  </si>
  <si>
    <t xml:space="preserve">CTN MOMEX TABS 10MG 28        </t>
  </si>
  <si>
    <t>014900</t>
  </si>
  <si>
    <t xml:space="preserve">CTN MOMEX TABS 30MG 28        </t>
  </si>
  <si>
    <t>014901</t>
  </si>
  <si>
    <t xml:space="preserve">CTN MOMEX TABS 60MG 28        </t>
  </si>
  <si>
    <t>014902</t>
  </si>
  <si>
    <t xml:space="preserve">CTN MOMEX TABS 100MG 28       </t>
  </si>
  <si>
    <t>014903</t>
  </si>
  <si>
    <t xml:space="preserve">FOIL MOMEX TABS 10MG          </t>
  </si>
  <si>
    <t>014905</t>
  </si>
  <si>
    <t xml:space="preserve">FOIL MOMEX TABS 30MG          </t>
  </si>
  <si>
    <t>014906</t>
  </si>
  <si>
    <t xml:space="preserve">FOIL MOMEX TABS 60MG          </t>
  </si>
  <si>
    <t>014907</t>
  </si>
  <si>
    <t xml:space="preserve">FOIL MOMEX TABS 100MG         </t>
  </si>
  <si>
    <t>014919</t>
  </si>
  <si>
    <t xml:space="preserve">LFLT ROCTA CAPS               </t>
  </si>
  <si>
    <t>014931</t>
  </si>
  <si>
    <t xml:space="preserve">LBL DUPHALAC LIQUID 500ML     </t>
  </si>
  <si>
    <t>014932</t>
  </si>
  <si>
    <t xml:space="preserve">SHRINK-SLEEVE B2GO ORIGINAL   </t>
  </si>
  <si>
    <t>014933</t>
  </si>
  <si>
    <t xml:space="preserve">SHRINK-SLEEVE B2GO ORANGE     </t>
  </si>
  <si>
    <t>014935</t>
  </si>
  <si>
    <t xml:space="preserve">CTN AMC IBUPROFEN CODEINE 30  </t>
  </si>
  <si>
    <t>014936</t>
  </si>
  <si>
    <t xml:space="preserve">CTN GRD IBUPROFEN CODEINE 30  </t>
  </si>
  <si>
    <t>014940</t>
  </si>
  <si>
    <t xml:space="preserve">FOIL SIGMARYL TABLETS 4MG     </t>
  </si>
  <si>
    <t>014941</t>
  </si>
  <si>
    <t xml:space="preserve">CTN SIGMARYL TABLETS 4MG 30   </t>
  </si>
  <si>
    <t>014942</t>
  </si>
  <si>
    <t xml:space="preserve">LFT SIGMARYL TABLETS          </t>
  </si>
  <si>
    <t>014944</t>
  </si>
  <si>
    <t xml:space="preserve">FOIL SIGFORMIN TABLETS 1000MG </t>
  </si>
  <si>
    <t>014945</t>
  </si>
  <si>
    <t xml:space="preserve">CTN SIGFORMIN TABS 1000MG 90  </t>
  </si>
  <si>
    <t>014946</t>
  </si>
  <si>
    <t xml:space="preserve">LFT SIGFORMIN TABLETS 1000MG  </t>
  </si>
  <si>
    <t>014956</t>
  </si>
  <si>
    <t xml:space="preserve">X LFLT VFLX OTC GR 60         </t>
  </si>
  <si>
    <t>014957</t>
  </si>
  <si>
    <t xml:space="preserve">CTN VFLX OTC GR 60            </t>
  </si>
  <si>
    <t>014958</t>
  </si>
  <si>
    <t>FOIL 104MM AMC IBU/CODEINE TAB</t>
  </si>
  <si>
    <t>014959</t>
  </si>
  <si>
    <t>FOIL 104MM GRD IBU/CODEINE TAB</t>
  </si>
  <si>
    <t>014960</t>
  </si>
  <si>
    <t>PVC/PE/PVDC 106MM WHITE OPAQUE</t>
  </si>
  <si>
    <t>014961</t>
  </si>
  <si>
    <t xml:space="preserve">CTN OSTEOEZE PROACTIVE 60     </t>
  </si>
  <si>
    <t>014962</t>
  </si>
  <si>
    <t xml:space="preserve">PRINT MAT D-226-120CM         </t>
  </si>
  <si>
    <t>014964</t>
  </si>
  <si>
    <t xml:space="preserve">CAP 63MM BLUE PLAS            </t>
  </si>
  <si>
    <t>014965</t>
  </si>
  <si>
    <t xml:space="preserve">CAP 38MM ORANGE PLAS          </t>
  </si>
  <si>
    <t>014966</t>
  </si>
  <si>
    <t xml:space="preserve">CAP 38MM RED PLAS             </t>
  </si>
  <si>
    <t>014967</t>
  </si>
  <si>
    <t xml:space="preserve">LBL OSTEOEZE ACTIVE + MSM 120 </t>
  </si>
  <si>
    <t>014968</t>
  </si>
  <si>
    <t xml:space="preserve">LBL OSTEOEZE PROACTIVE 200    </t>
  </si>
  <si>
    <t>014969</t>
  </si>
  <si>
    <t xml:space="preserve">LBL OSTEOEZE BONE &amp; JOINT 120 </t>
  </si>
  <si>
    <t>014970</t>
  </si>
  <si>
    <t xml:space="preserve">LBL OSTEOEZE ACTIVE TABS 120  </t>
  </si>
  <si>
    <t>014978</t>
  </si>
  <si>
    <t xml:space="preserve">FILTER AERVENT CTGR71TP1      </t>
  </si>
  <si>
    <t>014979</t>
  </si>
  <si>
    <t xml:space="preserve">FILTER AERVENT KTGRA10TT1     </t>
  </si>
  <si>
    <t>014981</t>
  </si>
  <si>
    <t xml:space="preserve">FILTER AEREX CTGB71TP3        </t>
  </si>
  <si>
    <t>014983</t>
  </si>
  <si>
    <t xml:space="preserve">LBL ROBINUL 5XML OVERLABEL    </t>
  </si>
  <si>
    <t>014988</t>
  </si>
  <si>
    <t xml:space="preserve">FOIL PHYSEPTONE TABS 10MG     </t>
  </si>
  <si>
    <t>014989</t>
  </si>
  <si>
    <t xml:space="preserve">CTN PHYSEPTONE TABS 10MG 20   </t>
  </si>
  <si>
    <t>014990</t>
  </si>
  <si>
    <t xml:space="preserve">FOIL TEMTABS TABS 10MG        </t>
  </si>
  <si>
    <t>014991</t>
  </si>
  <si>
    <t xml:space="preserve">CTN TEMTABS TABS 10MG 25      </t>
  </si>
  <si>
    <t>014993</t>
  </si>
  <si>
    <t xml:space="preserve">FOIL VFLX MONO OTC SI 60      </t>
  </si>
  <si>
    <t>014994</t>
  </si>
  <si>
    <t xml:space="preserve">CTN VFLX MONO OTC SI 60       </t>
  </si>
  <si>
    <t>015014</t>
  </si>
  <si>
    <t xml:space="preserve">FOIL FLOWRAP 185MM 12/9/40UM  </t>
  </si>
  <si>
    <t>015015</t>
  </si>
  <si>
    <t>FOIL ECOTRIN 100MG X14 (112PK)</t>
  </si>
  <si>
    <t>015016</t>
  </si>
  <si>
    <t xml:space="preserve">LFLT CARTIA TABS 100MG CMI HK </t>
  </si>
  <si>
    <t>015017</t>
  </si>
  <si>
    <t xml:space="preserve">CTN CARTIA TABS 100MG 168 HK  </t>
  </si>
  <si>
    <t>015019</t>
  </si>
  <si>
    <t xml:space="preserve">FOIL GRD PARA EXTRA TBSL 40   </t>
  </si>
  <si>
    <t>015036</t>
  </si>
  <si>
    <t>LBL IRISH MOSS SYRUP 200ML AUS</t>
  </si>
  <si>
    <t>015040</t>
  </si>
  <si>
    <t xml:space="preserve">SHRINKFILM IRISH MOSS NZ      </t>
  </si>
  <si>
    <t>015044</t>
  </si>
  <si>
    <t xml:space="preserve">FOIL 202MM DOLASED TABLETS    </t>
  </si>
  <si>
    <t>015045</t>
  </si>
  <si>
    <t xml:space="preserve">CTN DOLASED TABLETS 20        </t>
  </si>
  <si>
    <t>015046</t>
  </si>
  <si>
    <t xml:space="preserve">FILM 116MM CLEAR PVC/PVDC     </t>
  </si>
  <si>
    <t>015047</t>
  </si>
  <si>
    <t xml:space="preserve">LFLT VFLX GLUC HCL 750MG DE   </t>
  </si>
  <si>
    <t>015048</t>
  </si>
  <si>
    <t xml:space="preserve">CTN VFLX GLUC HCL 750MG 60 DE </t>
  </si>
  <si>
    <t>015052</t>
  </si>
  <si>
    <t xml:space="preserve">FOIL SIGMARYL TABLETS 2MG     </t>
  </si>
  <si>
    <t>015053</t>
  </si>
  <si>
    <t xml:space="preserve">CTN SIGMARYL TABLETS 2MG 30   </t>
  </si>
  <si>
    <t>015054</t>
  </si>
  <si>
    <t xml:space="preserve">BAG GAF NYLON 150UM 7 X 17IN  </t>
  </si>
  <si>
    <t>015056</t>
  </si>
  <si>
    <t xml:space="preserve">LBL SOLONE TABS 5MG 60        </t>
  </si>
  <si>
    <t>015057</t>
  </si>
  <si>
    <t xml:space="preserve">LBL SOLONE TABS 25MG 30       </t>
  </si>
  <si>
    <t>015058</t>
  </si>
  <si>
    <t xml:space="preserve">LBL SONE TABS 5MG 60          </t>
  </si>
  <si>
    <t>015059</t>
  </si>
  <si>
    <t xml:space="preserve">LBL SONE TABS 25MG 30         </t>
  </si>
  <si>
    <t>015060</t>
  </si>
  <si>
    <t xml:space="preserve">BOTTLE 30ML AMBER PET         </t>
  </si>
  <si>
    <t>015061</t>
  </si>
  <si>
    <t xml:space="preserve">LABEL REDIPRED SOLUTION 30ML  </t>
  </si>
  <si>
    <t>015064</t>
  </si>
  <si>
    <t>LBL PENTAVITE INFANTS VIT 30ML</t>
  </si>
  <si>
    <t>015065</t>
  </si>
  <si>
    <t>CTN PENTAVITE INFANTS VIT 30ML</t>
  </si>
  <si>
    <t>015066</t>
  </si>
  <si>
    <t xml:space="preserve">SHP PENTAVITE INFANTS 30ML 72 </t>
  </si>
  <si>
    <t>015067</t>
  </si>
  <si>
    <t xml:space="preserve">FOIL 108MM CO C&amp;F D&amp;N TABS 24 </t>
  </si>
  <si>
    <t>015068</t>
  </si>
  <si>
    <t xml:space="preserve">CTN CO C&amp;F D&amp;N TABS 24        </t>
  </si>
  <si>
    <t>015070</t>
  </si>
  <si>
    <t xml:space="preserve">CTN REDIPRED SOLUTION 30ML    </t>
  </si>
  <si>
    <t>015071</t>
  </si>
  <si>
    <t xml:space="preserve">FOIL 108MM CO C&amp;F TABS 24     </t>
  </si>
  <si>
    <t>015072</t>
  </si>
  <si>
    <t xml:space="preserve">CTN CO C&amp;F TABS 24            </t>
  </si>
  <si>
    <t>015073</t>
  </si>
  <si>
    <t xml:space="preserve">LBL NILSTAT ORAL DROPS 24ML   </t>
  </si>
  <si>
    <t>015074</t>
  </si>
  <si>
    <t xml:space="preserve">CTN NILSTAT ORAL DROPS 24ML   </t>
  </si>
  <si>
    <t>015075</t>
  </si>
  <si>
    <t xml:space="preserve">LABEL PREDMIX SOLUTION 30ML   </t>
  </si>
  <si>
    <t>015090</t>
  </si>
  <si>
    <t xml:space="preserve">CTN GLUFAN 60 SPAIN           </t>
  </si>
  <si>
    <t>015092</t>
  </si>
  <si>
    <t xml:space="preserve">FOIL 165MM ENDONE TABS 5MG    </t>
  </si>
  <si>
    <t>015094</t>
  </si>
  <si>
    <t xml:space="preserve">CTN ENDONE TABS 5MG 20        </t>
  </si>
  <si>
    <t>015095</t>
  </si>
  <si>
    <t>FOIL URAL SACHETS 4G (MIDDLE E</t>
  </si>
  <si>
    <t>015096</t>
  </si>
  <si>
    <t>CTN URAL SACHETS 4G (MIDDLE EA</t>
  </si>
  <si>
    <t>015103</t>
  </si>
  <si>
    <t xml:space="preserve">SHP 444X294X390MM             </t>
  </si>
  <si>
    <t>015104</t>
  </si>
  <si>
    <t xml:space="preserve">CAP 38MM YEL WAD CELL T/T     </t>
  </si>
  <si>
    <t>015105</t>
  </si>
  <si>
    <t xml:space="preserve">CTN VFLX GLUC HCL 750MG 30 DE </t>
  </si>
  <si>
    <t>015123</t>
  </si>
  <si>
    <t xml:space="preserve">FOIL 157MM NORMISON TABS 10MG </t>
  </si>
  <si>
    <t>015124</t>
  </si>
  <si>
    <t xml:space="preserve">CTN NORMISON TABS 10MG 25     </t>
  </si>
  <si>
    <t>015125</t>
  </si>
  <si>
    <t xml:space="preserve">CTN NORMISON TABS 10MG 25 NZ  </t>
  </si>
  <si>
    <t>015126</t>
  </si>
  <si>
    <t>015127</t>
  </si>
  <si>
    <t>015128</t>
  </si>
  <si>
    <t>015129</t>
  </si>
  <si>
    <t>015130</t>
  </si>
  <si>
    <t>015132</t>
  </si>
  <si>
    <t>015133</t>
  </si>
  <si>
    <t>015134</t>
  </si>
  <si>
    <t>015135</t>
  </si>
  <si>
    <t>015136</t>
  </si>
  <si>
    <t>015137</t>
  </si>
  <si>
    <t>015138</t>
  </si>
  <si>
    <t>015139</t>
  </si>
  <si>
    <t>015140</t>
  </si>
  <si>
    <t>015141</t>
  </si>
  <si>
    <t>015142</t>
  </si>
  <si>
    <t>015143</t>
  </si>
  <si>
    <t>015144</t>
  </si>
  <si>
    <t>015175</t>
  </si>
  <si>
    <t>CTN ALPRAZOLAM .25MG 50 SANDOZ</t>
  </si>
  <si>
    <t>015176</t>
  </si>
  <si>
    <t>CTN ALPRAZOLAM 0.5MG 50 SANDOZ</t>
  </si>
  <si>
    <t>015177</t>
  </si>
  <si>
    <t xml:space="preserve">CTN ALPRAZOLAM 1MG 50 SANDOZ  </t>
  </si>
  <si>
    <t>015180</t>
  </si>
  <si>
    <t xml:space="preserve">BTL 10ML WHT POLY             </t>
  </si>
  <si>
    <t>015182</t>
  </si>
  <si>
    <t xml:space="preserve">NOZZLE LDPE                   </t>
  </si>
  <si>
    <t>015183</t>
  </si>
  <si>
    <t xml:space="preserve">CAP WHT POLY T/E              </t>
  </si>
  <si>
    <t>015184</t>
  </si>
  <si>
    <t xml:space="preserve">LBL OTOCOMB OTIC DROPS 7.5ML  </t>
  </si>
  <si>
    <t>015185</t>
  </si>
  <si>
    <t xml:space="preserve">TRAY PVC                      </t>
  </si>
  <si>
    <t>015186</t>
  </si>
  <si>
    <t xml:space="preserve">SHP 303X244X140MM             </t>
  </si>
  <si>
    <t>015187</t>
  </si>
  <si>
    <t xml:space="preserve">LAYER PAD 240X160             </t>
  </si>
  <si>
    <t>015189</t>
  </si>
  <si>
    <t xml:space="preserve">LBL KENACOMB OTIC DROPS 7.5ML </t>
  </si>
  <si>
    <t>015193</t>
  </si>
  <si>
    <t xml:space="preserve">TUBE OTOCOMB OTIC OINTMENT 5G </t>
  </si>
  <si>
    <t>015194</t>
  </si>
  <si>
    <t xml:space="preserve">CTN OTOCOMB OTIC OINTMENT 5G  </t>
  </si>
  <si>
    <t>015195</t>
  </si>
  <si>
    <t xml:space="preserve">SHP 488X298X223MM             </t>
  </si>
  <si>
    <t>015197</t>
  </si>
  <si>
    <t>TUBE KENACOMB OTIC OINTMENT 5G</t>
  </si>
  <si>
    <t>015198</t>
  </si>
  <si>
    <t xml:space="preserve">CTN KENACOMB OTIC OINTMENT 5G </t>
  </si>
  <si>
    <t>015200</t>
  </si>
  <si>
    <t xml:space="preserve">TUBE KENACOMB OINT 15G        </t>
  </si>
  <si>
    <t>015201</t>
  </si>
  <si>
    <t xml:space="preserve">CTN KENACOMB OINT 15G         </t>
  </si>
  <si>
    <t>015204</t>
  </si>
  <si>
    <t xml:space="preserve">TUBE KENACOMB OINT 30G        </t>
  </si>
  <si>
    <t>015205</t>
  </si>
  <si>
    <t xml:space="preserve">CTN KENACOMB OINT 30G         </t>
  </si>
  <si>
    <t>015208</t>
  </si>
  <si>
    <t xml:space="preserve">BTL 100ML AMBER GLASS SIROP   </t>
  </si>
  <si>
    <t>015209</t>
  </si>
  <si>
    <t xml:space="preserve">CAP 28MM METAL ROLL ON        </t>
  </si>
  <si>
    <t>015210</t>
  </si>
  <si>
    <t xml:space="preserve">DROPPER CAP 28MM PLASTIC      </t>
  </si>
  <si>
    <t>015212</t>
  </si>
  <si>
    <t xml:space="preserve">LBL CAPOTEN ORAL SOLN 95ML    </t>
  </si>
  <si>
    <t>015213</t>
  </si>
  <si>
    <t xml:space="preserve">CTN CAPOTEN ORAL SOLN 95ML    </t>
  </si>
  <si>
    <t>015214</t>
  </si>
  <si>
    <t>SHRINK SLEEVE CAPOTEN ORAL SOL</t>
  </si>
  <si>
    <t>015215</t>
  </si>
  <si>
    <t xml:space="preserve">SHP 485X234X173MM             </t>
  </si>
  <si>
    <t>015216</t>
  </si>
  <si>
    <t xml:space="preserve">FOIL 116MM ROXAR TABS 150MG   </t>
  </si>
  <si>
    <t>015217</t>
  </si>
  <si>
    <t xml:space="preserve">FOIL 116MM ROXAR TABS 300MG   </t>
  </si>
  <si>
    <t>015218</t>
  </si>
  <si>
    <t xml:space="preserve">CTN ROXAR TABS 150MG 10       </t>
  </si>
  <si>
    <t>015219</t>
  </si>
  <si>
    <t xml:space="preserve">CTN ROXAR TABS 300MG 5        </t>
  </si>
  <si>
    <t>015242</t>
  </si>
  <si>
    <t xml:space="preserve">TUBE KENALOG IN ORABASE 5G    </t>
  </si>
  <si>
    <t>015243</t>
  </si>
  <si>
    <t xml:space="preserve">CTN KENALOG IN ORABASE 5G     </t>
  </si>
  <si>
    <t>015251</t>
  </si>
  <si>
    <t xml:space="preserve">TUBE MYCOSTATIN CREAM 15G     </t>
  </si>
  <si>
    <t>015252</t>
  </si>
  <si>
    <t xml:space="preserve">CTN MYCOSTATIN CREAM 15G      </t>
  </si>
  <si>
    <t>015271</t>
  </si>
  <si>
    <t>015272</t>
  </si>
  <si>
    <t>015273</t>
  </si>
  <si>
    <t>015275</t>
  </si>
  <si>
    <t>015279</t>
  </si>
  <si>
    <t>015280</t>
  </si>
  <si>
    <t>015281</t>
  </si>
  <si>
    <t>015291</t>
  </si>
  <si>
    <t>BTL HYDRADERM LOTION 300G PUMP</t>
  </si>
  <si>
    <t>015292</t>
  </si>
  <si>
    <t>BTL HYDRADERM LOTION 750G PUMP</t>
  </si>
  <si>
    <t>015297</t>
  </si>
  <si>
    <t>015298</t>
  </si>
  <si>
    <t>015299</t>
  </si>
  <si>
    <t>015300</t>
  </si>
  <si>
    <t>015301</t>
  </si>
  <si>
    <t xml:space="preserve">TUBE ZOLATEN CREAM 5G         </t>
  </si>
  <si>
    <t>015302</t>
  </si>
  <si>
    <t>015304</t>
  </si>
  <si>
    <t xml:space="preserve">TUBE CO COLD SORE CREAM 5G    </t>
  </si>
  <si>
    <t>015305</t>
  </si>
  <si>
    <t>015306</t>
  </si>
  <si>
    <t>015307</t>
  </si>
  <si>
    <t>015308</t>
  </si>
  <si>
    <t>015310</t>
  </si>
  <si>
    <t xml:space="preserve">TUBE BETNOVATE 1/5 CREAM 100G </t>
  </si>
  <si>
    <t>015311</t>
  </si>
  <si>
    <t xml:space="preserve">TUBE CORTIVAL 1/5 CREAM 100G  </t>
  </si>
  <si>
    <t>015312</t>
  </si>
  <si>
    <t xml:space="preserve">TUBE BETNOVATE 1/2 CREAM 15G  </t>
  </si>
  <si>
    <t>015313</t>
  </si>
  <si>
    <t xml:space="preserve">TUBE CORTIVAL 1/2 CREAM 15G   </t>
  </si>
  <si>
    <t>015314</t>
  </si>
  <si>
    <t xml:space="preserve">TUBE BETNOVATE CREAM 30G      </t>
  </si>
  <si>
    <t>015315</t>
  </si>
  <si>
    <t>015316</t>
  </si>
  <si>
    <t>015318</t>
  </si>
  <si>
    <t xml:space="preserve">TUBE BETNOVATE OINTMENT 30G   </t>
  </si>
  <si>
    <t>015319</t>
  </si>
  <si>
    <t>015320</t>
  </si>
  <si>
    <t xml:space="preserve">TUBE CORTIC-DS CREAM 30G      </t>
  </si>
  <si>
    <t>015321</t>
  </si>
  <si>
    <t xml:space="preserve">TUBE CORTIC-DS CREAM 50G      </t>
  </si>
  <si>
    <t>015322</t>
  </si>
  <si>
    <t xml:space="preserve">TUBE SIGMACORT CREAM 50G      </t>
  </si>
  <si>
    <t>015323</t>
  </si>
  <si>
    <t xml:space="preserve">TUBE SIGMACORT CREAM 30G      </t>
  </si>
  <si>
    <t>015324</t>
  </si>
  <si>
    <t xml:space="preserve">TUBE CORTIC-DS OINTMENT 30G   </t>
  </si>
  <si>
    <t>015326</t>
  </si>
  <si>
    <t xml:space="preserve">TUBE CORTIC-DS OINTMENT 50G   </t>
  </si>
  <si>
    <t>015327</t>
  </si>
  <si>
    <t xml:space="preserve">TUBE SIGMACORT OINTMENT 50G   </t>
  </si>
  <si>
    <t>015328</t>
  </si>
  <si>
    <t xml:space="preserve">TUBE SIGMACORT OINTMENT 30G   </t>
  </si>
  <si>
    <t>015331</t>
  </si>
  <si>
    <t>TUBE NILSTAT VAGINAL CREAM 75G</t>
  </si>
  <si>
    <t>015336</t>
  </si>
  <si>
    <t xml:space="preserve">CTN CO COLD SORE CREAM 5G     </t>
  </si>
  <si>
    <t>015345</t>
  </si>
  <si>
    <t xml:space="preserve">CTN CORTIVAL 1/2 CREAM 15G    </t>
  </si>
  <si>
    <t>015346</t>
  </si>
  <si>
    <t xml:space="preserve">CTN BETNOVATE CREAM 30G       </t>
  </si>
  <si>
    <t>015348</t>
  </si>
  <si>
    <t xml:space="preserve">CTN CORTIVAL 1/2 OINTMENT 15G </t>
  </si>
  <si>
    <t>015352</t>
  </si>
  <si>
    <t xml:space="preserve">CTN CORTIC-DS CREAM 30G       </t>
  </si>
  <si>
    <t>015356</t>
  </si>
  <si>
    <t xml:space="preserve">CTN CORTIC-DS OINTMENT 30G    </t>
  </si>
  <si>
    <t>015359</t>
  </si>
  <si>
    <t xml:space="preserve">CTN SIGMACORT OINTMENT 30G    </t>
  </si>
  <si>
    <t>015391</t>
  </si>
  <si>
    <t>LBL AMC CHESTY COUGH FORTE 200</t>
  </si>
  <si>
    <t>015393</t>
  </si>
  <si>
    <t>CTN AMC CHESTY COUGH FORTE 200</t>
  </si>
  <si>
    <t>015395</t>
  </si>
  <si>
    <t xml:space="preserve">LBL PENTAVITE CHILD VIT 200ML </t>
  </si>
  <si>
    <t>015396</t>
  </si>
  <si>
    <t xml:space="preserve">LBL PENTAVITE CHILD VIT 100ML </t>
  </si>
  <si>
    <t>015397</t>
  </si>
  <si>
    <t xml:space="preserve">SRT HRN SENNESOFT TABS 100    </t>
  </si>
  <si>
    <t>015398</t>
  </si>
  <si>
    <t xml:space="preserve">SRT HRN SENNETABS TABS 100    </t>
  </si>
  <si>
    <t>015399</t>
  </si>
  <si>
    <t xml:space="preserve">SRT HRN GOLD PARA TABS 24     </t>
  </si>
  <si>
    <t>015400</t>
  </si>
  <si>
    <t xml:space="preserve">SRT HRN BLUE IBU CAPSEALS 24  </t>
  </si>
  <si>
    <t>015401</t>
  </si>
  <si>
    <t xml:space="preserve">SRT HRN BLUE IBU TABS 12      </t>
  </si>
  <si>
    <t>015402</t>
  </si>
  <si>
    <t xml:space="preserve">SRT HRN BLUE IBU TABS 24      </t>
  </si>
  <si>
    <t>015403</t>
  </si>
  <si>
    <t xml:space="preserve">SRT HRN BLUE IBU TBSL 24      </t>
  </si>
  <si>
    <t>015404</t>
  </si>
  <si>
    <t xml:space="preserve">SHP 486X356X194MM             </t>
  </si>
  <si>
    <t>015406</t>
  </si>
  <si>
    <t xml:space="preserve">SHP 395X274X397MM             </t>
  </si>
  <si>
    <t>015407</t>
  </si>
  <si>
    <t xml:space="preserve">SHP 378X274X225MM             </t>
  </si>
  <si>
    <t>015408</t>
  </si>
  <si>
    <t xml:space="preserve">SRT HRN BLUE IBU              </t>
  </si>
  <si>
    <t>015409</t>
  </si>
  <si>
    <t xml:space="preserve">SRT HRN GOLD PARA TABS        </t>
  </si>
  <si>
    <t>015411</t>
  </si>
  <si>
    <t xml:space="preserve">CAP 33MM WHITE C/R (IND-SEAL) </t>
  </si>
  <si>
    <t>015412</t>
  </si>
  <si>
    <t xml:space="preserve">CAP 38MM WHT PLAS SPIGOT      </t>
  </si>
  <si>
    <t>015415</t>
  </si>
  <si>
    <t>LBL MYCOSTATIN ORAL DROPS 24ML</t>
  </si>
  <si>
    <t>015416</t>
  </si>
  <si>
    <t>CTN MYCOSTATIN ORAL DROPS 24ML</t>
  </si>
  <si>
    <t>015418</t>
  </si>
  <si>
    <t xml:space="preserve">LBL CO PAIN TABS 10/500MG 40  </t>
  </si>
  <si>
    <t>015419</t>
  </si>
  <si>
    <t xml:space="preserve">CTN CO PAIN TABS 10/500MG 40  </t>
  </si>
  <si>
    <t>015420</t>
  </si>
  <si>
    <t xml:space="preserve">X BTL 50ML AMBER GLASS        </t>
  </si>
  <si>
    <t>015422</t>
  </si>
  <si>
    <t xml:space="preserve">X CAP 33MM WHITE              </t>
  </si>
  <si>
    <t>015423</t>
  </si>
  <si>
    <t xml:space="preserve">SHP 298X298X180MM             </t>
  </si>
  <si>
    <t>015424</t>
  </si>
  <si>
    <t>LBL CO CHESTY MUCUS COUGH 200M</t>
  </si>
  <si>
    <t>015425</t>
  </si>
  <si>
    <t>CTN CO CHESTY MUCUS COUGH 200M</t>
  </si>
  <si>
    <t>015426</t>
  </si>
  <si>
    <t>CTN PLAIN VFLX GLUC 625 INT180</t>
  </si>
  <si>
    <t>015435</t>
  </si>
  <si>
    <t xml:space="preserve">LBL FUNGILIN LOZENGES 10MG 20 </t>
  </si>
  <si>
    <t>015443</t>
  </si>
  <si>
    <t xml:space="preserve">SHRINK-SLEEVE B2GO TROPICAL   </t>
  </si>
  <si>
    <t>015454</t>
  </si>
  <si>
    <t xml:space="preserve">FOIL 116MM CODALGIN FORTE C/S </t>
  </si>
  <si>
    <t>015455</t>
  </si>
  <si>
    <t>CTN CODALGIN FORTE C/S TABS 20</t>
  </si>
  <si>
    <t>015457</t>
  </si>
  <si>
    <t xml:space="preserve">ACTIQ ORAL LOZENGES 400MCG 30 </t>
  </si>
  <si>
    <t>015458</t>
  </si>
  <si>
    <t xml:space="preserve">LFLT ACTIQ ORAL LOZENGES      </t>
  </si>
  <si>
    <t>015459</t>
  </si>
  <si>
    <t xml:space="preserve">CTN ACTIQ ORAL LOZ 400MCG 3   </t>
  </si>
  <si>
    <t>015467</t>
  </si>
  <si>
    <t xml:space="preserve">SHP 435X222X150MM             </t>
  </si>
  <si>
    <t>015485</t>
  </si>
  <si>
    <t xml:space="preserve">CTN ACTIQ ORAL LOZ 200MCG 3   </t>
  </si>
  <si>
    <t>015486</t>
  </si>
  <si>
    <t xml:space="preserve">CTN ACTIQ ORAL LOZ 600MCG 3   </t>
  </si>
  <si>
    <t>015487</t>
  </si>
  <si>
    <t xml:space="preserve">CTN ACTIQ ORAL LOZ 800MCG 3   </t>
  </si>
  <si>
    <t>015488</t>
  </si>
  <si>
    <t xml:space="preserve">CTN ACTIQ ORAL LOZ 1200MCG 3  </t>
  </si>
  <si>
    <t>015489</t>
  </si>
  <si>
    <t xml:space="preserve">CTN ACTIQ ORAL LOZ 1600MCG 3  </t>
  </si>
  <si>
    <t>015490</t>
  </si>
  <si>
    <t xml:space="preserve">ACTIQ ORAL LOZENGES 800MCG 30 </t>
  </si>
  <si>
    <t>015491</t>
  </si>
  <si>
    <t xml:space="preserve">ACTIQ ORAL LOZENGES 600MCG 30 </t>
  </si>
  <si>
    <t>015492</t>
  </si>
  <si>
    <t xml:space="preserve">ACTIQ ORAL LOZENGES 200MCG 30 </t>
  </si>
  <si>
    <t>015494</t>
  </si>
  <si>
    <t>ACTIQ ORAL LOZENGES 1200MCG 30</t>
  </si>
  <si>
    <t>015495</t>
  </si>
  <si>
    <t>ACTIQ ORAL LOZENGES 1600MCG 30</t>
  </si>
  <si>
    <t>015500</t>
  </si>
  <si>
    <t xml:space="preserve">FOIL 160MM CARTIA TABS 100MG  </t>
  </si>
  <si>
    <t>015502</t>
  </si>
  <si>
    <t>FOIL 137MM LANOXIN TABS 250MCG</t>
  </si>
  <si>
    <t>015503</t>
  </si>
  <si>
    <t>015504</t>
  </si>
  <si>
    <t>FOIL 137MM SIGMAXIN TABS 250MC</t>
  </si>
  <si>
    <t>015505</t>
  </si>
  <si>
    <t xml:space="preserve">CTN SIGMAXIN TABS 250MCG 100  </t>
  </si>
  <si>
    <t>015512</t>
  </si>
  <si>
    <t>FOIL FLOWRAP 185MM CARTIA AUST</t>
  </si>
  <si>
    <t>015513</t>
  </si>
  <si>
    <t xml:space="preserve">LFLT CARTIA TABS 100MG AUST   </t>
  </si>
  <si>
    <t>015514</t>
  </si>
  <si>
    <t>015515</t>
  </si>
  <si>
    <t>015516</t>
  </si>
  <si>
    <t>015517</t>
  </si>
  <si>
    <t xml:space="preserve">FILTER 0.2UM NITROGEN         </t>
  </si>
  <si>
    <t>015519</t>
  </si>
  <si>
    <t xml:space="preserve">FOIL 135MM VERACAPS 160MG     </t>
  </si>
  <si>
    <t>015520</t>
  </si>
  <si>
    <t xml:space="preserve">CTN VERACAPS 160MG 30         </t>
  </si>
  <si>
    <t>015521</t>
  </si>
  <si>
    <t xml:space="preserve">FOIL 135MM VERACAPS 240MG     </t>
  </si>
  <si>
    <t>015522</t>
  </si>
  <si>
    <t xml:space="preserve">CTN VERACAPS 240MG 30         </t>
  </si>
  <si>
    <t>015523</t>
  </si>
  <si>
    <t xml:space="preserve">FOIL SACHET URAL CRANBERRY 4G </t>
  </si>
  <si>
    <t>015524</t>
  </si>
  <si>
    <t>015526</t>
  </si>
  <si>
    <t xml:space="preserve">FOIL 108MM CO HAYFEVER TABS   </t>
  </si>
  <si>
    <t>015527</t>
  </si>
  <si>
    <t xml:space="preserve">CTN CO HAYFEVER SINUS TABS 24 </t>
  </si>
  <si>
    <t>015529</t>
  </si>
  <si>
    <t xml:space="preserve">COVERAM TABS 5MG/5MG          </t>
  </si>
  <si>
    <t>015530</t>
  </si>
  <si>
    <t xml:space="preserve">COVERAM TABS 5MG/10MG         </t>
  </si>
  <si>
    <t>015531</t>
  </si>
  <si>
    <t xml:space="preserve">COVERAM TABS 10MG/5MG         </t>
  </si>
  <si>
    <t>015532</t>
  </si>
  <si>
    <t xml:space="preserve">COVERAM TABS 10MG/10MG        </t>
  </si>
  <si>
    <t>015533</t>
  </si>
  <si>
    <t xml:space="preserve">COVERSYL TABS 2.5MG           </t>
  </si>
  <si>
    <t>015534</t>
  </si>
  <si>
    <t xml:space="preserve">COVERSYL TABS 5MG             </t>
  </si>
  <si>
    <t>015535</t>
  </si>
  <si>
    <t xml:space="preserve">COVERSYL TABS 10MG            </t>
  </si>
  <si>
    <t>015537</t>
  </si>
  <si>
    <t xml:space="preserve">COVERSYL PLUS TABS            </t>
  </si>
  <si>
    <t>015538</t>
  </si>
  <si>
    <t xml:space="preserve">COVERSYL PLUS LD TABS         </t>
  </si>
  <si>
    <t>015550</t>
  </si>
  <si>
    <t xml:space="preserve">CTN CO C&amp;F D&amp;N PE TABS 24     </t>
  </si>
  <si>
    <t>015551</t>
  </si>
  <si>
    <t xml:space="preserve">CTN CO C&amp;F RLF PE TABS 24     </t>
  </si>
  <si>
    <t>015553</t>
  </si>
  <si>
    <t xml:space="preserve">FOIL 116MM CO C&amp;F D&amp;N PE TABS </t>
  </si>
  <si>
    <t>015554</t>
  </si>
  <si>
    <t>FOIL 116MM CO C&amp;F D&amp;N RLF TABS</t>
  </si>
  <si>
    <t>015555</t>
  </si>
  <si>
    <t xml:space="preserve">BTL 35ML WHITE PLASTIC        </t>
  </si>
  <si>
    <t>015556</t>
  </si>
  <si>
    <t xml:space="preserve">CAP 33MM WHITE CR             </t>
  </si>
  <si>
    <t>015558</t>
  </si>
  <si>
    <t xml:space="preserve">LBL COVERAM TABS 5MG/5MG 30   </t>
  </si>
  <si>
    <t>015559</t>
  </si>
  <si>
    <t xml:space="preserve">SHP 248X202X198MM             </t>
  </si>
  <si>
    <t>015560</t>
  </si>
  <si>
    <t xml:space="preserve">LBL COVERAM TABS 5MG/5MG 10   </t>
  </si>
  <si>
    <t>015562</t>
  </si>
  <si>
    <t xml:space="preserve">LBL COVERAM TABS 5MG/10MG 30  </t>
  </si>
  <si>
    <t>015563</t>
  </si>
  <si>
    <t xml:space="preserve">LBL COVERAM TABS 5MG/10MG 10  </t>
  </si>
  <si>
    <t>015564</t>
  </si>
  <si>
    <t xml:space="preserve">LBL COVERAM TABS 10MG/5MG 30  </t>
  </si>
  <si>
    <t>015565</t>
  </si>
  <si>
    <t xml:space="preserve">LBL COVERAM TABS 10MG/5MG 10  </t>
  </si>
  <si>
    <t>015566</t>
  </si>
  <si>
    <t xml:space="preserve">LBL COVERAM TABS 10MG/10MG 30 </t>
  </si>
  <si>
    <t>015567</t>
  </si>
  <si>
    <t xml:space="preserve">LBL COVERAM TABS 10MG/10MG 10 </t>
  </si>
  <si>
    <t>015568</t>
  </si>
  <si>
    <t xml:space="preserve">LBL COVERSYL TABS 2.5MG 10    </t>
  </si>
  <si>
    <t>015569</t>
  </si>
  <si>
    <t xml:space="preserve">LBL COVERSYL TABS 2.5MG 30    </t>
  </si>
  <si>
    <t>015570</t>
  </si>
  <si>
    <t xml:space="preserve">LBL COVERSYL TABS 5MG 10      </t>
  </si>
  <si>
    <t>015571</t>
  </si>
  <si>
    <t xml:space="preserve">LBL COVERSYL TABS 5MG 30      </t>
  </si>
  <si>
    <t>015572</t>
  </si>
  <si>
    <t xml:space="preserve">LBL COVERSYL TABS 10MG 10     </t>
  </si>
  <si>
    <t>015573</t>
  </si>
  <si>
    <t xml:space="preserve">LBL COVERSYL TABS 10MG 30     </t>
  </si>
  <si>
    <t>015574</t>
  </si>
  <si>
    <t>LBL COVERSYL PLUS TABS 5MG/1.2</t>
  </si>
  <si>
    <t>015575</t>
  </si>
  <si>
    <t>015576</t>
  </si>
  <si>
    <t>LBL COVERSYL PLUS LD TABS 2.5M</t>
  </si>
  <si>
    <t>015577</t>
  </si>
  <si>
    <t>015578</t>
  </si>
  <si>
    <t xml:space="preserve">CAP 33MM RED CR               </t>
  </si>
  <si>
    <t>015582</t>
  </si>
  <si>
    <t>015583</t>
  </si>
  <si>
    <t>015584</t>
  </si>
  <si>
    <t>015585</t>
  </si>
  <si>
    <t>015602</t>
  </si>
  <si>
    <t xml:space="preserve">SIMIPEX TABLETS 0.125MG       </t>
  </si>
  <si>
    <t>015603</t>
  </si>
  <si>
    <t xml:space="preserve">SIMIPEX TABLETS 0.25MG        </t>
  </si>
  <si>
    <t>015604</t>
  </si>
  <si>
    <t xml:space="preserve">SIMIPEX TABLETS 1MG           </t>
  </si>
  <si>
    <t>015610</t>
  </si>
  <si>
    <t>015612</t>
  </si>
  <si>
    <t xml:space="preserve">FOIL 102MM ENDONE TABS 5MG    </t>
  </si>
  <si>
    <t>015613</t>
  </si>
  <si>
    <t xml:space="preserve">FOIL 116MM ATIVAN TABS 1MG    </t>
  </si>
  <si>
    <t>015614</t>
  </si>
  <si>
    <t xml:space="preserve">FOIL 116MM ATIVAN TABS 2.5MG  </t>
  </si>
  <si>
    <t>015615</t>
  </si>
  <si>
    <t xml:space="preserve">CTN ATIVAN TABS 1MG 50        </t>
  </si>
  <si>
    <t>015617</t>
  </si>
  <si>
    <t xml:space="preserve">CTN ATIVAN TABS 2.5MG 50      </t>
  </si>
  <si>
    <t>015618</t>
  </si>
  <si>
    <t>015619</t>
  </si>
  <si>
    <t xml:space="preserve">CTN CO COLD-EZE TABS 24       </t>
  </si>
  <si>
    <t>015620</t>
  </si>
  <si>
    <t xml:space="preserve">FOIL 108MM CO SINUS PAIN TABS </t>
  </si>
  <si>
    <t>015621</t>
  </si>
  <si>
    <t xml:space="preserve">CTN CO SINUS PAIN TABS 24     </t>
  </si>
  <si>
    <t>015625</t>
  </si>
  <si>
    <t xml:space="preserve">FOIL 105MM CO COLD-EZE TABS   </t>
  </si>
  <si>
    <t>015637</t>
  </si>
  <si>
    <t xml:space="preserve">CTN ECOTRIN TABS 100MG 14     </t>
  </si>
  <si>
    <t>015638</t>
  </si>
  <si>
    <t xml:space="preserve">CTN ECOTRIN TABS 100MG 28     </t>
  </si>
  <si>
    <t>015639</t>
  </si>
  <si>
    <t xml:space="preserve">CTN ECOTRIN TABS 100MG 112    </t>
  </si>
  <si>
    <t>015648</t>
  </si>
  <si>
    <t>015649</t>
  </si>
  <si>
    <t>015650</t>
  </si>
  <si>
    <t>015651</t>
  </si>
  <si>
    <t xml:space="preserve">SHP 490X350X370MM             </t>
  </si>
  <si>
    <t>015652</t>
  </si>
  <si>
    <t xml:space="preserve">SHP 490X350X500MM             </t>
  </si>
  <si>
    <t>015670</t>
  </si>
  <si>
    <t xml:space="preserve">FOIL QUESTRAN LITE 4G AUS/NZ  </t>
  </si>
  <si>
    <t>015671</t>
  </si>
  <si>
    <t>CTN QUESTRAN LITE 4G 50 AUS/NZ</t>
  </si>
  <si>
    <t>015672</t>
  </si>
  <si>
    <t xml:space="preserve">SHP 350X334X313MM             </t>
  </si>
  <si>
    <t>015674</t>
  </si>
  <si>
    <t>015676</t>
  </si>
  <si>
    <t>015677</t>
  </si>
  <si>
    <t>FOIL 116MM CO HAYFEVER PE TABS</t>
  </si>
  <si>
    <t>015678</t>
  </si>
  <si>
    <t>CTN CO HFEVER SINUS PE TABS 24</t>
  </si>
  <si>
    <t>015679</t>
  </si>
  <si>
    <t xml:space="preserve">FOIL 108MM CO SINUS RLF TABS  </t>
  </si>
  <si>
    <t>015680</t>
  </si>
  <si>
    <t xml:space="preserve">CTN CO SINUS RELIEF TABS 12   </t>
  </si>
  <si>
    <t>015692</t>
  </si>
  <si>
    <t xml:space="preserve">LBL ALPRAX TAB 2MG 50 BOTTLE  </t>
  </si>
  <si>
    <t>015693</t>
  </si>
  <si>
    <t xml:space="preserve">LFLT VFLX GLUC FR             </t>
  </si>
  <si>
    <t>015698</t>
  </si>
  <si>
    <t xml:space="preserve">SRT PET 200ML X 3             </t>
  </si>
  <si>
    <t>015702</t>
  </si>
  <si>
    <t>015703</t>
  </si>
  <si>
    <t>015705</t>
  </si>
  <si>
    <t xml:space="preserve">TUBE KENACOMB OTIC OINT 5G    </t>
  </si>
  <si>
    <t>015706</t>
  </si>
  <si>
    <t>015707</t>
  </si>
  <si>
    <t>015708</t>
  </si>
  <si>
    <t xml:space="preserve">CTN KENACOMB OTIC OINT 5G     </t>
  </si>
  <si>
    <t>015709</t>
  </si>
  <si>
    <t>015710</t>
  </si>
  <si>
    <t>015734</t>
  </si>
  <si>
    <t>015735</t>
  </si>
  <si>
    <t>015742</t>
  </si>
  <si>
    <t xml:space="preserve">LBL EMETROL SOLUTION 100ML    </t>
  </si>
  <si>
    <t>015748</t>
  </si>
  <si>
    <t xml:space="preserve">FOIL SPREN ASPIRIN TAB 100MG  </t>
  </si>
  <si>
    <t>015749</t>
  </si>
  <si>
    <t xml:space="preserve">CTN SPREN ASPIRIN TABS 100MG  </t>
  </si>
  <si>
    <t>015751</t>
  </si>
  <si>
    <t>BEROCCA ENCAPSULATED TAB TROPI</t>
  </si>
  <si>
    <t>015752</t>
  </si>
  <si>
    <t xml:space="preserve">CAP OUTER SHELL B2GO TROPICAL </t>
  </si>
  <si>
    <t>015754</t>
  </si>
  <si>
    <t xml:space="preserve">BAG LAMINATED 600X990UM       </t>
  </si>
  <si>
    <t>015756</t>
  </si>
  <si>
    <t xml:space="preserve">LBL STELAX TABS 10MG 100 BTL  </t>
  </si>
  <si>
    <t>015757</t>
  </si>
  <si>
    <t xml:space="preserve">LBL STELAX TABS 25MG 100 BTL  </t>
  </si>
  <si>
    <t>015768</t>
  </si>
  <si>
    <t xml:space="preserve">PUMP 27MM NASAL SPRAY TUBE    </t>
  </si>
  <si>
    <t>015769</t>
  </si>
  <si>
    <t xml:space="preserve">SRT PET 18ML X 6              </t>
  </si>
  <si>
    <t>015772</t>
  </si>
  <si>
    <t xml:space="preserve">SHRINKFILM 250MM X 25UM       </t>
  </si>
  <si>
    <t>015773</t>
  </si>
  <si>
    <t>FOIL 131MM HRN GOLD PARA 500MG</t>
  </si>
  <si>
    <t>015774</t>
  </si>
  <si>
    <t xml:space="preserve">BL FILM 138MM CLEAR PVC 200UM </t>
  </si>
  <si>
    <t>015775</t>
  </si>
  <si>
    <t xml:space="preserve">BL FILM 138MM GLOSS PVC 250UM </t>
  </si>
  <si>
    <t>015783</t>
  </si>
  <si>
    <t xml:space="preserve">CTN HRN GOLD PARA TABS 24     </t>
  </si>
  <si>
    <t>015785</t>
  </si>
  <si>
    <t xml:space="preserve">CTN HRN GOLD PARA CAPSEAL 24  </t>
  </si>
  <si>
    <t>015786</t>
  </si>
  <si>
    <t xml:space="preserve">SRT HRN GOLD PARA TBSL 12     </t>
  </si>
  <si>
    <t>015787</t>
  </si>
  <si>
    <t xml:space="preserve">SRT HRN GOLD PARA TBSL 24     </t>
  </si>
  <si>
    <t>015788</t>
  </si>
  <si>
    <t xml:space="preserve">SRT HRN GOLD PARA CAPSEAL 12  </t>
  </si>
  <si>
    <t>015789</t>
  </si>
  <si>
    <t xml:space="preserve">SRT HRN GOLD PARA CAPSEAL 24  </t>
  </si>
  <si>
    <t>015794</t>
  </si>
  <si>
    <t xml:space="preserve">CTN VFLX GLUC 625MG 60 INTER  </t>
  </si>
  <si>
    <t>015799</t>
  </si>
  <si>
    <t xml:space="preserve">CTN LFSRT FEMAZOLE DUO        </t>
  </si>
  <si>
    <t>015804</t>
  </si>
  <si>
    <t xml:space="preserve">FOIL FEMAZOLE DUO             </t>
  </si>
  <si>
    <t>015805</t>
  </si>
  <si>
    <t xml:space="preserve">CTN FEMAZOLE DUO (BLISTER)    </t>
  </si>
  <si>
    <t>015808</t>
  </si>
  <si>
    <t xml:space="preserve">CAP 33MM RED CR+20% GLUE      </t>
  </si>
  <si>
    <t>015809</t>
  </si>
  <si>
    <t xml:space="preserve">CAP 33MM WHITE CR+20% GLUE    </t>
  </si>
  <si>
    <t>015811</t>
  </si>
  <si>
    <t xml:space="preserve">LFLT VFLX OTC GR 60           </t>
  </si>
  <si>
    <t>015832</t>
  </si>
  <si>
    <t>SHRINKFILM IRISH MOSS AUST SRT</t>
  </si>
  <si>
    <t>015836</t>
  </si>
  <si>
    <t xml:space="preserve">SHP IRISH MOSS SYRUP AUST SRT </t>
  </si>
  <si>
    <t>015858</t>
  </si>
  <si>
    <t>SHP CARTIA TABS 100MG 168 AUST</t>
  </si>
  <si>
    <t>015868</t>
  </si>
  <si>
    <t xml:space="preserve">LBL CO CHILD COLD&amp;ALLERGY 100 </t>
  </si>
  <si>
    <t>015869</t>
  </si>
  <si>
    <t xml:space="preserve">CTN CO CHILD COLD&amp;ALLERGY 100 </t>
  </si>
  <si>
    <t>015877</t>
  </si>
  <si>
    <t>015881</t>
  </si>
  <si>
    <t>CTN ECOTRIN TABS 100MG 7 CHILE</t>
  </si>
  <si>
    <t>015882</t>
  </si>
  <si>
    <t>CTN ECOTRIN TABS 100MG 28 CHIL</t>
  </si>
  <si>
    <t>015883</t>
  </si>
  <si>
    <t>CTN ECOTRIN TABS 100MG 56 CHIL</t>
  </si>
  <si>
    <t>015884</t>
  </si>
  <si>
    <t>CTN ECOTRIN TABS 100MG 112 CHI</t>
  </si>
  <si>
    <t>015885</t>
  </si>
  <si>
    <t>FOIL 160MM ECOTRIN 100MG CHILE</t>
  </si>
  <si>
    <t>015887</t>
  </si>
  <si>
    <t xml:space="preserve">LFLT ECOTRIN TABS 100MG CHILE </t>
  </si>
  <si>
    <t>015899</t>
  </si>
  <si>
    <t>CTN MINOMYCIN TABS 50MG 60 AUS</t>
  </si>
  <si>
    <t>015900</t>
  </si>
  <si>
    <t xml:space="preserve">FOIL MINOMYCIN TABS 50MG AUS  </t>
  </si>
  <si>
    <t>015901</t>
  </si>
  <si>
    <t>015902</t>
  </si>
  <si>
    <t xml:space="preserve">CTN STILDEM TABLETS 10MG 7    </t>
  </si>
  <si>
    <t>015904</t>
  </si>
  <si>
    <t xml:space="preserve">LFLT STILDEM TABLETS          </t>
  </si>
  <si>
    <t>015905</t>
  </si>
  <si>
    <t>015909</t>
  </si>
  <si>
    <t>015911</t>
  </si>
  <si>
    <t>015913</t>
  </si>
  <si>
    <t>015914</t>
  </si>
  <si>
    <t>FOIL 160MM ECOTRIN 100MG CHL 7</t>
  </si>
  <si>
    <t>015916</t>
  </si>
  <si>
    <t>FOIL FLOWRAP 185MM ECOTRIN CHI</t>
  </si>
  <si>
    <t>015935</t>
  </si>
  <si>
    <t>015953</t>
  </si>
  <si>
    <t xml:space="preserve">CTN ACTIQ ORAL LOZ 200MCG 9   </t>
  </si>
  <si>
    <t>015954</t>
  </si>
  <si>
    <t xml:space="preserve">CTN ACTIQ ORAL LOZ 400MCG 9   </t>
  </si>
  <si>
    <t>015955</t>
  </si>
  <si>
    <t xml:space="preserve">CTN ACTIQ ORAL LOZ 600MCG 9   </t>
  </si>
  <si>
    <t>015956</t>
  </si>
  <si>
    <t xml:space="preserve">CTN ACTIQ ORAL LOZ 800MCG 9   </t>
  </si>
  <si>
    <t>015957</t>
  </si>
  <si>
    <t xml:space="preserve">CTN ACTIQ ORAL LOZ 1200MCG 9  </t>
  </si>
  <si>
    <t>015958</t>
  </si>
  <si>
    <t xml:space="preserve">CTN ACTIQ ORAL LOZ 1600MCG 9  </t>
  </si>
  <si>
    <t>015971</t>
  </si>
  <si>
    <t xml:space="preserve">SHP 300X230X180MM             </t>
  </si>
  <si>
    <t>015978</t>
  </si>
  <si>
    <t xml:space="preserve">LFLT LANOXIN TABS             </t>
  </si>
  <si>
    <t>015988</t>
  </si>
  <si>
    <t xml:space="preserve">HRN CRANBERRY TABS            </t>
  </si>
  <si>
    <t>015990</t>
  </si>
  <si>
    <t xml:space="preserve">HRN VITAMIN C TABS 500MG      </t>
  </si>
  <si>
    <t>015992</t>
  </si>
  <si>
    <t xml:space="preserve">HRN FISH OIL SOFT CAPS 1000MG </t>
  </si>
  <si>
    <t>015993</t>
  </si>
  <si>
    <t xml:space="preserve">HRN BIO C TABS 100MG          </t>
  </si>
  <si>
    <t>015994</t>
  </si>
  <si>
    <t xml:space="preserve">HRN HAIR SKIN &amp; NAILS TABS    </t>
  </si>
  <si>
    <t>015995</t>
  </si>
  <si>
    <t xml:space="preserve">HRN IRON COMPLEX TABS         </t>
  </si>
  <si>
    <t>015996</t>
  </si>
  <si>
    <t xml:space="preserve">HRN HORSERADISH &amp; GARLIC TABS </t>
  </si>
  <si>
    <t>015997</t>
  </si>
  <si>
    <t xml:space="preserve">HRN OSTEOEZE PROACTIVE TABS   </t>
  </si>
  <si>
    <t>015998</t>
  </si>
  <si>
    <t>HRN OSTEOEZE BONE &amp; JOINT TABS</t>
  </si>
  <si>
    <t>015999</t>
  </si>
  <si>
    <t xml:space="preserve">HRN CO-Q10 CAPS 75MG          </t>
  </si>
  <si>
    <t>016000</t>
  </si>
  <si>
    <t xml:space="preserve">HRN ECHINACEA TABS 5000MG     </t>
  </si>
  <si>
    <t>016001</t>
  </si>
  <si>
    <t xml:space="preserve">HRN GARLIC TABS 3000MG        </t>
  </si>
  <si>
    <t>016003</t>
  </si>
  <si>
    <t xml:space="preserve">HRN GINKGO BILOBA TABS 2000MG </t>
  </si>
  <si>
    <t>016004</t>
  </si>
  <si>
    <t xml:space="preserve">HRN BRAHMI &amp; GINKGO TABS      </t>
  </si>
  <si>
    <t>016005</t>
  </si>
  <si>
    <t xml:space="preserve">HRN LIVER DETOX TABS          </t>
  </si>
  <si>
    <t>016007</t>
  </si>
  <si>
    <t xml:space="preserve">HRN PROSTATE HEALTH TABS      </t>
  </si>
  <si>
    <t>016008</t>
  </si>
  <si>
    <t xml:space="preserve">HRN CALCIUM PLUS TABS         </t>
  </si>
  <si>
    <t>016009</t>
  </si>
  <si>
    <t xml:space="preserve">HRN MEGA B TABS               </t>
  </si>
  <si>
    <t>016010</t>
  </si>
  <si>
    <t xml:space="preserve">LBL INNER CARTIA 100MG 168    </t>
  </si>
  <si>
    <t>016011</t>
  </si>
  <si>
    <t>SEAL 50X187MM (TAMPER EVIDENT)</t>
  </si>
  <si>
    <t>016012</t>
  </si>
  <si>
    <t xml:space="preserve">SHP 325X250X182MM             </t>
  </si>
  <si>
    <t>016031</t>
  </si>
  <si>
    <t xml:space="preserve">STRETCHBAND WRAP 60MM         </t>
  </si>
  <si>
    <t>016075</t>
  </si>
  <si>
    <t xml:space="preserve">SHP SUDAFED NASAL SPRAY 18ML  </t>
  </si>
  <si>
    <t>016076</t>
  </si>
  <si>
    <t>SHP SUDAFED NASAL SPRAY REFILL</t>
  </si>
  <si>
    <t>018497</t>
  </si>
  <si>
    <t xml:space="preserve">BOTTLE 115ML ROUND HDPE WHITE </t>
  </si>
  <si>
    <t>019093</t>
  </si>
  <si>
    <t xml:space="preserve">LACTULOSE SUSPENSION BULK     </t>
  </si>
  <si>
    <t>023165</t>
  </si>
  <si>
    <t>LABEL UREX FORTE TABS 500MG 50</t>
  </si>
  <si>
    <t>099602</t>
  </si>
  <si>
    <t xml:space="preserve">PURIFIED WATER BP (PART A)    </t>
  </si>
  <si>
    <t>099611</t>
  </si>
  <si>
    <t xml:space="preserve">PURIFIED WATER BP (PART B)    </t>
  </si>
  <si>
    <t>099629</t>
  </si>
  <si>
    <t xml:space="preserve">PURIFIED WATER BP (PART C)    </t>
  </si>
  <si>
    <t>099637</t>
  </si>
  <si>
    <t xml:space="preserve">PURIFIED WATER BP (PART D)    </t>
  </si>
  <si>
    <t>099645</t>
  </si>
  <si>
    <t xml:space="preserve">PURIFIED WATER BP (PART E)    </t>
  </si>
  <si>
    <t>099653</t>
  </si>
  <si>
    <t xml:space="preserve">PURIFIED WATER BP (PART F)    </t>
  </si>
  <si>
    <t>099961</t>
  </si>
  <si>
    <t xml:space="preserve">PURIFIED WATER BP TO          </t>
  </si>
  <si>
    <t>101637</t>
  </si>
  <si>
    <t>BAG 175MM X 300MM (50UM) POLYE</t>
  </si>
  <si>
    <t>105005</t>
  </si>
  <si>
    <t xml:space="preserve">FILM 138MM (PVC CLEAR)        </t>
  </si>
  <si>
    <t>120153AM</t>
  </si>
  <si>
    <t xml:space="preserve">PRINT MAT                     </t>
  </si>
  <si>
    <t>143976</t>
  </si>
  <si>
    <t xml:space="preserve">LABEL 143976 EXPORT           </t>
  </si>
  <si>
    <t>147723</t>
  </si>
  <si>
    <t xml:space="preserve">LABEL 147723 SENAGAR 200ML    </t>
  </si>
  <si>
    <t>161111</t>
  </si>
  <si>
    <t xml:space="preserve">OUTER 69                      </t>
  </si>
  <si>
    <t>161509</t>
  </si>
  <si>
    <t xml:space="preserve">OUTER 93                      </t>
  </si>
  <si>
    <t>161832</t>
  </si>
  <si>
    <t xml:space="preserve">OUTER 122                     </t>
  </si>
  <si>
    <t>162026</t>
  </si>
  <si>
    <t xml:space="preserve">OUTER 162026                  </t>
  </si>
  <si>
    <t>162069</t>
  </si>
  <si>
    <t xml:space="preserve">OUTER 146                     </t>
  </si>
  <si>
    <t>162085</t>
  </si>
  <si>
    <t xml:space="preserve">OUTER 147                     </t>
  </si>
  <si>
    <t>165180</t>
  </si>
  <si>
    <t xml:space="preserve">OUTER 165180                  </t>
  </si>
  <si>
    <t>166001</t>
  </si>
  <si>
    <t>OUTER 166001 PREDSOL RETENTION</t>
  </si>
  <si>
    <t>166191</t>
  </si>
  <si>
    <t xml:space="preserve">OUTER 118 GASTROGEL 20X500ML  </t>
  </si>
  <si>
    <t>166351</t>
  </si>
  <si>
    <t xml:space="preserve">OUTER 166351                  </t>
  </si>
  <si>
    <t>166502</t>
  </si>
  <si>
    <t xml:space="preserve">OUTER 166502                  </t>
  </si>
  <si>
    <t>173112</t>
  </si>
  <si>
    <t>OUTER 173112 (394 X 250 X 200M</t>
  </si>
  <si>
    <t>173155</t>
  </si>
  <si>
    <t>OUTER 173155 (413 X 329 X 175M</t>
  </si>
  <si>
    <t>173438</t>
  </si>
  <si>
    <t xml:space="preserve">OUTER 173438 (341 X 269 X 168 </t>
  </si>
  <si>
    <t>173569</t>
  </si>
  <si>
    <t>OUTER 173569 (470 X 235 X 160M</t>
  </si>
  <si>
    <t>173681</t>
  </si>
  <si>
    <t>OUTER 173681 (580 X 285 X 275M</t>
  </si>
  <si>
    <t>173761</t>
  </si>
  <si>
    <t xml:space="preserve">OUTER 173761 (386MM X 242MM X </t>
  </si>
  <si>
    <t>205348</t>
  </si>
  <si>
    <t xml:space="preserve">BOTTLE 50ML ROUND AMBER GLASS </t>
  </si>
  <si>
    <t>205356</t>
  </si>
  <si>
    <t xml:space="preserve">BOTTLE 30ML ROUND AMBER GLASS </t>
  </si>
  <si>
    <t>205428</t>
  </si>
  <si>
    <t xml:space="preserve">BOTTLE 75ML ROUND AMBER GLASS </t>
  </si>
  <si>
    <t>205461</t>
  </si>
  <si>
    <t>BOTTLE 115ML ROUND AMBER GLASS</t>
  </si>
  <si>
    <t>210729</t>
  </si>
  <si>
    <t>210841</t>
  </si>
  <si>
    <t xml:space="preserve">JAR 120G ROUND CLEAR GLASS    </t>
  </si>
  <si>
    <t>210999</t>
  </si>
  <si>
    <t xml:space="preserve">JAR 170ML AMBER ROUND GLASS   </t>
  </si>
  <si>
    <t>211043</t>
  </si>
  <si>
    <t>BOTTLE 200ML ROUND AMBER GLASS</t>
  </si>
  <si>
    <t>214181</t>
  </si>
  <si>
    <t>BOTTLE 214181 MYCODERM ANTIFUN</t>
  </si>
  <si>
    <t>214826</t>
  </si>
  <si>
    <t>221807</t>
  </si>
  <si>
    <t xml:space="preserve">CAP 63MM WHITE PLASTIC        </t>
  </si>
  <si>
    <t>222973</t>
  </si>
  <si>
    <t>CAP 28MM WHITE PLASTIC(WADDED)</t>
  </si>
  <si>
    <t>223079</t>
  </si>
  <si>
    <t>CAP NATURAL PLASTIC (SO1639 PR</t>
  </si>
  <si>
    <t>223634</t>
  </si>
  <si>
    <t xml:space="preserve">CAP 38MM WHITE PLASTIC (CHILD </t>
  </si>
  <si>
    <t>223677</t>
  </si>
  <si>
    <t xml:space="preserve">CAP 33MM WHITE PLASTIC (CHILD </t>
  </si>
  <si>
    <t>231221</t>
  </si>
  <si>
    <t>CAP 83MM WHITE PLASTIC (WADDED</t>
  </si>
  <si>
    <t>266204</t>
  </si>
  <si>
    <t>FILM 315MM POLYTHENE (HEAT SHR</t>
  </si>
  <si>
    <t>266212</t>
  </si>
  <si>
    <t>FILM 365MM POLYTHENE (HEAT SHR</t>
  </si>
  <si>
    <t>266221</t>
  </si>
  <si>
    <t>FILM 250MM POLYTHENE (HEAT SHR</t>
  </si>
  <si>
    <t>270094</t>
  </si>
  <si>
    <t>DISPENSER PUMP 24MM 160MM TUBE</t>
  </si>
  <si>
    <t>270262</t>
  </si>
  <si>
    <t>DISPENSER PUMP 24MM 200MM TUBE</t>
  </si>
  <si>
    <t>270668</t>
  </si>
  <si>
    <t>FILM 380MM X 50UM POLYTHENE (H</t>
  </si>
  <si>
    <t>270676</t>
  </si>
  <si>
    <t>FILM 230MM X 38UM POLYTHENE (H</t>
  </si>
  <si>
    <t>270684</t>
  </si>
  <si>
    <t>FILM 200MM X 38UM POLYTHENE (H</t>
  </si>
  <si>
    <t>270692</t>
  </si>
  <si>
    <t>FILM 255MM X 38UM POLYTHENE (H</t>
  </si>
  <si>
    <t>270705</t>
  </si>
  <si>
    <t>FILM 300MM X 50UM POLYTHENE (H</t>
  </si>
  <si>
    <t>270799</t>
  </si>
  <si>
    <t>FILM 330MM X 38UM POLYTHENE (H</t>
  </si>
  <si>
    <t>270879</t>
  </si>
  <si>
    <t>FILM 160MM X 38UM POLYTHENE (H</t>
  </si>
  <si>
    <t>270967</t>
  </si>
  <si>
    <t>FILM 280MM X 38UM POLYTHENE (H</t>
  </si>
  <si>
    <t>270983</t>
  </si>
  <si>
    <t>FILM 365MM X 38UM POLYTHENE (H</t>
  </si>
  <si>
    <t>590212</t>
  </si>
  <si>
    <t>FOIL AVOMINE TABS 25MG 201MM X</t>
  </si>
  <si>
    <t>610060</t>
  </si>
  <si>
    <t xml:space="preserve">SHP URAL SACHET 4GM X 28      </t>
  </si>
  <si>
    <t>610111</t>
  </si>
  <si>
    <t xml:space="preserve">MEASURE PLN 200ML REHYDRATION </t>
  </si>
  <si>
    <t>610171</t>
  </si>
  <si>
    <t>SILICA GEL SACHET 250GM IKOREL</t>
  </si>
  <si>
    <t>625431</t>
  </si>
  <si>
    <t xml:space="preserve">LBL CORTATE TABS 25MG X 60    </t>
  </si>
  <si>
    <t>625582</t>
  </si>
  <si>
    <t>LFT PRIMALAN TABS 5MG (TAIWAN)</t>
  </si>
  <si>
    <t>626321</t>
  </si>
  <si>
    <t xml:space="preserve">LBL COLOXYL &amp; SENNA F/C X90   </t>
  </si>
  <si>
    <t>626341</t>
  </si>
  <si>
    <t>LBL EUHYPNOS CAPS 10MG X 25 (P</t>
  </si>
  <si>
    <t>626431</t>
  </si>
  <si>
    <t xml:space="preserve">LBL COLOXYL &amp; SENNA X30       </t>
  </si>
  <si>
    <t>626491</t>
  </si>
  <si>
    <t xml:space="preserve">LBL KOSTEO CAPS X 100         </t>
  </si>
  <si>
    <t>626501</t>
  </si>
  <si>
    <t xml:space="preserve">LBL EUHYPNOS CAPS 20MG X 25   </t>
  </si>
  <si>
    <t>711181</t>
  </si>
  <si>
    <t xml:space="preserve">CTN CITRALITE X 28 INNER      </t>
  </si>
  <si>
    <t>711381</t>
  </si>
  <si>
    <t>CTN PRIMALAN TABS 5MGX100 TAIW</t>
  </si>
  <si>
    <t>711671</t>
  </si>
  <si>
    <t xml:space="preserve">CTN IKOREL TABS 10MG X 60     </t>
  </si>
  <si>
    <t>712051</t>
  </si>
  <si>
    <t xml:space="preserve">CTN BONEFOS TABS 800MG X 10   </t>
  </si>
  <si>
    <t>712061</t>
  </si>
  <si>
    <t xml:space="preserve">CTN AVOMINE TABS 25MGX10      </t>
  </si>
  <si>
    <t>712071</t>
  </si>
  <si>
    <t xml:space="preserve">CTN AVOMINE TABS 25MGX30      </t>
  </si>
  <si>
    <t>712191</t>
  </si>
  <si>
    <t>X CTN GLUCOPHAGE TABS 500MG 10</t>
  </si>
  <si>
    <t>730052</t>
  </si>
  <si>
    <t>SHP BTL PL 35ML X 20  PLN (COD</t>
  </si>
  <si>
    <t>730151</t>
  </si>
  <si>
    <t xml:space="preserve">SHP BTL PL 200ML  X 40        </t>
  </si>
  <si>
    <t>730231</t>
  </si>
  <si>
    <t xml:space="preserve">SHP FOR 5X20X38MM             </t>
  </si>
  <si>
    <t>730241</t>
  </si>
  <si>
    <t xml:space="preserve">SHP VIALS                     </t>
  </si>
  <si>
    <t xml:space="preserve">SHP 410X270X165MM             </t>
  </si>
  <si>
    <t>SHP 5X20X31MM B/P CTNS 420X270</t>
  </si>
  <si>
    <t xml:space="preserve">SHP FOR 10 X 20 X 38MM        </t>
  </si>
  <si>
    <t xml:space="preserve">SHP 463X313X301MM             </t>
  </si>
  <si>
    <t>730421</t>
  </si>
  <si>
    <t xml:space="preserve">SHP CITRALITE/VESCENT X 100   </t>
  </si>
  <si>
    <t>730431</t>
  </si>
  <si>
    <t>SHP GASTROLYTE SACHET/TAB X100</t>
  </si>
  <si>
    <t>730461</t>
  </si>
  <si>
    <t xml:space="preserve">SHP PRIMALAN TABS X 14 X 50   </t>
  </si>
  <si>
    <t>730471</t>
  </si>
  <si>
    <t xml:space="preserve">SHP PRIMALAN TABS X 6 X 240   </t>
  </si>
  <si>
    <t>730491</t>
  </si>
  <si>
    <t>SHP IKOREL TABS 20'S/60'S X 20</t>
  </si>
  <si>
    <t>730551</t>
  </si>
  <si>
    <t xml:space="preserve">SHP BTL PL 35ML X 100 PLN     </t>
  </si>
  <si>
    <t>730571</t>
  </si>
  <si>
    <t xml:space="preserve">SHP 320X265X200MM             </t>
  </si>
  <si>
    <t>730581</t>
  </si>
  <si>
    <t>X SHP CARDIZEM CD 360MGX30 X20</t>
  </si>
  <si>
    <t>730601</t>
  </si>
  <si>
    <t xml:space="preserve">SHP EUHYPNOS CAPS 341X269X168 </t>
  </si>
  <si>
    <t>740011</t>
  </si>
  <si>
    <t>BTL GL AMBER 75ML X 38MM T/TEL</t>
  </si>
  <si>
    <t>750011</t>
  </si>
  <si>
    <t xml:space="preserve">CAP PL WHITE 38MM RING SEAL   </t>
  </si>
  <si>
    <t>750131</t>
  </si>
  <si>
    <t>CAP PL WHITE 38MM R/SEAL T/TEL</t>
  </si>
  <si>
    <t>750171</t>
  </si>
  <si>
    <t>CAP PL WHITE 33MM T/TEL WADDED</t>
  </si>
  <si>
    <t>750181</t>
  </si>
  <si>
    <t>CAP PL WHITE 28MM T/TEL (ANNUL</t>
  </si>
  <si>
    <t>750231</t>
  </si>
  <si>
    <t>755005</t>
  </si>
  <si>
    <t xml:space="preserve">CAP PL WHITE 28MM R/SEAL      </t>
  </si>
  <si>
    <t>770111</t>
  </si>
  <si>
    <t>BTL PL PLN RND 55MLX33MM T/TEL</t>
  </si>
  <si>
    <t>770131</t>
  </si>
  <si>
    <t xml:space="preserve">BTL PL WHITE RND 35ML T/TEL   </t>
  </si>
  <si>
    <t>770151</t>
  </si>
  <si>
    <t>BTL PL WHITE RND 20ML X 28MM (</t>
  </si>
  <si>
    <t>770161</t>
  </si>
  <si>
    <t xml:space="preserve">BTL PL WHITE RND 20ML T/TEL   </t>
  </si>
  <si>
    <t>A01010</t>
  </si>
  <si>
    <t>X BTL-GLS AMB RND 75ML/38MMT/T</t>
  </si>
  <si>
    <t>A03032</t>
  </si>
  <si>
    <t xml:space="preserve">BTL PLAS WHT RND 90ML/38MM    </t>
  </si>
  <si>
    <t>A03035</t>
  </si>
  <si>
    <t xml:space="preserve">BTL PLAS WHT RND 120ML/38MM   </t>
  </si>
  <si>
    <t>A03043</t>
  </si>
  <si>
    <t xml:space="preserve">BTL PLAS WHT RND 250ML/38MM   </t>
  </si>
  <si>
    <t>A03053</t>
  </si>
  <si>
    <t xml:space="preserve">BTL-PLAS WHT 35ML 28MM T/T    </t>
  </si>
  <si>
    <t>A04010</t>
  </si>
  <si>
    <t xml:space="preserve">JAR HDPE WHT 250ML/63MM T/T   </t>
  </si>
  <si>
    <t>A04011</t>
  </si>
  <si>
    <t xml:space="preserve">X JAR HDPE WHT 200ML/63MM T/T </t>
  </si>
  <si>
    <t>B02021</t>
  </si>
  <si>
    <t xml:space="preserve">CAP PLAS 63MM WHT CEL WAD     </t>
  </si>
  <si>
    <t>B02022</t>
  </si>
  <si>
    <t xml:space="preserve">CAP PLAS 83MM WHT CEL WAD     </t>
  </si>
  <si>
    <t>B02049</t>
  </si>
  <si>
    <t>X CAP WHT CEL WAD 38MM T/T EMB</t>
  </si>
  <si>
    <t>B02050</t>
  </si>
  <si>
    <t xml:space="preserve">CAP YEL CEL WAD 38MM T/T      </t>
  </si>
  <si>
    <t>B02071</t>
  </si>
  <si>
    <t xml:space="preserve">CAP-PLAS BLU 28MM T/T CRC     </t>
  </si>
  <si>
    <t>B02072</t>
  </si>
  <si>
    <t xml:space="preserve">CAP-PLAS WHT 28MM T/T CRC WAD </t>
  </si>
  <si>
    <t>B09005</t>
  </si>
  <si>
    <t xml:space="preserve">CAP-PLAS WHT 38MM CRC (ACI)   </t>
  </si>
  <si>
    <t>C001</t>
  </si>
  <si>
    <t xml:space="preserve">ALUMINIUM TRAYS 80'S          </t>
  </si>
  <si>
    <t>C002</t>
  </si>
  <si>
    <t xml:space="preserve">CABLE TIES BLACK 150MM        </t>
  </si>
  <si>
    <t>C004</t>
  </si>
  <si>
    <t xml:space="preserve">CABLE TIES BLACK 280MM        </t>
  </si>
  <si>
    <t>C005</t>
  </si>
  <si>
    <t xml:space="preserve">CABLE TIES YELLOW 200MM       </t>
  </si>
  <si>
    <t>C009</t>
  </si>
  <si>
    <t xml:space="preserve">CALCULATOR THERMAL PAPER 57MM </t>
  </si>
  <si>
    <t>C011</t>
  </si>
  <si>
    <t xml:space="preserve">CALCULATOR PAPER 76MM         </t>
  </si>
  <si>
    <t>C013</t>
  </si>
  <si>
    <t xml:space="preserve">CARDS AREA STATUS (CLEANING   </t>
  </si>
  <si>
    <t>C015</t>
  </si>
  <si>
    <t xml:space="preserve">DUST MASK MOULDEX             </t>
  </si>
  <si>
    <t>C017</t>
  </si>
  <si>
    <t xml:space="preserve">EAR PLUGS (XTREME)            </t>
  </si>
  <si>
    <t>C018</t>
  </si>
  <si>
    <t xml:space="preserve">FILTER DUST 2 PK FP251        </t>
  </si>
  <si>
    <t>C019</t>
  </si>
  <si>
    <t xml:space="preserve">FILTER DUST 3M 2125           </t>
  </si>
  <si>
    <t>C020</t>
  </si>
  <si>
    <t xml:space="preserve">FILTER VAPOUR 2 PK            </t>
  </si>
  <si>
    <t>C024</t>
  </si>
  <si>
    <t xml:space="preserve">FILTER DUST/VAPOUR TF200      </t>
  </si>
  <si>
    <t>C028</t>
  </si>
  <si>
    <t xml:space="preserve">INK MICROJET                  </t>
  </si>
  <si>
    <t>C029</t>
  </si>
  <si>
    <t xml:space="preserve">PRINT RIBBON BLACK 30MM       </t>
  </si>
  <si>
    <t>C030</t>
  </si>
  <si>
    <t xml:space="preserve">PRINT RIBBON BLACK 55MM       </t>
  </si>
  <si>
    <t>C031</t>
  </si>
  <si>
    <t xml:space="preserve">PRINT FOIL 38MM               </t>
  </si>
  <si>
    <t>C032</t>
  </si>
  <si>
    <t xml:space="preserve">SHOE COVERS (NON SKID)        </t>
  </si>
  <si>
    <t>C033</t>
  </si>
  <si>
    <t xml:space="preserve">TAPE M/C 48MM X 1000M         </t>
  </si>
  <si>
    <t>C035</t>
  </si>
  <si>
    <t xml:space="preserve">TAPE PACKING 48MM X 75MM      </t>
  </si>
  <si>
    <t>C036</t>
  </si>
  <si>
    <t xml:space="preserve">TAPE SECURAFLEX 48MM TCPRD48  </t>
  </si>
  <si>
    <t>C037</t>
  </si>
  <si>
    <t xml:space="preserve">TAPE SPLICING RED             </t>
  </si>
  <si>
    <t>C038</t>
  </si>
  <si>
    <t xml:space="preserve">THERMAL TRANS RIBBON ZEBRA    </t>
  </si>
  <si>
    <t>C039</t>
  </si>
  <si>
    <t xml:space="preserve">VACUUM CLEANER BAGS           </t>
  </si>
  <si>
    <t>C040</t>
  </si>
  <si>
    <t xml:space="preserve">SHRINKFILM 190MM              </t>
  </si>
  <si>
    <t>C041</t>
  </si>
  <si>
    <t xml:space="preserve">SHRINKFILM 215MM              </t>
  </si>
  <si>
    <t>C042</t>
  </si>
  <si>
    <t xml:space="preserve">SHRINKFILM 230MM              </t>
  </si>
  <si>
    <t>C043</t>
  </si>
  <si>
    <t xml:space="preserve">SHRINKFILM 250MM              </t>
  </si>
  <si>
    <t>C044</t>
  </si>
  <si>
    <t xml:space="preserve">SHRINKFILM 310MM              </t>
  </si>
  <si>
    <t>C045</t>
  </si>
  <si>
    <t xml:space="preserve">SHRINKFILM 350MM              </t>
  </si>
  <si>
    <t>C046</t>
  </si>
  <si>
    <t xml:space="preserve">SHRINKFILM 410MM              </t>
  </si>
  <si>
    <t>C047</t>
  </si>
  <si>
    <t xml:space="preserve">MEC TURBOFILM                 </t>
  </si>
  <si>
    <t>C048</t>
  </si>
  <si>
    <t>LBL WHT THERMAL 108x80MM ZEBRA</t>
  </si>
  <si>
    <t>C050</t>
  </si>
  <si>
    <t xml:space="preserve">GLOVES VINYL SMALL            </t>
  </si>
  <si>
    <t>C051</t>
  </si>
  <si>
    <t xml:space="preserve">GLOVES VINYL MEDIUM           </t>
  </si>
  <si>
    <t>C052</t>
  </si>
  <si>
    <t xml:space="preserve">GLOVES VINYL LARGE            </t>
  </si>
  <si>
    <t>C053</t>
  </si>
  <si>
    <t xml:space="preserve">GLOVES LATEX SMALL            </t>
  </si>
  <si>
    <t>C054</t>
  </si>
  <si>
    <t xml:space="preserve">GLOVES LATEX MEDIUM           </t>
  </si>
  <si>
    <t>C055</t>
  </si>
  <si>
    <t xml:space="preserve">GLOVES LATEX LARGE            </t>
  </si>
  <si>
    <t>C056</t>
  </si>
  <si>
    <t xml:space="preserve">HAIRNETS                      </t>
  </si>
  <si>
    <t>C056A</t>
  </si>
  <si>
    <t xml:space="preserve">HAIRNETS LARGE                </t>
  </si>
  <si>
    <t>C058</t>
  </si>
  <si>
    <t xml:space="preserve">BEARD COVERS                  </t>
  </si>
  <si>
    <t>C059</t>
  </si>
  <si>
    <t xml:space="preserve">PLASTIC BAGS CLEAR 150X230X50 </t>
  </si>
  <si>
    <t>C061</t>
  </si>
  <si>
    <t>PLASTIC BAGS CLEAR 305X450X100</t>
  </si>
  <si>
    <t>C065</t>
  </si>
  <si>
    <t xml:space="preserve">PLASTIC BAGS CLEAR 510X760X50 </t>
  </si>
  <si>
    <t>C066</t>
  </si>
  <si>
    <t xml:space="preserve">PLASTIC BAGS CLEAR 570X990X45 </t>
  </si>
  <si>
    <t>C067</t>
  </si>
  <si>
    <t>PLASTIC BAGS CLEAR 685X960X100</t>
  </si>
  <si>
    <t>C069</t>
  </si>
  <si>
    <t>PLASTIC BAGS BLACK 685X960X100</t>
  </si>
  <si>
    <t>C071</t>
  </si>
  <si>
    <t xml:space="preserve">PLASTIC BAGS CLEAR 1000X1500X </t>
  </si>
  <si>
    <t>C073</t>
  </si>
  <si>
    <t xml:space="preserve">PLASTIC TUBING CLEAR          </t>
  </si>
  <si>
    <t>C074</t>
  </si>
  <si>
    <t xml:space="preserve">LAB COAT DISPOSABLE WHITE     </t>
  </si>
  <si>
    <t>C075</t>
  </si>
  <si>
    <t xml:space="preserve">PALLET TOP SHEETS             </t>
  </si>
  <si>
    <t>C078</t>
  </si>
  <si>
    <t xml:space="preserve">STRETCH FILM 500MMx25UM CLEAR </t>
  </si>
  <si>
    <t>C080</t>
  </si>
  <si>
    <t xml:space="preserve">STRETCH FILM 500UMx25UM BLACK </t>
  </si>
  <si>
    <t>C086</t>
  </si>
  <si>
    <t xml:space="preserve">CHUX ROLL CLOTH               </t>
  </si>
  <si>
    <t>C098</t>
  </si>
  <si>
    <t xml:space="preserve">Q-CLEAN (DIVERFOAM)           </t>
  </si>
  <si>
    <t>C099</t>
  </si>
  <si>
    <t xml:space="preserve">DIVERSHEEN DILAC              </t>
  </si>
  <si>
    <t>C105</t>
  </si>
  <si>
    <t xml:space="preserve">LAUNDRY BRITE                 </t>
  </si>
  <si>
    <t>C106</t>
  </si>
  <si>
    <t xml:space="preserve">PLASTIC TRAY LINERS 685x960x  </t>
  </si>
  <si>
    <t>C107</t>
  </si>
  <si>
    <t xml:space="preserve">STRETCH FILM 500M x 450MM     </t>
  </si>
  <si>
    <t>C108</t>
  </si>
  <si>
    <t xml:space="preserve">TAPE SECURITY SEAL            </t>
  </si>
  <si>
    <t>C109</t>
  </si>
  <si>
    <t xml:space="preserve">GLOVES LATEX X-LARGE          </t>
  </si>
  <si>
    <t>C110</t>
  </si>
  <si>
    <t xml:space="preserve">TACKY MATS                    </t>
  </si>
  <si>
    <t>C111</t>
  </si>
  <si>
    <t xml:space="preserve">250ML AMBER GLASS TABLET 38MM </t>
  </si>
  <si>
    <t>C112</t>
  </si>
  <si>
    <t>LBL WHT THERMAL 100X248MM ZEBR</t>
  </si>
  <si>
    <t>C113</t>
  </si>
  <si>
    <t>LBL WHT THERMAL 100X100MM ZEBR</t>
  </si>
  <si>
    <t>C114</t>
  </si>
  <si>
    <t xml:space="preserve">LBL WHT THERMAL 70X70MM ZEBRA </t>
  </si>
  <si>
    <t>C115</t>
  </si>
  <si>
    <t xml:space="preserve">VACUUM CLEANER BAGS LGE 5PK   </t>
  </si>
  <si>
    <t>C116</t>
  </si>
  <si>
    <t xml:space="preserve">CAP WHITE 38MM WADDED T/T     </t>
  </si>
  <si>
    <t>C117</t>
  </si>
  <si>
    <t>CAP WHTE 38MM 400 CELLO WADDED</t>
  </si>
  <si>
    <t>C118</t>
  </si>
  <si>
    <t xml:space="preserve">BAGS PLASTIC 910 X 610        </t>
  </si>
  <si>
    <t>C119</t>
  </si>
  <si>
    <t>LBL WHT REMOV THERMAL 108X80MM</t>
  </si>
  <si>
    <t>C120</t>
  </si>
  <si>
    <t>BAG PLASTIC CLR 1000X1500X38UM</t>
  </si>
  <si>
    <t>C121</t>
  </si>
  <si>
    <t>BAG PLASTIC BLK 1000X1500X38UM</t>
  </si>
  <si>
    <t>C122</t>
  </si>
  <si>
    <t xml:space="preserve">BIN LINERS 1200X2100          </t>
  </si>
  <si>
    <t>C124</t>
  </si>
  <si>
    <t xml:space="preserve">CLEAR PACKAGING TAPE          </t>
  </si>
  <si>
    <t>C125</t>
  </si>
  <si>
    <t xml:space="preserve">3M MACHINE TAPE 48MMX1000MM   </t>
  </si>
  <si>
    <t>C126</t>
  </si>
  <si>
    <t xml:space="preserve">MOP RED                       </t>
  </si>
  <si>
    <t>C127</t>
  </si>
  <si>
    <t xml:space="preserve">MOP YELLOW                    </t>
  </si>
  <si>
    <t>C128</t>
  </si>
  <si>
    <t xml:space="preserve">MOP GREEN                     </t>
  </si>
  <si>
    <t>C129</t>
  </si>
  <si>
    <t xml:space="preserve">BUCKET RED                    </t>
  </si>
  <si>
    <t>C130</t>
  </si>
  <si>
    <t xml:space="preserve">BUCKET YELLOW                 </t>
  </si>
  <si>
    <t>C131</t>
  </si>
  <si>
    <t xml:space="preserve">BUCKET GREEN                  </t>
  </si>
  <si>
    <t>C132</t>
  </si>
  <si>
    <t xml:space="preserve">MOP HANDLES RED               </t>
  </si>
  <si>
    <t>C133</t>
  </si>
  <si>
    <t xml:space="preserve">MOP HANDLES GREEN             </t>
  </si>
  <si>
    <t>C134</t>
  </si>
  <si>
    <t xml:space="preserve">MOP HANDLES YELLOW            </t>
  </si>
  <si>
    <t>C29510</t>
  </si>
  <si>
    <t xml:space="preserve">SURMONTIL CAPS 50MG (SIZE 1)  </t>
  </si>
  <si>
    <t>CGB036</t>
  </si>
  <si>
    <t xml:space="preserve">CODING FOIL GT BLACK 40X305MM </t>
  </si>
  <si>
    <t>CUA</t>
  </si>
  <si>
    <t xml:space="preserve">COD LIVER OIL 275MG SGEL (ST) </t>
  </si>
  <si>
    <t>E41013</t>
  </si>
  <si>
    <t xml:space="preserve">LBL-SEAL/F/SAFETY RECT HFH    </t>
  </si>
  <si>
    <t>EYE</t>
  </si>
  <si>
    <t xml:space="preserve">EPO (10%) 1000MG SGEL (ST)    </t>
  </si>
  <si>
    <t>FOC</t>
  </si>
  <si>
    <t>FISH LIPID OIL 500MG SGEL (ST)</t>
  </si>
  <si>
    <t>GAW</t>
  </si>
  <si>
    <t>GARLIC OIL 1MG NEUTRTASTE SGEL</t>
  </si>
  <si>
    <t>H08003</t>
  </si>
  <si>
    <t xml:space="preserve">FOIL PLAIN SILVER 202MM       </t>
  </si>
  <si>
    <t>HL772L/0</t>
  </si>
  <si>
    <t xml:space="preserve">LBL-HRRN OSTEOEZE 750MG 180'S </t>
  </si>
  <si>
    <t>HOG002</t>
  </si>
  <si>
    <t xml:space="preserve">HOT MELT GLUE                 </t>
  </si>
  <si>
    <t>J1004</t>
  </si>
  <si>
    <t xml:space="preserve">PALLET PADS                   </t>
  </si>
  <si>
    <t>J1579</t>
  </si>
  <si>
    <t>5-ASA MESASAL 250MG EN COATTAB</t>
  </si>
  <si>
    <t>J2055</t>
  </si>
  <si>
    <t xml:space="preserve">PEVARYL OVULES 3 X 150MG DERM </t>
  </si>
  <si>
    <t>J4007</t>
  </si>
  <si>
    <t xml:space="preserve">PVC/PVDC 250/40 Clear x 175mm </t>
  </si>
  <si>
    <t>J4011</t>
  </si>
  <si>
    <t>VIAL PLAS WHTE 35 X 52MM PHARM</t>
  </si>
  <si>
    <t>J4012</t>
  </si>
  <si>
    <t>CLOSURE PLAS WHITE 35MM SECURI</t>
  </si>
  <si>
    <t>J4034</t>
  </si>
  <si>
    <t xml:space="preserve">SHRINKFILM 175MM (40 micron)  </t>
  </si>
  <si>
    <t>J4036</t>
  </si>
  <si>
    <t xml:space="preserve">SHRINKFILM 310MM X 38UM       </t>
  </si>
  <si>
    <t>J4137</t>
  </si>
  <si>
    <t xml:space="preserve">VIAL PLAS WHITE 26 X 55MM     </t>
  </si>
  <si>
    <t>J4241</t>
  </si>
  <si>
    <t xml:space="preserve">LBL DIBENYLINE X 30'S HK      </t>
  </si>
  <si>
    <t xml:space="preserve">2A  </t>
  </si>
  <si>
    <t>J4242</t>
  </si>
  <si>
    <t xml:space="preserve">PACKER 120 X 84 X 66MM.       </t>
  </si>
  <si>
    <t>J4296</t>
  </si>
  <si>
    <t xml:space="preserve">LFLT PEVARYL OVULES NZ        </t>
  </si>
  <si>
    <t xml:space="preserve">2C  </t>
  </si>
  <si>
    <t>J4308</t>
  </si>
  <si>
    <t xml:space="preserve">LBL PEVARYL POWDER 30G NZ     </t>
  </si>
  <si>
    <t>J4310</t>
  </si>
  <si>
    <t xml:space="preserve">LFLT PEVARYL FOAM SOLN NZ     </t>
  </si>
  <si>
    <t>J4311</t>
  </si>
  <si>
    <t xml:space="preserve">PEVARYL FOAM SOL 10G BULK NZ  </t>
  </si>
  <si>
    <t>J4628</t>
  </si>
  <si>
    <t xml:space="preserve">OPASPRAY GREEN M-1-3875BT     </t>
  </si>
  <si>
    <t>J4762</t>
  </si>
  <si>
    <t>CLOSURE PLAS WHITE 26MM SECURI</t>
  </si>
  <si>
    <t>J4819</t>
  </si>
  <si>
    <t xml:space="preserve">LFLT FAMVIR AUSTRALIA         </t>
  </si>
  <si>
    <t>J4822</t>
  </si>
  <si>
    <t>VIAL PLAS WHTE 35 X 75MM PHARM</t>
  </si>
  <si>
    <t>J4831</t>
  </si>
  <si>
    <t>PVC/PVDC 250/60 Opaque x 167mm</t>
  </si>
  <si>
    <t>J4850</t>
  </si>
  <si>
    <t>PLUG PLAS WHITE 14MM DROPP INS</t>
  </si>
  <si>
    <t>J4852</t>
  </si>
  <si>
    <t>BTLE PLAS WHTE DROPPR 10ML RND</t>
  </si>
  <si>
    <t>J4853</t>
  </si>
  <si>
    <t>CLOSURE PLAS WHITE 14MM TAMPER</t>
  </si>
  <si>
    <t>J4855</t>
  </si>
  <si>
    <t>BTLE PLAS WHTE DROPPR 30ML RND</t>
  </si>
  <si>
    <t>J4936</t>
  </si>
  <si>
    <t xml:space="preserve">FOIL PARAMAX 500/5MG     NZ   </t>
  </si>
  <si>
    <t>J4937</t>
  </si>
  <si>
    <t xml:space="preserve">PVC 250ums  Opaque x 208mm    </t>
  </si>
  <si>
    <t>J4988</t>
  </si>
  <si>
    <t>LBL/LFLT ESKAZOLE TAB 400MGX60</t>
  </si>
  <si>
    <t>J4994</t>
  </si>
  <si>
    <t xml:space="preserve">SECURITY SEAL TAPE            </t>
  </si>
  <si>
    <t>J5023</t>
  </si>
  <si>
    <t xml:space="preserve">PLT AIR PS VITC 1200X900   RX </t>
  </si>
  <si>
    <t>J5045</t>
  </si>
  <si>
    <t xml:space="preserve">PLASTIC CLEAR WADDING         </t>
  </si>
  <si>
    <t>J5102</t>
  </si>
  <si>
    <t>BTLE GLASS AMBER 100ML GPS RND</t>
  </si>
  <si>
    <t>J5103</t>
  </si>
  <si>
    <t>CLOSURE PLAS WHTE 24MM WAD TMP</t>
  </si>
  <si>
    <t>J6091</t>
  </si>
  <si>
    <t>PLT AIR EXP 1025X1025X155   AB</t>
  </si>
  <si>
    <t>J6092</t>
  </si>
  <si>
    <t>PLT AIR EXP 1025X1025X155   RX</t>
  </si>
  <si>
    <t>J6096</t>
  </si>
  <si>
    <t xml:space="preserve">GSK AIR PALLET                </t>
  </si>
  <si>
    <t>J6097</t>
  </si>
  <si>
    <t xml:space="preserve">GSK SEA PALLET                </t>
  </si>
  <si>
    <t>J6188</t>
  </si>
  <si>
    <t xml:space="preserve">O/CTN SIZE 8                  </t>
  </si>
  <si>
    <t>J6200</t>
  </si>
  <si>
    <t xml:space="preserve">O/CTN SIZE 6                  </t>
  </si>
  <si>
    <t>J6232</t>
  </si>
  <si>
    <t>PLT SEA EXP 1130X1130X170   RX</t>
  </si>
  <si>
    <t>J6766</t>
  </si>
  <si>
    <t xml:space="preserve">LBL SEA ADDRESS (12 X 80MM)   </t>
  </si>
  <si>
    <t>J7003</t>
  </si>
  <si>
    <t xml:space="preserve">TURBO DESTAINER               </t>
  </si>
  <si>
    <t>J7004</t>
  </si>
  <si>
    <t xml:space="preserve">FORMULA 208B                  </t>
  </si>
  <si>
    <t>J7005</t>
  </si>
  <si>
    <t xml:space="preserve">SURGIDINE 15 LITRE 5140405    </t>
  </si>
  <si>
    <t>J7006</t>
  </si>
  <si>
    <t xml:space="preserve">BIOGRAM 15 LITRE 5103403      </t>
  </si>
  <si>
    <t>J7007</t>
  </si>
  <si>
    <t xml:space="preserve">SPRINGCLEAN 15 LITRE 5137202  </t>
  </si>
  <si>
    <t>J7008</t>
  </si>
  <si>
    <t xml:space="preserve">TECHSIL LIQUID  25L  8188402  </t>
  </si>
  <si>
    <t>J7011</t>
  </si>
  <si>
    <t xml:space="preserve">UNICLEAN 205B 8189904         </t>
  </si>
  <si>
    <t>J7012</t>
  </si>
  <si>
    <t xml:space="preserve">OXONIA ACTIVE 3105043 20KG    </t>
  </si>
  <si>
    <t>J7016</t>
  </si>
  <si>
    <t xml:space="preserve">KLUBEROIL 4 UHI - 32          </t>
  </si>
  <si>
    <t>J7017</t>
  </si>
  <si>
    <t xml:space="preserve">KLUBEROIL 4UHI-100 20L        </t>
  </si>
  <si>
    <t>J7018</t>
  </si>
  <si>
    <t xml:space="preserve">KLUBEROIL 4 UHI - 220         </t>
  </si>
  <si>
    <t>J7019</t>
  </si>
  <si>
    <t xml:space="preserve">KLUBEROIL 4 UHI - 1500 SPRAY  </t>
  </si>
  <si>
    <t>J7020</t>
  </si>
  <si>
    <t xml:space="preserve">PARALIQ GA 3400               </t>
  </si>
  <si>
    <t>J7021</t>
  </si>
  <si>
    <t xml:space="preserve">PARALIQ GA 343                </t>
  </si>
  <si>
    <t>J7489</t>
  </si>
  <si>
    <t xml:space="preserve">LBL EXPORT                    </t>
  </si>
  <si>
    <t>J7533</t>
  </si>
  <si>
    <t>LBL SHIPPER IDENTIFIC  (PLAIN)</t>
  </si>
  <si>
    <t>J8005</t>
  </si>
  <si>
    <t>BTLE GLASS AMBER 150ML H13127W</t>
  </si>
  <si>
    <t>J8007</t>
  </si>
  <si>
    <t xml:space="preserve">BTLE PLAS WHITE 115ML TRANS   </t>
  </si>
  <si>
    <t>J9567</t>
  </si>
  <si>
    <t xml:space="preserve">PLACEBO TABLETS DC            </t>
  </si>
  <si>
    <t>J9615</t>
  </si>
  <si>
    <t xml:space="preserve">PALLET 1200X740X120MM         </t>
  </si>
  <si>
    <t>M01006</t>
  </si>
  <si>
    <t xml:space="preserve">SHPR-PLAIN CRASHLOCK          </t>
  </si>
  <si>
    <t>M02015/2</t>
  </si>
  <si>
    <t xml:space="preserve">SHP HRN NOACK 100             </t>
  </si>
  <si>
    <t>M10053</t>
  </si>
  <si>
    <t xml:space="preserve">SHP BLANK OSTEOEZE 180        </t>
  </si>
  <si>
    <t>M10062</t>
  </si>
  <si>
    <t xml:space="preserve">SHPR-BLANK LAXATIVE (DP002)   </t>
  </si>
  <si>
    <t>M10066</t>
  </si>
  <si>
    <t xml:space="preserve">SHPR-BLANK OSTEO EZE 120'S    </t>
  </si>
  <si>
    <t>M12002/2</t>
  </si>
  <si>
    <t xml:space="preserve">SHP GOL/LIFE MED BLANK        </t>
  </si>
  <si>
    <t>M12004</t>
  </si>
  <si>
    <t xml:space="preserve">SHP HIL SMALL 90ML            </t>
  </si>
  <si>
    <t>M12006</t>
  </si>
  <si>
    <t xml:space="preserve">SHP HILTON LARGE 250ML        </t>
  </si>
  <si>
    <t>M22001</t>
  </si>
  <si>
    <t xml:space="preserve">SHP BLNK(PARA 12,24,48 OST60) </t>
  </si>
  <si>
    <t>M22011</t>
  </si>
  <si>
    <t xml:space="preserve">SHP BLNK(IBUPROFEN 12 &amp; 24)   </t>
  </si>
  <si>
    <t>M23006</t>
  </si>
  <si>
    <t xml:space="preserve">SHPR-PLAIN CHEMISTS OWN (A)   </t>
  </si>
  <si>
    <t>M23007</t>
  </si>
  <si>
    <t xml:space="preserve">SHP PLAIN CHEMISTS OWN (B)    </t>
  </si>
  <si>
    <t xml:space="preserve">SHP PLAIN CHEMISTS OWN (C)    </t>
  </si>
  <si>
    <t xml:space="preserve">SHP PLAIN CHEMISTS OWN (E)    </t>
  </si>
  <si>
    <t>M23013</t>
  </si>
  <si>
    <t xml:space="preserve">SHPR-PLN 420X160X190          </t>
  </si>
  <si>
    <t>M23014</t>
  </si>
  <si>
    <t>SHPR-PLN CO PAIN TABLETS 100'S</t>
  </si>
  <si>
    <t>M24002</t>
  </si>
  <si>
    <t xml:space="preserve">SHPR-PLAIN CAPSEAL 25'S       </t>
  </si>
  <si>
    <t>O06012</t>
  </si>
  <si>
    <t>OVERWRAP POLYETH/220MM 50UM PL</t>
  </si>
  <si>
    <t>O06017</t>
  </si>
  <si>
    <t>OVERWRAP-POLYETH/160MM 50UM PL</t>
  </si>
  <si>
    <t>O06023</t>
  </si>
  <si>
    <t xml:space="preserve">OVERWRAP POLYETH/270MM 35UM   </t>
  </si>
  <si>
    <t>O06029</t>
  </si>
  <si>
    <t xml:space="preserve">PVC CLEAR GLOSS 250UM X 133MM </t>
  </si>
  <si>
    <t>O06035</t>
  </si>
  <si>
    <t xml:space="preserve">TEAR TAPE 2MMX28UM X 10KM-RED </t>
  </si>
  <si>
    <t>O06036</t>
  </si>
  <si>
    <t xml:space="preserve">PVC/PVDC CLEAR 250UM X 133MM  </t>
  </si>
  <si>
    <t>O06041</t>
  </si>
  <si>
    <t xml:space="preserve">PVC CLEAR 200UM X 133MM       </t>
  </si>
  <si>
    <t>O06045</t>
  </si>
  <si>
    <t>20UM CAST POLY+20UM BOPP-PLAIN</t>
  </si>
  <si>
    <t>O06050</t>
  </si>
  <si>
    <t>O06051</t>
  </si>
  <si>
    <t xml:space="preserve">PVC CLEAR 250UM X 202MM       </t>
  </si>
  <si>
    <t>O06055</t>
  </si>
  <si>
    <t>TEAR TAPE 2MMX40UM X 6KM-WHITE</t>
  </si>
  <si>
    <t>O06056</t>
  </si>
  <si>
    <t xml:space="preserve">20UM CAST POLY/BOPP-PLAIN     </t>
  </si>
  <si>
    <t>PKTRAIL1</t>
  </si>
  <si>
    <t xml:space="preserve">FILM 110MM PVC/PVDC 250/40    </t>
  </si>
  <si>
    <t>PKTRAIL2</t>
  </si>
  <si>
    <t xml:space="preserve">FILM 115MM PVC/PVDC 250/40    </t>
  </si>
  <si>
    <t>PKTRAIL3</t>
  </si>
  <si>
    <t xml:space="preserve">FILM 175MM PVC 250            </t>
  </si>
  <si>
    <t>PKTRAIL4</t>
  </si>
  <si>
    <t xml:space="preserve">LFLT PLAIN ROTACAPS           </t>
  </si>
  <si>
    <t>PKTRAIL5</t>
  </si>
  <si>
    <t xml:space="preserve">CTN PLAIN ROTACAPS            </t>
  </si>
  <si>
    <t>PKTRAIL6</t>
  </si>
  <si>
    <t xml:space="preserve">SACHET CTN URAL 4G 28         </t>
  </si>
  <si>
    <t>PKTRAIL7</t>
  </si>
  <si>
    <t xml:space="preserve">FOIL COLDFORM 138MM           </t>
  </si>
  <si>
    <t>PKTRAIL8</t>
  </si>
  <si>
    <t xml:space="preserve">FOIL 135MM PLAIN 20UM ALCAN   </t>
  </si>
  <si>
    <t>PKTRIAL10</t>
  </si>
  <si>
    <t xml:space="preserve">FILM 175MM PVC 250UM J4007    </t>
  </si>
  <si>
    <t>PKTRIAL11</t>
  </si>
  <si>
    <t xml:space="preserve">FILM 167MM PVC 250UM J4831    </t>
  </si>
  <si>
    <t>PKTRIAL12</t>
  </si>
  <si>
    <t xml:space="preserve">PAPER ROLL 798MM              </t>
  </si>
  <si>
    <t>PKTRIAL13</t>
  </si>
  <si>
    <t xml:space="preserve">FOIL 185MM 20UM POLIMET       </t>
  </si>
  <si>
    <t>PKTRIAL14</t>
  </si>
  <si>
    <t xml:space="preserve">FOIL FLOWRAP 185MM CARTIA     </t>
  </si>
  <si>
    <t>PKTRIAL15</t>
  </si>
  <si>
    <t xml:space="preserve">FOIL 150MM HAPA               </t>
  </si>
  <si>
    <t>PKTRIAL18</t>
  </si>
  <si>
    <t xml:space="preserve">TRIPLEX PVC/PE/PVDC 250/30/90 </t>
  </si>
  <si>
    <t>PKTRIAL19</t>
  </si>
  <si>
    <t xml:space="preserve">TRIPLEX PVC/COC/PVDC          </t>
  </si>
  <si>
    <t>PKTRIAL20</t>
  </si>
  <si>
    <t xml:space="preserve">ACLAR ULTRX 2000 S03          </t>
  </si>
  <si>
    <t>PKTRIAL22</t>
  </si>
  <si>
    <t xml:space="preserve">DUPLEX PVC/PVDC 250/120 CLEAR </t>
  </si>
  <si>
    <t>PKTRIAL23</t>
  </si>
  <si>
    <t xml:space="preserve">NASAL SPRAY PUMPS             </t>
  </si>
  <si>
    <t>PKTRIAL24</t>
  </si>
  <si>
    <t xml:space="preserve">FILM TRIPLEX 250/25/90 CLEAR  </t>
  </si>
  <si>
    <t>PKTRIAL25</t>
  </si>
  <si>
    <t xml:space="preserve">FILM 250/5/90 CLEAR           </t>
  </si>
  <si>
    <t>PKTRIAL26</t>
  </si>
  <si>
    <t>ALFOIL E S03 PVC/PVDC/PVC 120/</t>
  </si>
  <si>
    <t>PKTRIAL9</t>
  </si>
  <si>
    <t xml:space="preserve">FILM 118MM PVC 250UM 005660   </t>
  </si>
  <si>
    <t>SPL004L/0</t>
  </si>
  <si>
    <t xml:space="preserve">LBL-VITAMINORUM 100'S         </t>
  </si>
  <si>
    <t>T02301</t>
  </si>
  <si>
    <t>TRI-PROFEN COLD&amp;FLU TABS CORES</t>
  </si>
  <si>
    <t>T07070</t>
  </si>
  <si>
    <t>GASTROLYTE BLACKCURNT TABS X10</t>
  </si>
  <si>
    <t>T16444</t>
  </si>
  <si>
    <t xml:space="preserve">PRIMALAN TABS 5MG FOR TAIWAN  </t>
  </si>
  <si>
    <t>T36001</t>
  </si>
  <si>
    <t xml:space="preserve">TRI-PROFEN CORES              </t>
  </si>
  <si>
    <t>VEY</t>
  </si>
  <si>
    <t xml:space="preserve">VALERIAN PLUS SGEL            </t>
  </si>
  <si>
    <t>VLG</t>
  </si>
  <si>
    <t xml:space="preserve">VIT E NAT 500IU SGEL (ST)     </t>
  </si>
  <si>
    <t>EA</t>
  </si>
  <si>
    <t>Drying Hrs</t>
  </si>
  <si>
    <t>QC Laboratory Route</t>
  </si>
  <si>
    <t>QC Laboratory</t>
  </si>
  <si>
    <t>Avg. Strokes/min</t>
  </si>
  <si>
    <t>g/m2</t>
  </si>
  <si>
    <t>Item Code</t>
  </si>
  <si>
    <t>Cost</t>
  </si>
  <si>
    <t>Unit</t>
  </si>
  <si>
    <t>20 micron</t>
  </si>
  <si>
    <t>&lt;New 1&gt;</t>
  </si>
  <si>
    <t>25 micron</t>
  </si>
  <si>
    <t>xx.x</t>
  </si>
  <si>
    <t>&lt;New 2&gt;</t>
  </si>
  <si>
    <t>&lt;New 3&gt;</t>
  </si>
  <si>
    <t>&lt;New 4&gt;</t>
  </si>
  <si>
    <t>&lt;New 5&gt;</t>
  </si>
  <si>
    <t>&lt;New 6&gt;</t>
  </si>
  <si>
    <t>&lt;New 7&gt;</t>
  </si>
  <si>
    <t>&lt;New 8&gt;</t>
  </si>
  <si>
    <t>Full</t>
  </si>
  <si>
    <t>&lt;New 9&gt;</t>
  </si>
  <si>
    <t>&lt;New 10&gt;</t>
  </si>
  <si>
    <t>&lt;New 11&gt;</t>
  </si>
  <si>
    <t>&lt;New 12&gt;</t>
  </si>
  <si>
    <t>Film g/m2</t>
  </si>
  <si>
    <t>Blister Width (mm)</t>
  </si>
  <si>
    <t>Foil web width (mm)</t>
  </si>
  <si>
    <t>Film web width (mm)</t>
  </si>
  <si>
    <t>Repeat Length (mm)</t>
  </si>
  <si>
    <t>Foil Type</t>
  </si>
  <si>
    <t>Foil g/m2</t>
  </si>
  <si>
    <t>No of blisters per stroke</t>
  </si>
  <si>
    <t>No of blisters per carton</t>
  </si>
  <si>
    <t>No of operators</t>
  </si>
  <si>
    <t>Tablets/Capsules (th)</t>
  </si>
  <si>
    <t>Foil (kg)</t>
  </si>
  <si>
    <t>Film (kg)</t>
  </si>
  <si>
    <t>Carton (EA)</t>
  </si>
  <si>
    <t>Shipper (EA)</t>
  </si>
  <si>
    <t>Leaflet (EA)</t>
  </si>
  <si>
    <t>Tamper Labels (EA)</t>
  </si>
  <si>
    <t>Act Machine Hrs / Th Packs</t>
  </si>
  <si>
    <t>Act Labour Hrs / Th Packs</t>
  </si>
  <si>
    <t>Base Machine Hrs / Th packs</t>
  </si>
  <si>
    <t>Average strokes per min</t>
  </si>
  <si>
    <t>Marchesini Machine Pitch (mm)</t>
  </si>
  <si>
    <t>Kilian</t>
  </si>
  <si>
    <t>Raw Materials</t>
  </si>
  <si>
    <t>UoM</t>
  </si>
  <si>
    <t>Qty in Warehouse</t>
  </si>
  <si>
    <t>Ratio used</t>
  </si>
  <si>
    <t>Qty in warehouse</t>
  </si>
  <si>
    <t>Cost tied in warehouse</t>
  </si>
  <si>
    <t>KG</t>
  </si>
  <si>
    <t>Labour Hrs</t>
  </si>
  <si>
    <t>Machine Hrs</t>
  </si>
  <si>
    <t>Direct Labour</t>
  </si>
  <si>
    <t>Variable Overhead</t>
  </si>
  <si>
    <t>Fixed Overhead</t>
  </si>
  <si>
    <t>Efficiency</t>
  </si>
  <si>
    <t>Raw Materials:</t>
  </si>
  <si>
    <t>Manufacturing Cost:</t>
  </si>
  <si>
    <t>Packaging Materials:</t>
  </si>
  <si>
    <t>Packaging Cost:</t>
  </si>
  <si>
    <t>MOQ</t>
  </si>
  <si>
    <t>Qty for one batch</t>
  </si>
  <si>
    <t>Laboratory</t>
  </si>
  <si>
    <t>Packaging</t>
  </si>
  <si>
    <t>Manufacturing Cost</t>
  </si>
  <si>
    <t>Packaging Cost</t>
  </si>
  <si>
    <t>Qty in shelf</t>
  </si>
  <si>
    <t>Safety stock</t>
  </si>
  <si>
    <t>Curr Acc</t>
  </si>
  <si>
    <t>Cost Per Pack</t>
  </si>
  <si>
    <t>Safety Stock</t>
  </si>
  <si>
    <t>Sale Price</t>
  </si>
  <si>
    <t>Yield</t>
  </si>
  <si>
    <t>Sale rate (per day)</t>
  </si>
  <si>
    <t>Packaging Materials</t>
  </si>
  <si>
    <t>Cost tied in linfox</t>
  </si>
  <si>
    <t>One batch cost</t>
  </si>
  <si>
    <t>Score</t>
  </si>
  <si>
    <t>Defect Rate</t>
  </si>
  <si>
    <t>Fast</t>
  </si>
  <si>
    <t>Lean</t>
  </si>
  <si>
    <t>Flexible</t>
  </si>
  <si>
    <t>Enivornment Friendly</t>
  </si>
  <si>
    <t>Batch size</t>
  </si>
  <si>
    <t>-</t>
  </si>
  <si>
    <t>Defect</t>
  </si>
  <si>
    <t>Order turnaround time (days)</t>
  </si>
  <si>
    <t>Cycle time (days)</t>
  </si>
  <si>
    <t>Raw material lead time (days)</t>
  </si>
  <si>
    <t>Productivity (%OEE)</t>
  </si>
  <si>
    <t>Yield (%)</t>
  </si>
  <si>
    <t>Raw material safety stock (equivalent to x batches)</t>
  </si>
  <si>
    <t>Finished product safety stock (equivalent to x months supply)</t>
  </si>
  <si>
    <t>Change over time (% of manufacturing time)</t>
  </si>
  <si>
    <t>Factory Types</t>
  </si>
  <si>
    <t>Distribution Company (Ex: Linfox)</t>
  </si>
  <si>
    <t>Parameters</t>
  </si>
  <si>
    <t>Value</t>
  </si>
  <si>
    <t>Order Turnaround</t>
  </si>
  <si>
    <t>Cycle Time</t>
  </si>
  <si>
    <t>Raw Lead Time</t>
  </si>
  <si>
    <t>% OEE</t>
  </si>
  <si>
    <t>Raw safety</t>
  </si>
  <si>
    <t>Finished safety</t>
  </si>
  <si>
    <t>Raw material minimum order quantity (suitable to make x batches)</t>
  </si>
  <si>
    <t>Raw MOQ</t>
  </si>
  <si>
    <t>done</t>
  </si>
  <si>
    <t>Batch size (equivalent to x months supply)</t>
  </si>
  <si>
    <t>CO Dispensary</t>
  </si>
  <si>
    <t>CO Granulation</t>
  </si>
  <si>
    <t>CO Compression</t>
  </si>
  <si>
    <t>CO Coating</t>
  </si>
  <si>
    <t>CO Packaging</t>
  </si>
  <si>
    <t>Change Over (Hrs)</t>
  </si>
  <si>
    <t>Run Time (Days)</t>
  </si>
  <si>
    <t>Order Placed:</t>
  </si>
  <si>
    <t>Due Date</t>
  </si>
  <si>
    <t>Date:</t>
  </si>
  <si>
    <t>Due Date:</t>
  </si>
  <si>
    <t>Material Available</t>
  </si>
  <si>
    <t>Current Day</t>
  </si>
  <si>
    <t>No of orders completed:</t>
  </si>
  <si>
    <t>Cost/Pack</t>
  </si>
  <si>
    <t>Defect Rectification Time (days)</t>
  </si>
  <si>
    <t>Defect Rate(%)</t>
  </si>
  <si>
    <t>Defect Time</t>
  </si>
  <si>
    <t>Shoporder Flag</t>
  </si>
  <si>
    <t>Batch Started</t>
  </si>
  <si>
    <t>Profit from Sales</t>
  </si>
  <si>
    <t>Profit after 1000 days</t>
  </si>
  <si>
    <t>Curr Acc after 1000 days</t>
  </si>
  <si>
    <t>Current Acc after 1000 days</t>
  </si>
  <si>
    <t>Raw Material MOQ:</t>
  </si>
  <si>
    <t>Raw Material Safety Stock:</t>
  </si>
  <si>
    <t>Warehouse (Raw Material)</t>
  </si>
  <si>
    <t>All raw materials available:</t>
  </si>
  <si>
    <t>All raw materials picked:</t>
  </si>
  <si>
    <t>Raw material cost (1 batch):</t>
  </si>
  <si>
    <t>Total cost of all raw materials in the warehouse:</t>
  </si>
  <si>
    <t>Work Centre Rate:</t>
  </si>
  <si>
    <t>Materials Dispensed:</t>
  </si>
  <si>
    <t>Standard Hours:</t>
  </si>
  <si>
    <t>Change Over Time:</t>
  </si>
  <si>
    <t>Dispensing Cost (1 batch):</t>
  </si>
  <si>
    <t>Operating Efficiency:</t>
  </si>
  <si>
    <t>Granulating Cost (1 batch):</t>
  </si>
  <si>
    <t>Compressing Cost (1 batch):</t>
  </si>
  <si>
    <t>Materials Granulated:</t>
  </si>
  <si>
    <t>Materials Compressed:</t>
  </si>
  <si>
    <t>Materials Coated:</t>
  </si>
  <si>
    <t>Materials Analysed:</t>
  </si>
  <si>
    <t>Coating Cost (1 batch):</t>
  </si>
  <si>
    <t>Analysing Cost (1 batch):</t>
  </si>
  <si>
    <t>Warehouse (Packaging Materials)</t>
  </si>
  <si>
    <t>Total cost of all packaging materials in the warehouse:</t>
  </si>
  <si>
    <t>Packaging material cost (1 batch):</t>
  </si>
  <si>
    <t>Blister Packaging</t>
  </si>
  <si>
    <t>Packaging Cost (1 batch):</t>
  </si>
  <si>
    <t>Materials Packaged:</t>
  </si>
  <si>
    <t>Distribution Warehouse</t>
  </si>
  <si>
    <t>Finished Goods Safety Stock:</t>
  </si>
  <si>
    <t>Quanity in shelf:</t>
  </si>
  <si>
    <t>Holding Rate:</t>
  </si>
  <si>
    <t>Not considered</t>
  </si>
  <si>
    <t>Factory Type:</t>
  </si>
  <si>
    <t>Still Open</t>
  </si>
  <si>
    <t>What Should I do?</t>
  </si>
  <si>
    <t>Getting There</t>
  </si>
  <si>
    <t>Excellent</t>
  </si>
  <si>
    <t>Extraordinary</t>
  </si>
  <si>
    <t>World Class</t>
  </si>
  <si>
    <t>Trial Factory</t>
  </si>
  <si>
    <t>Raw material safety stock</t>
  </si>
  <si>
    <t>Finished product safety stock</t>
  </si>
  <si>
    <t>Raw material MOQ</t>
  </si>
  <si>
    <t>Defect Rate (%)</t>
  </si>
  <si>
    <t>Run Time (days):</t>
  </si>
  <si>
    <t>Run Rate (seconds):</t>
  </si>
  <si>
    <t>Current Day:</t>
  </si>
  <si>
    <t>Economies</t>
  </si>
  <si>
    <t>Cost Per Pack:</t>
  </si>
  <si>
    <t>Batch size (no of packs):</t>
  </si>
  <si>
    <t>Batch size (no of tabs):</t>
  </si>
  <si>
    <t>Cost of one batch:</t>
  </si>
  <si>
    <t>Profit from Sales:</t>
  </si>
  <si>
    <t>Cash in current account:</t>
  </si>
  <si>
    <t>Batch Yield (%)</t>
  </si>
  <si>
    <t>Run Rate</t>
  </si>
  <si>
    <t>Days</t>
  </si>
  <si>
    <t>Profit</t>
  </si>
  <si>
    <t>Acc</t>
  </si>
  <si>
    <t>Stock</t>
  </si>
  <si>
    <t>Change over time (%)</t>
  </si>
  <si>
    <t>Step 1</t>
  </si>
  <si>
    <t>Step 2</t>
  </si>
  <si>
    <t>Step 3</t>
  </si>
  <si>
    <t>Step 4</t>
  </si>
  <si>
    <t>Cost of materials in shelf:</t>
  </si>
  <si>
    <t>Sale Rate (packs per day):</t>
  </si>
  <si>
    <t>Sale Price (per pack):</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</si>
</sst>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quot;$&quot;#,##0"/>
    <numFmt numFmtId="7" formatCode="&quot;$&quot;#,##0.00;\-&quot;$&quot;#,##0.00"/>
    <numFmt numFmtId="44" formatCode="_-&quot;$&quot;* #,##0.00_-;\-&quot;$&quot;* #,##0.00_-;_-&quot;$&quot;* &quot;-&quot;??_-;_-@_-"/>
    <numFmt numFmtId="43" formatCode="_-* #,##0.00_-;\-* #,##0.00_-;_-* &quot;-&quot;??_-;_-@_-"/>
    <numFmt numFmtId="164" formatCode="0.0"/>
    <numFmt numFmtId="165" formatCode="0.000"/>
    <numFmt numFmtId="166" formatCode="#,##0.0"/>
    <numFmt numFmtId="167" formatCode="0.000000"/>
    <numFmt numFmtId="168" formatCode="_-* #,##0_-;\-* #,##0_-;_-* &quot;-&quot;??_-;_-@_-"/>
    <numFmt numFmtId="169" formatCode="&quot;$&quot;#,##0.000"/>
    <numFmt numFmtId="170" formatCode="&quot;$&quot;#,##0"/>
    <numFmt numFmtId="171" formatCode="_-* #,##0.000_-;\-* #,##0.000_-;_-* &quot;-&quot;??_-;_-@_-"/>
    <numFmt numFmtId="172" formatCode="_(&quot;$&quot;* #,##0_);_(&quot;$&quot;* \(#,##0\);_(&quot;$&quot;* &quot;-&quot;??_);_(@_)"/>
    <numFmt numFmtId="173" formatCode="_-&quot;$&quot;#,##0.00_-;\-&quot;$&quot;#,##0.00_-;_-&quot;$&quot;\ \ \ &quot;-&quot;??_-;_-@_-"/>
    <numFmt numFmtId="174" formatCode="0.0000_)"/>
    <numFmt numFmtId="175" formatCode="0.00_)"/>
    <numFmt numFmtId="176" formatCode="_-&quot;$&quot;* #,##0_-;\-&quot;$&quot;* #,##0_-;_-&quot;$&quot;* &quot;-&quot;??_-;_-@_-"/>
    <numFmt numFmtId="177" formatCode="_-* #,##0.0_-;\-* #,##0.0_-;_-* &quot;-&quot;??_-;_-@_-"/>
    <numFmt numFmtId="178" formatCode="&quot;$&quot;#,##0.00"/>
  </numFmts>
  <fonts count="69" x14ac:knownFonts="1">
    <font>
      <sz val="10"/>
      <name val="Arial"/>
    </font>
    <font>
      <sz val="10"/>
      <name val="Arial"/>
      <family val="2"/>
    </font>
    <font>
      <sz val="8"/>
      <name val="Arial"/>
      <family val="2"/>
    </font>
    <font>
      <b/>
      <sz val="8"/>
      <name val="Arial"/>
      <family val="2"/>
    </font>
    <font>
      <b/>
      <sz val="10"/>
      <name val="Arial"/>
      <family val="2"/>
    </font>
    <font>
      <sz val="8"/>
      <color indexed="22"/>
      <name val="Arial"/>
      <family val="2"/>
    </font>
    <font>
      <sz val="6"/>
      <color indexed="22"/>
      <name val="Arial"/>
      <family val="2"/>
    </font>
    <font>
      <b/>
      <sz val="6"/>
      <color indexed="22"/>
      <name val="Arial"/>
      <family val="2"/>
    </font>
    <font>
      <sz val="6"/>
      <name val="Arial"/>
      <family val="2"/>
    </font>
    <font>
      <b/>
      <sz val="6"/>
      <name val="Arial"/>
      <family val="2"/>
    </font>
    <font>
      <sz val="8"/>
      <color indexed="9"/>
      <name val="Arial"/>
      <family val="2"/>
    </font>
    <font>
      <b/>
      <sz val="16"/>
      <name val="Arial"/>
      <family val="2"/>
    </font>
    <font>
      <sz val="8"/>
      <color indexed="41"/>
      <name val="Arial"/>
      <family val="2"/>
    </font>
    <font>
      <sz val="6"/>
      <color indexed="9"/>
      <name val="Arial"/>
      <family val="2"/>
    </font>
    <font>
      <sz val="8"/>
      <color indexed="42"/>
      <name val="Arial"/>
      <family val="2"/>
    </font>
    <font>
      <sz val="8"/>
      <name val="Wingdings"/>
      <charset val="2"/>
    </font>
    <font>
      <sz val="8"/>
      <name val="Arial"/>
      <family val="2"/>
    </font>
    <font>
      <sz val="10"/>
      <name val="Arial"/>
      <family val="2"/>
    </font>
    <font>
      <sz val="10"/>
      <color indexed="55"/>
      <name val="Arial"/>
      <family val="2"/>
    </font>
    <font>
      <b/>
      <sz val="10"/>
      <color indexed="9"/>
      <name val="Arial"/>
      <family val="2"/>
    </font>
    <font>
      <sz val="10"/>
      <name val="Arial"/>
      <family val="2"/>
    </font>
    <font>
      <sz val="8"/>
      <color indexed="8"/>
      <name val="Arial"/>
      <family val="2"/>
    </font>
    <font>
      <b/>
      <sz val="12"/>
      <color indexed="12"/>
      <name val="Arial"/>
      <family val="2"/>
    </font>
    <font>
      <b/>
      <u/>
      <sz val="10"/>
      <name val="Arial"/>
      <family val="2"/>
    </font>
    <font>
      <sz val="10"/>
      <color indexed="48"/>
      <name val="Arial"/>
      <family val="2"/>
    </font>
    <font>
      <sz val="10"/>
      <color indexed="10"/>
      <name val="Arial"/>
      <family val="2"/>
    </font>
    <font>
      <b/>
      <sz val="8"/>
      <color indexed="81"/>
      <name val="Tahoma"/>
      <family val="2"/>
    </font>
    <font>
      <sz val="8"/>
      <color indexed="81"/>
      <name val="Tahoma"/>
      <family val="2"/>
    </font>
    <font>
      <sz val="10"/>
      <color indexed="41"/>
      <name val="Arial"/>
      <family val="2"/>
    </font>
    <font>
      <sz val="6"/>
      <name val="Arial"/>
      <family val="2"/>
    </font>
    <font>
      <sz val="10"/>
      <color indexed="9"/>
      <name val="Arial"/>
      <family val="2"/>
    </font>
    <font>
      <sz val="10"/>
      <color indexed="55"/>
      <name val="Arial"/>
      <family val="2"/>
    </font>
    <font>
      <sz val="18"/>
      <name val="Arial"/>
      <family val="2"/>
    </font>
    <font>
      <sz val="10"/>
      <name val="Arial"/>
      <family val="2"/>
    </font>
    <font>
      <sz val="10"/>
      <name val="Arial"/>
      <family val="2"/>
    </font>
    <font>
      <sz val="10"/>
      <name val="Arial"/>
      <family val="2"/>
    </font>
    <font>
      <b/>
      <sz val="14"/>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theme="0"/>
      <name val="Calibri"/>
      <family val="2"/>
      <scheme val="minor"/>
    </font>
    <font>
      <i/>
      <sz val="11"/>
      <color rgb="FF7F7F7F"/>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b/>
      <sz val="16"/>
      <color theme="5" tint="-0.499984740745262"/>
      <name val="Cambria"/>
      <family val="2"/>
      <scheme val="major"/>
    </font>
    <font>
      <b/>
      <u/>
      <sz val="12"/>
      <color theme="3"/>
      <name val="Calibri"/>
      <family val="2"/>
      <scheme val="minor"/>
    </font>
    <font>
      <b/>
      <sz val="12"/>
      <color theme="3"/>
      <name val="Calibri"/>
      <family val="2"/>
      <scheme val="minor"/>
    </font>
    <font>
      <b/>
      <u/>
      <sz val="14"/>
      <color theme="3"/>
      <name val="Calibri"/>
      <family val="2"/>
      <scheme val="minor"/>
    </font>
    <font>
      <sz val="10"/>
      <name val="Calibri"/>
      <family val="2"/>
      <scheme val="minor"/>
    </font>
    <font>
      <b/>
      <i/>
      <sz val="11"/>
      <color theme="5" tint="-0.249977111117893"/>
      <name val="Calibri"/>
      <family val="2"/>
      <scheme val="minor"/>
    </font>
    <font>
      <b/>
      <sz val="10"/>
      <name val="Calibri"/>
      <family val="2"/>
      <scheme val="minor"/>
    </font>
    <font>
      <b/>
      <sz val="11"/>
      <color theme="0"/>
      <name val="Cambria"/>
      <family val="1"/>
      <scheme val="major"/>
    </font>
    <font>
      <sz val="11"/>
      <name val="Calibri"/>
      <family val="2"/>
      <scheme val="minor"/>
    </font>
    <font>
      <b/>
      <u/>
      <sz val="11"/>
      <name val="Calibri"/>
      <family val="2"/>
      <scheme val="minor"/>
    </font>
    <font>
      <b/>
      <sz val="11"/>
      <name val="Calibri"/>
      <family val="2"/>
      <scheme val="minor"/>
    </font>
    <font>
      <b/>
      <sz val="11"/>
      <color indexed="8"/>
      <name val="Calibri"/>
      <family val="2"/>
      <scheme val="minor"/>
    </font>
    <font>
      <b/>
      <i/>
      <sz val="10"/>
      <name val="Calibri"/>
      <family val="2"/>
      <scheme val="minor"/>
    </font>
    <font>
      <i/>
      <sz val="10"/>
      <name val="Calibri"/>
      <family val="2"/>
      <scheme val="minor"/>
    </font>
    <font>
      <b/>
      <i/>
      <sz val="11"/>
      <name val="Calibri"/>
      <family val="2"/>
      <scheme val="minor"/>
    </font>
    <font>
      <sz val="10"/>
      <color rgb="FFFF0000"/>
      <name val="Calibri"/>
      <family val="2"/>
      <scheme val="minor"/>
    </font>
    <font>
      <sz val="10"/>
      <color indexed="10"/>
      <name val="Calibri"/>
      <family val="2"/>
      <scheme val="minor"/>
    </font>
    <font>
      <b/>
      <sz val="11"/>
      <color theme="3" tint="-0.249977111117893"/>
      <name val="Calibri"/>
      <family val="2"/>
      <scheme val="minor"/>
    </font>
    <font>
      <sz val="8"/>
      <name val="Calibri"/>
      <family val="2"/>
      <scheme val="minor"/>
    </font>
    <font>
      <sz val="11"/>
      <color rgb="FF000000"/>
      <name val="Calibri"/>
      <family val="2"/>
    </font>
    <font>
      <b/>
      <sz val="11"/>
      <color rgb="FF000000"/>
      <name val="Calibri"/>
      <family val="2"/>
    </font>
    <font>
      <sz val="10"/>
      <color rgb="FF000000"/>
      <name val="Arial"/>
      <family val="2"/>
    </font>
    <font>
      <sz val="8"/>
      <color rgb="FF000000"/>
      <name val="Arial"/>
      <family val="2"/>
    </font>
    <font>
      <sz val="9"/>
      <color rgb="FF000000"/>
      <name val="Arial"/>
      <family val="2"/>
    </font>
  </fonts>
  <fills count="2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26"/>
        <bgColor indexed="64"/>
      </patternFill>
    </fill>
    <fill>
      <patternFill patternType="solid">
        <fgColor indexed="42"/>
        <bgColor indexed="64"/>
      </patternFill>
    </fill>
    <fill>
      <patternFill patternType="solid">
        <fgColor indexed="45"/>
        <bgColor indexed="64"/>
      </patternFill>
    </fill>
    <fill>
      <patternFill patternType="solid">
        <fgColor theme="4"/>
      </patternFill>
    </fill>
    <fill>
      <patternFill patternType="solid">
        <fgColor rgb="FFFFC7CE"/>
      </patternFill>
    </fill>
    <fill>
      <patternFill patternType="solid">
        <fgColor rgb="FFF2F2F2"/>
      </patternFill>
    </fill>
    <fill>
      <patternFill patternType="solid">
        <fgColor rgb="FFFFFFCC"/>
      </patternFill>
    </fill>
    <fill>
      <patternFill patternType="solid">
        <fgColor theme="3" tint="-0.249977111117893"/>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FFCC"/>
        <bgColor indexed="64"/>
      </patternFill>
    </fill>
    <fill>
      <patternFill patternType="solid">
        <fgColor rgb="FFBFBFBF"/>
        <bgColor rgb="FF000000"/>
      </patternFill>
    </fill>
    <fill>
      <patternFill patternType="solid">
        <fgColor rgb="FFA6A6A6"/>
        <bgColor rgb="FF000000"/>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6" tint="0.39997558519241921"/>
        <bgColor indexed="64"/>
      </patternFill>
    </fill>
  </fills>
  <borders count="160">
    <border>
      <left/>
      <right/>
      <top/>
      <bottom/>
      <diagonal/>
    </border>
    <border>
      <left/>
      <right style="medium">
        <color indexed="64"/>
      </right>
      <top/>
      <bottom/>
      <diagonal/>
    </border>
    <border>
      <left/>
      <right/>
      <top style="hair">
        <color indexed="64"/>
      </top>
      <bottom/>
      <diagonal/>
    </border>
    <border>
      <left/>
      <right style="medium">
        <color indexed="64"/>
      </right>
      <top style="hair">
        <color indexed="64"/>
      </top>
      <bottom/>
      <diagonal/>
    </border>
    <border>
      <left/>
      <right/>
      <top/>
      <bottom style="hair">
        <color indexed="64"/>
      </bottom>
      <diagonal/>
    </border>
    <border>
      <left/>
      <right style="medium">
        <color indexed="64"/>
      </right>
      <top/>
      <bottom style="hair">
        <color indexed="64"/>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hair">
        <color indexed="64"/>
      </top>
      <bottom/>
      <diagonal/>
    </border>
    <border>
      <left style="medium">
        <color indexed="64"/>
      </left>
      <right/>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hair">
        <color indexed="64"/>
      </bottom>
      <diagonal/>
    </border>
    <border>
      <left style="double">
        <color indexed="10"/>
      </left>
      <right style="double">
        <color indexed="10"/>
      </right>
      <top style="double">
        <color indexed="10"/>
      </top>
      <bottom style="hair">
        <color indexed="64"/>
      </bottom>
      <diagonal/>
    </border>
    <border>
      <left style="hair">
        <color indexed="64"/>
      </left>
      <right/>
      <top style="hair">
        <color indexed="64"/>
      </top>
      <bottom style="hair">
        <color indexed="64"/>
      </bottom>
      <diagonal/>
    </border>
    <border>
      <left style="double">
        <color indexed="10"/>
      </left>
      <right style="double">
        <color indexed="10"/>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double">
        <color indexed="10"/>
      </left>
      <right style="double">
        <color indexed="10"/>
      </right>
      <top style="hair">
        <color indexed="64"/>
      </top>
      <bottom style="double">
        <color indexed="10"/>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double">
        <color indexed="10"/>
      </left>
      <right style="hair">
        <color indexed="64"/>
      </right>
      <top style="medium">
        <color indexed="64"/>
      </top>
      <bottom style="hair">
        <color indexed="64"/>
      </bottom>
      <diagonal/>
    </border>
    <border>
      <left style="medium">
        <color indexed="64"/>
      </left>
      <right style="double">
        <color indexed="10"/>
      </right>
      <top style="hair">
        <color indexed="64"/>
      </top>
      <bottom style="hair">
        <color indexed="64"/>
      </bottom>
      <diagonal/>
    </border>
    <border>
      <left style="double">
        <color indexed="10"/>
      </left>
      <right style="hair">
        <color indexed="64"/>
      </right>
      <top style="hair">
        <color indexed="64"/>
      </top>
      <bottom style="hair">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thin">
        <color indexed="64"/>
      </top>
      <bottom style="double">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medium">
        <color indexed="64"/>
      </bottom>
      <diagonal/>
    </border>
    <border>
      <left style="medium">
        <color indexed="64"/>
      </left>
      <right/>
      <top style="thin">
        <color indexed="64"/>
      </top>
      <bottom style="thin">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double">
        <color indexed="10"/>
      </left>
      <right/>
      <top style="double">
        <color indexed="10"/>
      </top>
      <bottom style="double">
        <color indexed="10"/>
      </bottom>
      <diagonal/>
    </border>
    <border>
      <left/>
      <right/>
      <top style="hair">
        <color indexed="64"/>
      </top>
      <bottom style="hair">
        <color indexed="64"/>
      </bottom>
      <diagonal/>
    </border>
    <border>
      <left style="hair">
        <color indexed="64"/>
      </left>
      <right/>
      <top style="hair">
        <color indexed="64"/>
      </top>
      <bottom/>
      <diagonal/>
    </border>
    <border>
      <left style="hair">
        <color indexed="64"/>
      </left>
      <right/>
      <top style="hair">
        <color indexed="64"/>
      </top>
      <bottom style="medium">
        <color indexed="64"/>
      </bottom>
      <diagonal/>
    </border>
    <border>
      <left style="medium">
        <color indexed="64"/>
      </left>
      <right/>
      <top style="hair">
        <color indexed="64"/>
      </top>
      <bottom style="hair">
        <color indexed="64"/>
      </bottom>
      <diagonal/>
    </border>
    <border>
      <left style="hair">
        <color indexed="64"/>
      </left>
      <right/>
      <top/>
      <bottom/>
      <diagonal/>
    </border>
    <border>
      <left style="double">
        <color indexed="10"/>
      </left>
      <right style="hair">
        <color indexed="64"/>
      </right>
      <top style="double">
        <color indexed="10"/>
      </top>
      <bottom style="hair">
        <color indexed="64"/>
      </bottom>
      <diagonal/>
    </border>
    <border>
      <left style="hair">
        <color indexed="64"/>
      </left>
      <right style="hair">
        <color indexed="64"/>
      </right>
      <top style="double">
        <color indexed="10"/>
      </top>
      <bottom style="hair">
        <color indexed="64"/>
      </bottom>
      <diagonal/>
    </border>
    <border>
      <left/>
      <right/>
      <top style="double">
        <color indexed="10"/>
      </top>
      <bottom style="hair">
        <color indexed="64"/>
      </bottom>
      <diagonal/>
    </border>
    <border>
      <left style="hair">
        <color indexed="64"/>
      </left>
      <right/>
      <top style="double">
        <color indexed="10"/>
      </top>
      <bottom style="hair">
        <color indexed="64"/>
      </bottom>
      <diagonal/>
    </border>
    <border>
      <left style="double">
        <color indexed="10"/>
      </left>
      <right style="hair">
        <color indexed="64"/>
      </right>
      <top style="hair">
        <color indexed="64"/>
      </top>
      <bottom style="double">
        <color indexed="10"/>
      </bottom>
      <diagonal/>
    </border>
    <border>
      <left style="hair">
        <color indexed="64"/>
      </left>
      <right style="hair">
        <color indexed="64"/>
      </right>
      <top style="hair">
        <color indexed="64"/>
      </top>
      <bottom style="double">
        <color indexed="10"/>
      </bottom>
      <diagonal/>
    </border>
    <border>
      <left/>
      <right/>
      <top style="hair">
        <color indexed="64"/>
      </top>
      <bottom style="double">
        <color indexed="10"/>
      </bottom>
      <diagonal/>
    </border>
    <border>
      <left style="hair">
        <color indexed="64"/>
      </left>
      <right/>
      <top style="hair">
        <color indexed="64"/>
      </top>
      <bottom style="double">
        <color indexed="10"/>
      </bottom>
      <diagonal/>
    </border>
    <border>
      <left/>
      <right/>
      <top/>
      <bottom style="double">
        <color indexed="10"/>
      </bottom>
      <diagonal/>
    </border>
    <border>
      <left style="hair">
        <color indexed="64"/>
      </left>
      <right/>
      <top/>
      <bottom style="double">
        <color indexed="10"/>
      </bottom>
      <diagonal/>
    </border>
    <border>
      <left style="double">
        <color indexed="10"/>
      </left>
      <right/>
      <top style="hair">
        <color indexed="64"/>
      </top>
      <bottom style="double">
        <color indexed="10"/>
      </bottom>
      <diagonal/>
    </border>
    <border>
      <left/>
      <right/>
      <top style="double">
        <color indexed="10"/>
      </top>
      <bottom style="double">
        <color indexed="10"/>
      </bottom>
      <diagonal/>
    </border>
    <border>
      <left style="hair">
        <color indexed="64"/>
      </left>
      <right/>
      <top/>
      <bottom style="hair">
        <color indexed="64"/>
      </bottom>
      <diagonal/>
    </border>
    <border>
      <left/>
      <right style="medium">
        <color indexed="64"/>
      </right>
      <top style="hair">
        <color indexed="64"/>
      </top>
      <bottom style="hair">
        <color indexed="64"/>
      </bottom>
      <diagonal/>
    </border>
    <border>
      <left style="hair">
        <color indexed="64"/>
      </left>
      <right style="medium">
        <color indexed="64"/>
      </right>
      <top style="double">
        <color indexed="10"/>
      </top>
      <bottom style="hair">
        <color indexed="64"/>
      </bottom>
      <diagonal/>
    </border>
    <border>
      <left style="hair">
        <color indexed="64"/>
      </left>
      <right style="medium">
        <color indexed="64"/>
      </right>
      <top style="hair">
        <color indexed="64"/>
      </top>
      <bottom style="double">
        <color indexed="10"/>
      </bottom>
      <diagonal/>
    </border>
    <border>
      <left style="medium">
        <color indexed="64"/>
      </left>
      <right style="hair">
        <color indexed="64"/>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top style="medium">
        <color indexed="64"/>
      </top>
      <bottom style="double">
        <color indexed="10"/>
      </bottom>
      <diagonal/>
    </border>
    <border>
      <left/>
      <right style="hair">
        <color indexed="64"/>
      </right>
      <top/>
      <bottom style="hair">
        <color indexed="64"/>
      </bottom>
      <diagonal/>
    </border>
    <border>
      <left/>
      <right style="hair">
        <color indexed="64"/>
      </right>
      <top style="double">
        <color indexed="10"/>
      </top>
      <bottom style="hair">
        <color indexed="64"/>
      </bottom>
      <diagonal/>
    </border>
    <border>
      <left/>
      <right style="medium">
        <color indexed="64"/>
      </right>
      <top/>
      <bottom style="double">
        <color indexed="10"/>
      </bottom>
      <diagonal/>
    </border>
    <border>
      <left/>
      <right style="medium">
        <color indexed="64"/>
      </right>
      <top style="hair">
        <color indexed="64"/>
      </top>
      <bottom style="double">
        <color indexed="10"/>
      </bottom>
      <diagonal/>
    </border>
    <border>
      <left/>
      <right style="medium">
        <color indexed="64"/>
      </right>
      <top style="double">
        <color indexed="10"/>
      </top>
      <bottom style="hair">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medium">
        <color indexed="64"/>
      </top>
      <bottom style="thin">
        <color indexed="64"/>
      </bottom>
      <diagonal/>
    </border>
    <border>
      <left style="medium">
        <color indexed="64"/>
      </left>
      <right style="thin">
        <color rgb="FF3F3F3F"/>
      </right>
      <top style="medium">
        <color indexed="64"/>
      </top>
      <bottom style="thin">
        <color rgb="FF3F3F3F"/>
      </bottom>
      <diagonal/>
    </border>
    <border>
      <left style="thin">
        <color rgb="FF3F3F3F"/>
      </left>
      <right/>
      <top style="medium">
        <color indexed="64"/>
      </top>
      <bottom style="thin">
        <color rgb="FFB2B2B2"/>
      </bottom>
      <diagonal/>
    </border>
    <border>
      <left style="thin">
        <color rgb="FF3F3F3F"/>
      </left>
      <right style="thin">
        <color rgb="FF3F3F3F"/>
      </right>
      <top style="medium">
        <color indexed="64"/>
      </top>
      <bottom style="thin">
        <color rgb="FF3F3F3F"/>
      </bottom>
      <diagonal/>
    </border>
    <border>
      <left style="medium">
        <color indexed="64"/>
      </left>
      <right style="thin">
        <color rgb="FF3F3F3F"/>
      </right>
      <top style="medium">
        <color indexed="64"/>
      </top>
      <bottom style="thin">
        <color indexed="64"/>
      </bottom>
      <diagonal/>
    </border>
    <border>
      <left style="thin">
        <color rgb="FFB2B2B2"/>
      </left>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thin">
        <color rgb="FFB2B2B2"/>
      </bottom>
      <diagonal/>
    </border>
    <border>
      <left/>
      <right style="thin">
        <color rgb="FFB2B2B2"/>
      </right>
      <top style="thin">
        <color indexed="64"/>
      </top>
      <bottom style="thin">
        <color rgb="FFB2B2B2"/>
      </bottom>
      <diagonal/>
    </border>
    <border>
      <left/>
      <right style="thin">
        <color rgb="FFB2B2B2"/>
      </right>
      <top style="thin">
        <color rgb="FFB2B2B2"/>
      </top>
      <bottom style="thin">
        <color rgb="FFB2B2B2"/>
      </bottom>
      <diagonal/>
    </border>
    <border>
      <left style="thin">
        <color rgb="FFB2B2B2"/>
      </left>
      <right/>
      <top style="thin">
        <color rgb="FFB2B2B2"/>
      </top>
      <bottom style="thin">
        <color indexed="64"/>
      </bottom>
      <diagonal/>
    </border>
    <border>
      <left/>
      <right style="thin">
        <color rgb="FFB2B2B2"/>
      </right>
      <top style="thin">
        <color rgb="FFB2B2B2"/>
      </top>
      <bottom style="thin">
        <color indexed="64"/>
      </bottom>
      <diagonal/>
    </border>
    <border>
      <left style="medium">
        <color indexed="64"/>
      </left>
      <right/>
      <top style="medium">
        <color indexed="64"/>
      </top>
      <bottom style="thin">
        <color rgb="FFB2B2B2"/>
      </bottom>
      <diagonal/>
    </border>
    <border>
      <left/>
      <right style="thin">
        <color rgb="FFB2B2B2"/>
      </right>
      <top style="medium">
        <color indexed="64"/>
      </top>
      <bottom style="thin">
        <color rgb="FFB2B2B2"/>
      </bottom>
      <diagonal/>
    </border>
    <border>
      <left style="thin">
        <color rgb="FFB2B2B2"/>
      </left>
      <right style="thin">
        <color rgb="FFB2B2B2"/>
      </right>
      <top/>
      <bottom style="thin">
        <color rgb="FFB2B2B2"/>
      </bottom>
      <diagonal/>
    </border>
    <border>
      <left style="thin">
        <color rgb="FFB2B2B2"/>
      </left>
      <right/>
      <top/>
      <bottom style="thin">
        <color rgb="FFB2B2B2"/>
      </bottom>
      <diagonal/>
    </border>
    <border>
      <left style="thin">
        <color rgb="FFB2B2B2"/>
      </left>
      <right style="medium">
        <color indexed="64"/>
      </right>
      <top/>
      <bottom style="thin">
        <color rgb="FFB2B2B2"/>
      </bottom>
      <diagonal/>
    </border>
    <border>
      <left style="medium">
        <color indexed="64"/>
      </left>
      <right/>
      <top style="thin">
        <color rgb="FFB2B2B2"/>
      </top>
      <bottom style="thin">
        <color rgb="FFB2B2B2"/>
      </bottom>
      <diagonal/>
    </border>
    <border>
      <left style="medium">
        <color indexed="64"/>
      </left>
      <right/>
      <top style="thin">
        <color rgb="FFB2B2B2"/>
      </top>
      <bottom style="medium">
        <color indexed="64"/>
      </bottom>
      <diagonal/>
    </border>
    <border>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rgb="FFB2B2B2"/>
      </left>
      <right style="thin">
        <color rgb="FFB2B2B2"/>
      </right>
      <top style="medium">
        <color indexed="64"/>
      </top>
      <bottom style="thin">
        <color rgb="FFB2B2B2"/>
      </bottom>
      <diagonal/>
    </border>
    <border>
      <left style="thin">
        <color rgb="FFB2B2B2"/>
      </left>
      <right/>
      <top style="medium">
        <color indexed="64"/>
      </top>
      <bottom style="thin">
        <color rgb="FFB2B2B2"/>
      </bottom>
      <diagonal/>
    </border>
    <border>
      <left style="medium">
        <color indexed="64"/>
      </left>
      <right/>
      <top style="thin">
        <color rgb="FFB2B2B2"/>
      </top>
      <bottom style="thin">
        <color indexed="64"/>
      </bottom>
      <diagonal/>
    </border>
    <border>
      <left style="thin">
        <color rgb="FFB2B2B2"/>
      </left>
      <right style="thin">
        <color rgb="FFB2B2B2"/>
      </right>
      <top style="thin">
        <color rgb="FFB2B2B2"/>
      </top>
      <bottom/>
      <diagonal/>
    </border>
    <border>
      <left/>
      <right style="thin">
        <color rgb="FFB2B2B2"/>
      </right>
      <top style="thin">
        <color indexed="64"/>
      </top>
      <bottom style="thin">
        <color indexed="64"/>
      </bottom>
      <diagonal/>
    </border>
    <border>
      <left style="thin">
        <color rgb="FFB2B2B2"/>
      </left>
      <right style="thin">
        <color rgb="FFB2B2B2"/>
      </right>
      <top style="thin">
        <color indexed="64"/>
      </top>
      <bottom style="thin">
        <color indexed="64"/>
      </bottom>
      <diagonal/>
    </border>
    <border>
      <left style="thin">
        <color rgb="FFB2B2B2"/>
      </left>
      <right/>
      <top style="thin">
        <color indexed="64"/>
      </top>
      <bottom style="thin">
        <color indexed="64"/>
      </bottom>
      <diagonal/>
    </border>
    <border>
      <left style="thin">
        <color rgb="FFB2B2B2"/>
      </left>
      <right style="medium">
        <color indexed="64"/>
      </right>
      <top style="thin">
        <color indexed="64"/>
      </top>
      <bottom style="thin">
        <color indexed="64"/>
      </bottom>
      <diagonal/>
    </border>
    <border>
      <left style="medium">
        <color indexed="64"/>
      </left>
      <right/>
      <top style="thin">
        <color indexed="64"/>
      </top>
      <bottom style="thin">
        <color rgb="FFB2B2B2"/>
      </bottom>
      <diagonal/>
    </border>
    <border>
      <left/>
      <right style="thin">
        <color rgb="FFB2B2B2"/>
      </right>
      <top style="thin">
        <color indexed="64"/>
      </top>
      <bottom style="medium">
        <color indexed="64"/>
      </bottom>
      <diagonal/>
    </border>
    <border>
      <left style="thin">
        <color rgb="FFB2B2B2"/>
      </left>
      <right style="thin">
        <color rgb="FFB2B2B2"/>
      </right>
      <top style="thin">
        <color indexed="64"/>
      </top>
      <bottom style="medium">
        <color indexed="64"/>
      </bottom>
      <diagonal/>
    </border>
    <border>
      <left style="thin">
        <color rgb="FFB2B2B2"/>
      </left>
      <right style="medium">
        <color indexed="64"/>
      </right>
      <top style="thin">
        <color indexed="64"/>
      </top>
      <bottom style="medium">
        <color indexed="64"/>
      </bottom>
      <diagonal/>
    </border>
    <border>
      <left style="thin">
        <color rgb="FFB2B2B2"/>
      </left>
      <right style="thin">
        <color rgb="FFB2B2B2"/>
      </right>
      <top style="thin">
        <color indexed="64"/>
      </top>
      <bottom style="thin">
        <color rgb="FFB2B2B2"/>
      </bottom>
      <diagonal/>
    </border>
    <border>
      <left style="thin">
        <color rgb="FFB2B2B2"/>
      </left>
      <right style="thin">
        <color rgb="FFB2B2B2"/>
      </right>
      <top style="thin">
        <color rgb="FFB2B2B2"/>
      </top>
      <bottom style="thin">
        <color indexed="64"/>
      </bottom>
      <diagonal/>
    </border>
    <border>
      <left style="medium">
        <color indexed="64"/>
      </left>
      <right style="thin">
        <color rgb="FFB2B2B2"/>
      </right>
      <top style="thin">
        <color indexed="64"/>
      </top>
      <bottom style="thin">
        <color rgb="FFB2B2B2"/>
      </bottom>
      <diagonal/>
    </border>
    <border>
      <left style="hair">
        <color indexed="64"/>
      </left>
      <right style="hair">
        <color indexed="64"/>
      </right>
      <top style="hair">
        <color indexed="64"/>
      </top>
      <bottom style="double">
        <color rgb="FFFF00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double">
        <color theme="0" tint="-0.499984740745262"/>
      </left>
      <right style="double">
        <color theme="0" tint="-0.499984740745262"/>
      </right>
      <top style="double">
        <color theme="0" tint="-0.499984740745262"/>
      </top>
      <bottom style="thin">
        <color theme="0" tint="-0.499984740745262"/>
      </bottom>
      <diagonal/>
    </border>
    <border>
      <left style="double">
        <color theme="0"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double">
        <color theme="0" tint="-0.499984740745262"/>
      </left>
      <right style="thin">
        <color theme="0" tint="-0.499984740745262"/>
      </right>
      <top style="thin">
        <color theme="0" tint="-0.499984740745262"/>
      </top>
      <bottom style="double">
        <color theme="0" tint="-0.499984740745262"/>
      </bottom>
      <diagonal/>
    </border>
    <border>
      <left style="thin">
        <color theme="0" tint="-0.499984740745262"/>
      </left>
      <right style="double">
        <color theme="0" tint="-0.499984740745262"/>
      </right>
      <top style="thin">
        <color theme="0" tint="-0.499984740745262"/>
      </top>
      <bottom style="thin">
        <color theme="0" tint="-0.499984740745262"/>
      </bottom>
      <diagonal/>
    </border>
    <border>
      <left style="thin">
        <color theme="0" tint="-0.499984740745262"/>
      </left>
      <right style="double">
        <color theme="0" tint="-0.499984740745262"/>
      </right>
      <top style="thin">
        <color theme="0" tint="-0.499984740745262"/>
      </top>
      <bottom style="double">
        <color theme="0" tint="-0.499984740745262"/>
      </bottom>
      <diagonal/>
    </border>
    <border>
      <left style="double">
        <color theme="0" tint="-0.499984740745262"/>
      </left>
      <right style="double">
        <color theme="0" tint="-0.499984740745262"/>
      </right>
      <top style="thin">
        <color theme="0" tint="-0.499984740745262"/>
      </top>
      <bottom/>
      <diagonal/>
    </border>
    <border>
      <left style="thin">
        <color rgb="FF3F3F3F"/>
      </left>
      <right/>
      <top style="medium">
        <color indexed="64"/>
      </top>
      <bottom/>
      <diagonal/>
    </border>
    <border>
      <left/>
      <right style="thin">
        <color rgb="FF3F3F3F"/>
      </right>
      <top style="medium">
        <color indexed="64"/>
      </top>
      <bottom style="thin">
        <color indexed="64"/>
      </bottom>
      <diagonal/>
    </border>
    <border>
      <left style="double">
        <color theme="0" tint="-0.499984740745262"/>
      </left>
      <right style="thin">
        <color theme="0" tint="-0.499984740745262"/>
      </right>
      <top style="double">
        <color theme="0" tint="-0.499984740745262"/>
      </top>
      <bottom style="thin">
        <color theme="0" tint="-0.499984740745262"/>
      </bottom>
      <diagonal/>
    </border>
    <border>
      <left style="thin">
        <color theme="0" tint="-0.499984740745262"/>
      </left>
      <right style="double">
        <color theme="0" tint="-0.499984740745262"/>
      </right>
      <top style="double">
        <color theme="0" tint="-0.499984740745262"/>
      </top>
      <bottom style="thin">
        <color theme="0" tint="-0.499984740745262"/>
      </bottom>
      <diagonal/>
    </border>
    <border>
      <left style="double">
        <color theme="0" tint="-0.499984740745262"/>
      </left>
      <right style="double">
        <color theme="0" tint="-0.499984740745262"/>
      </right>
      <top style="thin">
        <color theme="0" tint="-0.499984740745262"/>
      </top>
      <bottom style="double">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s>
  <cellStyleXfs count="11">
    <xf numFmtId="0" fontId="0" fillId="0" borderId="0"/>
    <xf numFmtId="0" fontId="38" fillId="8" borderId="0" applyNumberFormat="0" applyBorder="0" applyAlignment="0" applyProtection="0"/>
    <xf numFmtId="0" fontId="39" fillId="9"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41" fillId="0" borderId="0" applyNumberFormat="0" applyFill="0" applyBorder="0" applyAlignment="0" applyProtection="0"/>
    <xf numFmtId="0" fontId="37" fillId="0" borderId="0"/>
    <xf numFmtId="0" fontId="20" fillId="11" borderId="102" applyNumberFormat="0" applyFont="0" applyAlignment="0" applyProtection="0"/>
    <xf numFmtId="0" fontId="42" fillId="10" borderId="103" applyNumberFormat="0" applyAlignment="0" applyProtection="0"/>
    <xf numFmtId="9" fontId="1" fillId="0" borderId="0" applyFont="0" applyFill="0" applyBorder="0" applyAlignment="0" applyProtection="0"/>
    <xf numFmtId="0" fontId="43" fillId="0" borderId="0" applyNumberFormat="0" applyFill="0" applyBorder="0" applyAlignment="0" applyProtection="0"/>
  </cellStyleXfs>
  <cellXfs count="723">
    <xf numFmtId="0" fontId="0" fillId="0" borderId="0" xfId="0"/>
    <xf numFmtId="0" fontId="0" fillId="0" borderId="0" xfId="0" applyFill="1"/>
    <xf numFmtId="0" fontId="4" fillId="2" borderId="0" xfId="0" applyFont="1" applyFill="1" applyAlignment="1">
      <alignment horizontal="center"/>
    </xf>
    <xf numFmtId="0" fontId="2" fillId="3" borderId="0" xfId="0" applyFont="1" applyFill="1" applyAlignment="1">
      <alignment horizontal="left"/>
    </xf>
    <xf numFmtId="0" fontId="2" fillId="3" borderId="0" xfId="0" applyFont="1" applyFill="1" applyAlignment="1">
      <alignment horizontal="center"/>
    </xf>
    <xf numFmtId="0" fontId="2" fillId="3" borderId="0" xfId="0" applyFont="1" applyFill="1"/>
    <xf numFmtId="0" fontId="2" fillId="3" borderId="0" xfId="0" applyFont="1" applyFill="1" applyAlignment="1">
      <alignment horizontal="center" wrapText="1"/>
    </xf>
    <xf numFmtId="0" fontId="8" fillId="3" borderId="0" xfId="0" applyFont="1" applyFill="1"/>
    <xf numFmtId="0" fontId="3" fillId="0" borderId="0" xfId="0" applyFont="1" applyFill="1" applyBorder="1" applyAlignment="1">
      <alignment horizontal="left"/>
    </xf>
    <xf numFmtId="0" fontId="2" fillId="0" borderId="0" xfId="0" applyFont="1" applyFill="1" applyBorder="1" applyAlignment="1">
      <alignment horizontal="center"/>
    </xf>
    <xf numFmtId="0" fontId="2" fillId="0" borderId="1" xfId="0" applyFont="1" applyFill="1" applyBorder="1" applyAlignment="1">
      <alignment horizontal="center"/>
    </xf>
    <xf numFmtId="0" fontId="2" fillId="0" borderId="0" xfId="0" applyFont="1" applyFill="1" applyBorder="1" applyAlignment="1">
      <alignment horizontal="left"/>
    </xf>
    <xf numFmtId="0" fontId="10" fillId="0" borderId="0" xfId="0" applyFont="1" applyFill="1" applyBorder="1" applyAlignment="1">
      <alignment horizontal="center"/>
    </xf>
    <xf numFmtId="0" fontId="2" fillId="0" borderId="0" xfId="0" applyFont="1" applyFill="1" applyBorder="1" applyAlignment="1">
      <alignment horizontal="right"/>
    </xf>
    <xf numFmtId="164" fontId="10" fillId="0" borderId="0" xfId="0" applyNumberFormat="1" applyFont="1" applyFill="1" applyBorder="1" applyAlignment="1">
      <alignment horizontal="center"/>
    </xf>
    <xf numFmtId="0" fontId="10" fillId="0" borderId="1" xfId="0" applyFont="1" applyFill="1" applyBorder="1" applyAlignment="1">
      <alignment horizontal="center"/>
    </xf>
    <xf numFmtId="0" fontId="10" fillId="0" borderId="1" xfId="0" applyFont="1" applyFill="1" applyBorder="1"/>
    <xf numFmtId="0" fontId="3" fillId="0" borderId="2" xfId="0" applyFont="1" applyFill="1" applyBorder="1" applyAlignment="1">
      <alignment horizontal="left"/>
    </xf>
    <xf numFmtId="0" fontId="2" fillId="0" borderId="2" xfId="0" applyFont="1" applyFill="1" applyBorder="1" applyAlignment="1">
      <alignment horizontal="left"/>
    </xf>
    <xf numFmtId="0" fontId="10" fillId="0" borderId="2" xfId="0" applyFont="1" applyFill="1" applyBorder="1" applyAlignment="1">
      <alignment horizontal="center"/>
    </xf>
    <xf numFmtId="164" fontId="10" fillId="0" borderId="3" xfId="0" applyNumberFormat="1" applyFont="1" applyFill="1" applyBorder="1" applyAlignment="1">
      <alignment horizontal="center"/>
    </xf>
    <xf numFmtId="0" fontId="2" fillId="0" borderId="4" xfId="0" applyFont="1" applyFill="1" applyBorder="1" applyAlignment="1">
      <alignment horizontal="right"/>
    </xf>
    <xf numFmtId="164" fontId="10" fillId="0" borderId="4" xfId="0" applyNumberFormat="1" applyFont="1" applyFill="1" applyBorder="1" applyAlignment="1">
      <alignment horizontal="center"/>
    </xf>
    <xf numFmtId="0" fontId="10" fillId="0" borderId="5" xfId="0" applyFont="1" applyFill="1" applyBorder="1"/>
    <xf numFmtId="0" fontId="10" fillId="0" borderId="3" xfId="0" applyFont="1" applyFill="1" applyBorder="1"/>
    <xf numFmtId="0" fontId="2" fillId="4" borderId="6" xfId="0" applyFont="1" applyFill="1" applyBorder="1" applyAlignment="1">
      <alignment horizontal="left"/>
    </xf>
    <xf numFmtId="0" fontId="2" fillId="4" borderId="0" xfId="0" applyFont="1" applyFill="1" applyBorder="1"/>
    <xf numFmtId="0" fontId="2" fillId="4" borderId="1" xfId="0" applyFont="1" applyFill="1" applyBorder="1"/>
    <xf numFmtId="0" fontId="2" fillId="4" borderId="0" xfId="0" applyFont="1" applyFill="1" applyBorder="1" applyAlignment="1">
      <alignment horizontal="left"/>
    </xf>
    <xf numFmtId="0" fontId="2" fillId="4" borderId="0" xfId="0" applyFont="1" applyFill="1" applyBorder="1" applyAlignment="1">
      <alignment horizontal="center"/>
    </xf>
    <xf numFmtId="0" fontId="2" fillId="4" borderId="7" xfId="0" applyFont="1" applyFill="1" applyBorder="1" applyAlignment="1">
      <alignment horizontal="center"/>
    </xf>
    <xf numFmtId="0" fontId="2" fillId="4" borderId="7" xfId="0" applyFont="1" applyFill="1" applyBorder="1"/>
    <xf numFmtId="0" fontId="2" fillId="4" borderId="8" xfId="0" applyFont="1" applyFill="1" applyBorder="1"/>
    <xf numFmtId="0" fontId="10" fillId="0" borderId="2" xfId="0" applyFont="1" applyFill="1" applyBorder="1"/>
    <xf numFmtId="2" fontId="10" fillId="0" borderId="3" xfId="0" applyNumberFormat="1" applyFont="1" applyFill="1" applyBorder="1"/>
    <xf numFmtId="0" fontId="2" fillId="4" borderId="9" xfId="0" applyFont="1" applyFill="1" applyBorder="1" applyAlignment="1">
      <alignment horizontal="left"/>
    </xf>
    <xf numFmtId="0" fontId="2" fillId="4" borderId="10" xfId="0" applyFont="1" applyFill="1" applyBorder="1"/>
    <xf numFmtId="0" fontId="2" fillId="4" borderId="11" xfId="0" applyFont="1" applyFill="1" applyBorder="1"/>
    <xf numFmtId="164" fontId="12" fillId="4" borderId="12" xfId="0" applyNumberFormat="1" applyFont="1" applyFill="1" applyBorder="1" applyAlignment="1">
      <alignment horizontal="center"/>
    </xf>
    <xf numFmtId="164" fontId="3" fillId="0" borderId="6" xfId="0" applyNumberFormat="1" applyFont="1" applyFill="1" applyBorder="1" applyAlignment="1">
      <alignment horizontal="center"/>
    </xf>
    <xf numFmtId="164" fontId="3" fillId="0" borderId="13" xfId="0" applyNumberFormat="1" applyFont="1" applyFill="1" applyBorder="1" applyAlignment="1">
      <alignment horizontal="center"/>
    </xf>
    <xf numFmtId="0" fontId="3" fillId="0" borderId="6" xfId="0" applyFont="1" applyFill="1" applyBorder="1" applyAlignment="1">
      <alignment horizontal="left"/>
    </xf>
    <xf numFmtId="0" fontId="3" fillId="0" borderId="14" xfId="0" applyFont="1" applyFill="1" applyBorder="1" applyAlignment="1">
      <alignment horizontal="left"/>
    </xf>
    <xf numFmtId="0" fontId="2" fillId="0" borderId="0"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164" fontId="16" fillId="4" borderId="6" xfId="0" applyNumberFormat="1" applyFont="1" applyFill="1" applyBorder="1" applyAlignment="1">
      <alignment horizontal="center"/>
    </xf>
    <xf numFmtId="0" fontId="16" fillId="4" borderId="0" xfId="0" applyFont="1" applyFill="1" applyBorder="1"/>
    <xf numFmtId="3" fontId="2" fillId="0" borderId="0" xfId="0" applyNumberFormat="1" applyFont="1" applyFill="1" applyBorder="1" applyAlignment="1">
      <alignment horizontal="center"/>
    </xf>
    <xf numFmtId="0" fontId="2" fillId="5" borderId="15" xfId="0" applyFont="1" applyFill="1" applyBorder="1" applyAlignment="1" applyProtection="1">
      <alignment horizontal="center"/>
      <protection locked="0"/>
    </xf>
    <xf numFmtId="0" fontId="2" fillId="0" borderId="0" xfId="0" applyFont="1" applyFill="1" applyBorder="1" applyAlignment="1" applyProtection="1">
      <alignment horizontal="center"/>
    </xf>
    <xf numFmtId="0" fontId="2" fillId="6" borderId="0" xfId="0" applyFont="1" applyFill="1" applyProtection="1"/>
    <xf numFmtId="0" fontId="8" fillId="6" borderId="0" xfId="0" applyFont="1" applyFill="1" applyProtection="1"/>
    <xf numFmtId="0" fontId="2" fillId="6" borderId="0" xfId="0" applyFont="1" applyFill="1" applyAlignment="1" applyProtection="1">
      <alignment horizontal="center"/>
    </xf>
    <xf numFmtId="0" fontId="2" fillId="2" borderId="16" xfId="0" applyFont="1" applyFill="1" applyBorder="1" applyAlignment="1" applyProtection="1">
      <alignment horizontal="center"/>
    </xf>
    <xf numFmtId="0" fontId="8" fillId="2" borderId="16" xfId="0" applyFont="1" applyFill="1" applyBorder="1" applyProtection="1"/>
    <xf numFmtId="0" fontId="2" fillId="2" borderId="16" xfId="0" applyFont="1" applyFill="1" applyBorder="1" applyProtection="1"/>
    <xf numFmtId="0" fontId="2" fillId="2" borderId="10" xfId="0" applyFont="1" applyFill="1" applyBorder="1" applyProtection="1"/>
    <xf numFmtId="0" fontId="2" fillId="2" borderId="17" xfId="0" applyFont="1" applyFill="1" applyBorder="1" applyAlignment="1" applyProtection="1">
      <alignment horizontal="center" wrapText="1"/>
    </xf>
    <xf numFmtId="0" fontId="8" fillId="2" borderId="17" xfId="0" applyFont="1" applyFill="1" applyBorder="1" applyAlignment="1" applyProtection="1">
      <alignment horizontal="center" wrapText="1"/>
    </xf>
    <xf numFmtId="0" fontId="8" fillId="2" borderId="0" xfId="0" applyFont="1" applyFill="1" applyBorder="1" applyAlignment="1" applyProtection="1">
      <alignment wrapText="1"/>
    </xf>
    <xf numFmtId="0" fontId="3" fillId="2" borderId="18" xfId="0" applyFont="1" applyFill="1" applyBorder="1" applyAlignment="1" applyProtection="1">
      <alignment horizontal="center" wrapText="1"/>
    </xf>
    <xf numFmtId="0" fontId="3" fillId="2" borderId="10" xfId="0" applyFont="1" applyFill="1" applyBorder="1" applyAlignment="1" applyProtection="1">
      <alignment horizontal="center" wrapText="1"/>
    </xf>
    <xf numFmtId="0" fontId="3" fillId="2" borderId="19" xfId="0" applyFont="1" applyFill="1" applyBorder="1" applyAlignment="1" applyProtection="1">
      <alignment horizontal="center" wrapText="1"/>
    </xf>
    <xf numFmtId="0" fontId="7" fillId="2" borderId="19" xfId="0" applyFont="1" applyFill="1" applyBorder="1" applyAlignment="1" applyProtection="1">
      <alignment horizontal="center" wrapText="1"/>
    </xf>
    <xf numFmtId="0" fontId="7" fillId="2" borderId="20" xfId="0" applyFont="1" applyFill="1" applyBorder="1" applyAlignment="1" applyProtection="1">
      <alignment horizontal="center" wrapText="1"/>
    </xf>
    <xf numFmtId="0" fontId="7" fillId="0" borderId="0" xfId="0" applyFont="1" applyFill="1" applyBorder="1" applyAlignment="1" applyProtection="1">
      <alignment horizontal="center" wrapText="1"/>
    </xf>
    <xf numFmtId="0" fontId="2" fillId="2" borderId="11" xfId="0" applyFont="1" applyFill="1" applyBorder="1" applyProtection="1"/>
    <xf numFmtId="165" fontId="2" fillId="0" borderId="21" xfId="0" applyNumberFormat="1" applyFont="1" applyFill="1" applyBorder="1" applyAlignment="1" applyProtection="1">
      <alignment horizontal="center"/>
    </xf>
    <xf numFmtId="165" fontId="6" fillId="0" borderId="0" xfId="0" applyNumberFormat="1" applyFont="1" applyFill="1" applyBorder="1" applyAlignment="1" applyProtection="1">
      <alignment horizontal="center"/>
    </xf>
    <xf numFmtId="165" fontId="2" fillId="0" borderId="22" xfId="0" applyNumberFormat="1" applyFont="1" applyFill="1" applyBorder="1" applyAlignment="1" applyProtection="1">
      <alignment horizontal="center"/>
    </xf>
    <xf numFmtId="165" fontId="2" fillId="0" borderId="16" xfId="0" applyNumberFormat="1" applyFont="1" applyFill="1" applyBorder="1" applyAlignment="1" applyProtection="1">
      <alignment horizontal="center"/>
    </xf>
    <xf numFmtId="165" fontId="6" fillId="0" borderId="16" xfId="0" applyNumberFormat="1" applyFont="1" applyFill="1" applyBorder="1" applyAlignment="1" applyProtection="1">
      <alignment horizontal="center"/>
    </xf>
    <xf numFmtId="0" fontId="6" fillId="0" borderId="0" xfId="0" applyFont="1" applyFill="1" applyBorder="1" applyAlignment="1" applyProtection="1">
      <alignment horizontal="center"/>
    </xf>
    <xf numFmtId="165" fontId="2" fillId="0" borderId="23" xfId="0" applyNumberFormat="1" applyFont="1" applyFill="1" applyBorder="1" applyAlignment="1" applyProtection="1">
      <alignment horizontal="center"/>
    </xf>
    <xf numFmtId="165" fontId="2" fillId="0" borderId="24" xfId="0" applyNumberFormat="1" applyFont="1" applyFill="1" applyBorder="1" applyAlignment="1" applyProtection="1">
      <alignment horizontal="center"/>
    </xf>
    <xf numFmtId="165" fontId="2" fillId="0" borderId="25" xfId="0" applyNumberFormat="1" applyFont="1" applyFill="1" applyBorder="1" applyAlignment="1" applyProtection="1">
      <alignment horizontal="center"/>
    </xf>
    <xf numFmtId="165" fontId="6" fillId="0" borderId="25" xfId="0" applyNumberFormat="1" applyFont="1" applyFill="1" applyBorder="1" applyAlignment="1" applyProtection="1">
      <alignment horizontal="center"/>
    </xf>
    <xf numFmtId="165" fontId="2" fillId="0" borderId="26" xfId="0" applyNumberFormat="1" applyFont="1" applyFill="1" applyBorder="1" applyAlignment="1" applyProtection="1">
      <alignment horizontal="center"/>
    </xf>
    <xf numFmtId="0" fontId="2" fillId="0" borderId="6" xfId="0" applyFont="1" applyFill="1" applyBorder="1" applyProtection="1"/>
    <xf numFmtId="49" fontId="2" fillId="0" borderId="0" xfId="0" applyNumberFormat="1" applyFont="1" applyFill="1" applyBorder="1" applyAlignment="1" applyProtection="1">
      <alignment horizontal="center"/>
    </xf>
    <xf numFmtId="0" fontId="8" fillId="0" borderId="0" xfId="0" applyFont="1" applyFill="1" applyBorder="1" applyAlignment="1" applyProtection="1">
      <alignment horizontal="center"/>
    </xf>
    <xf numFmtId="165" fontId="2" fillId="0" borderId="0" xfId="0" applyNumberFormat="1" applyFont="1" applyFill="1" applyBorder="1" applyAlignment="1" applyProtection="1">
      <alignment horizontal="center"/>
    </xf>
    <xf numFmtId="0" fontId="6" fillId="0" borderId="0" xfId="0" applyFont="1" applyFill="1" applyBorder="1" applyProtection="1"/>
    <xf numFmtId="0" fontId="2" fillId="0" borderId="1" xfId="0" applyFont="1" applyFill="1" applyBorder="1" applyProtection="1"/>
    <xf numFmtId="0" fontId="3" fillId="0" borderId="6" xfId="0" applyFont="1" applyFill="1" applyBorder="1" applyAlignment="1" applyProtection="1">
      <alignment horizontal="right"/>
    </xf>
    <xf numFmtId="0" fontId="13" fillId="0" borderId="0" xfId="0" applyFont="1" applyFill="1" applyBorder="1" applyProtection="1"/>
    <xf numFmtId="0" fontId="10" fillId="0" borderId="6" xfId="0" applyFont="1" applyFill="1" applyBorder="1" applyProtection="1"/>
    <xf numFmtId="0" fontId="10" fillId="0" borderId="0" xfId="0" applyFont="1" applyFill="1" applyBorder="1" applyAlignment="1" applyProtection="1">
      <alignment horizontal="center"/>
    </xf>
    <xf numFmtId="0" fontId="13" fillId="0" borderId="0" xfId="0" applyFont="1" applyFill="1" applyBorder="1" applyAlignment="1" applyProtection="1">
      <alignment horizontal="center"/>
    </xf>
    <xf numFmtId="0" fontId="5" fillId="0" borderId="0" xfId="0" applyFont="1" applyFill="1" applyBorder="1" applyAlignment="1" applyProtection="1">
      <alignment horizontal="center"/>
    </xf>
    <xf numFmtId="0" fontId="3" fillId="2" borderId="18" xfId="0" applyFont="1" applyFill="1" applyBorder="1" applyAlignment="1" applyProtection="1">
      <alignment horizontal="center"/>
    </xf>
    <xf numFmtId="49" fontId="3" fillId="2" borderId="10" xfId="0" applyNumberFormat="1" applyFont="1" applyFill="1" applyBorder="1" applyAlignment="1" applyProtection="1">
      <alignment horizontal="center"/>
    </xf>
    <xf numFmtId="0" fontId="3" fillId="2" borderId="19" xfId="0" applyFont="1" applyFill="1" applyBorder="1" applyAlignment="1" applyProtection="1">
      <alignment horizontal="center"/>
    </xf>
    <xf numFmtId="0" fontId="9" fillId="2" borderId="19" xfId="0" applyFont="1" applyFill="1" applyBorder="1" applyAlignment="1" applyProtection="1">
      <alignment horizontal="center"/>
    </xf>
    <xf numFmtId="0" fontId="7" fillId="2" borderId="19" xfId="0" applyFont="1" applyFill="1" applyBorder="1" applyAlignment="1" applyProtection="1">
      <alignment horizontal="center"/>
    </xf>
    <xf numFmtId="0" fontId="3" fillId="2" borderId="10" xfId="0" applyFont="1" applyFill="1" applyBorder="1" applyAlignment="1" applyProtection="1">
      <alignment horizontal="center"/>
    </xf>
    <xf numFmtId="0" fontId="10" fillId="0" borderId="0" xfId="0" applyFont="1" applyFill="1" applyBorder="1" applyProtection="1"/>
    <xf numFmtId="165" fontId="2" fillId="0" borderId="0" xfId="0" applyNumberFormat="1" applyFont="1" applyFill="1" applyBorder="1" applyAlignment="1" applyProtection="1">
      <alignment horizontal="left"/>
    </xf>
    <xf numFmtId="0" fontId="2" fillId="0" borderId="0" xfId="0" applyFont="1" applyFill="1" applyBorder="1" applyProtection="1"/>
    <xf numFmtId="0" fontId="2" fillId="0" borderId="12" xfId="0" applyFont="1" applyFill="1" applyBorder="1" applyProtection="1"/>
    <xf numFmtId="49" fontId="2" fillId="0" borderId="7" xfId="0" applyNumberFormat="1" applyFont="1" applyFill="1" applyBorder="1" applyAlignment="1" applyProtection="1">
      <alignment horizontal="center"/>
    </xf>
    <xf numFmtId="0" fontId="2" fillId="0" borderId="7" xfId="0" applyFont="1" applyFill="1" applyBorder="1" applyAlignment="1" applyProtection="1">
      <alignment horizontal="center"/>
    </xf>
    <xf numFmtId="0" fontId="3" fillId="0" borderId="12" xfId="0" applyFont="1" applyFill="1" applyBorder="1" applyAlignment="1" applyProtection="1">
      <alignment horizontal="right"/>
    </xf>
    <xf numFmtId="3" fontId="2" fillId="0" borderId="7" xfId="0" applyNumberFormat="1" applyFont="1" applyFill="1" applyBorder="1" applyAlignment="1" applyProtection="1"/>
    <xf numFmtId="0" fontId="8" fillId="0" borderId="7" xfId="0" applyFont="1" applyFill="1" applyBorder="1" applyAlignment="1" applyProtection="1">
      <alignment horizontal="center"/>
    </xf>
    <xf numFmtId="0" fontId="2" fillId="0" borderId="7" xfId="0" applyFont="1" applyFill="1" applyBorder="1" applyProtection="1"/>
    <xf numFmtId="0" fontId="2" fillId="0" borderId="8" xfId="0" applyFont="1" applyFill="1" applyBorder="1" applyProtection="1"/>
    <xf numFmtId="49" fontId="2" fillId="6" borderId="0" xfId="0" applyNumberFormat="1" applyFont="1" applyFill="1" applyAlignment="1" applyProtection="1">
      <alignment horizontal="center"/>
    </xf>
    <xf numFmtId="0" fontId="8" fillId="6" borderId="0" xfId="0" applyFont="1" applyFill="1" applyAlignment="1" applyProtection="1">
      <alignment horizontal="center"/>
    </xf>
    <xf numFmtId="0" fontId="3" fillId="6" borderId="0" xfId="0" applyFont="1" applyFill="1" applyProtection="1"/>
    <xf numFmtId="0" fontId="15" fillId="2" borderId="27" xfId="0" applyFont="1" applyFill="1" applyBorder="1" applyAlignment="1" applyProtection="1">
      <alignment horizontal="center"/>
    </xf>
    <xf numFmtId="0" fontId="14" fillId="6" borderId="0" xfId="0" applyFont="1" applyFill="1" applyProtection="1"/>
    <xf numFmtId="0" fontId="15" fillId="2" borderId="28" xfId="0" applyFont="1" applyFill="1" applyBorder="1" applyAlignment="1" applyProtection="1">
      <alignment horizontal="center"/>
    </xf>
    <xf numFmtId="0" fontId="8" fillId="2" borderId="29" xfId="0" applyFont="1" applyFill="1" applyBorder="1" applyProtection="1"/>
    <xf numFmtId="0" fontId="2" fillId="2" borderId="30" xfId="0" applyFont="1" applyFill="1" applyBorder="1" applyProtection="1"/>
    <xf numFmtId="0" fontId="2" fillId="2" borderId="31" xfId="0" applyFont="1" applyFill="1" applyBorder="1" applyAlignment="1" applyProtection="1">
      <alignment horizontal="center"/>
    </xf>
    <xf numFmtId="0" fontId="2" fillId="2" borderId="17" xfId="0" applyFont="1" applyFill="1" applyBorder="1" applyAlignment="1" applyProtection="1">
      <alignment horizontal="center"/>
    </xf>
    <xf numFmtId="0" fontId="14" fillId="6" borderId="0" xfId="0" applyFont="1" applyFill="1" applyAlignment="1" applyProtection="1">
      <alignment horizontal="center"/>
    </xf>
    <xf numFmtId="0" fontId="8" fillId="0" borderId="32" xfId="0" applyFont="1" applyFill="1" applyBorder="1" applyProtection="1"/>
    <xf numFmtId="0" fontId="2" fillId="0" borderId="33" xfId="0" applyFont="1" applyFill="1" applyBorder="1" applyAlignment="1" applyProtection="1">
      <alignment horizontal="center"/>
    </xf>
    <xf numFmtId="0" fontId="2" fillId="0" borderId="34" xfId="0" applyFont="1" applyFill="1" applyBorder="1" applyProtection="1"/>
    <xf numFmtId="0" fontId="2" fillId="0" borderId="32" xfId="0" applyFont="1" applyFill="1" applyBorder="1" applyProtection="1"/>
    <xf numFmtId="0" fontId="2" fillId="0" borderId="34" xfId="0" applyFont="1" applyFill="1" applyBorder="1" applyAlignment="1" applyProtection="1">
      <alignment horizontal="center"/>
    </xf>
    <xf numFmtId="164" fontId="2" fillId="0" borderId="32" xfId="0" applyNumberFormat="1" applyFont="1" applyFill="1" applyBorder="1" applyAlignment="1" applyProtection="1">
      <alignment horizontal="center"/>
    </xf>
    <xf numFmtId="164" fontId="2" fillId="0" borderId="35" xfId="0" applyNumberFormat="1" applyFont="1" applyFill="1" applyBorder="1" applyAlignment="1" applyProtection="1">
      <alignment horizontal="center"/>
    </xf>
    <xf numFmtId="0" fontId="8" fillId="0" borderId="25" xfId="0" applyFont="1" applyFill="1" applyBorder="1" applyProtection="1"/>
    <xf numFmtId="0" fontId="2" fillId="0" borderId="36" xfId="0" applyFont="1" applyFill="1" applyBorder="1" applyAlignment="1" applyProtection="1">
      <alignment horizontal="center"/>
    </xf>
    <xf numFmtId="0" fontId="2" fillId="0" borderId="35" xfId="0" applyFont="1" applyFill="1" applyBorder="1" applyProtection="1"/>
    <xf numFmtId="0" fontId="2" fillId="0" borderId="25" xfId="0" applyFont="1" applyFill="1" applyBorder="1" applyProtection="1"/>
    <xf numFmtId="0" fontId="2" fillId="0" borderId="35" xfId="0" applyFont="1" applyFill="1" applyBorder="1" applyAlignment="1" applyProtection="1">
      <alignment horizontal="center"/>
    </xf>
    <xf numFmtId="164" fontId="2" fillId="0" borderId="25" xfId="0" applyNumberFormat="1" applyFont="1" applyFill="1" applyBorder="1" applyAlignment="1" applyProtection="1">
      <alignment horizontal="center"/>
    </xf>
    <xf numFmtId="0" fontId="2" fillId="0" borderId="31" xfId="0" applyFont="1" applyFill="1" applyBorder="1" applyProtection="1"/>
    <xf numFmtId="0" fontId="8" fillId="0" borderId="17" xfId="0" applyFont="1" applyFill="1" applyBorder="1" applyProtection="1"/>
    <xf numFmtId="0" fontId="2" fillId="0" borderId="15" xfId="0" applyFont="1" applyFill="1" applyBorder="1" applyAlignment="1" applyProtection="1">
      <alignment horizontal="center"/>
    </xf>
    <xf numFmtId="0" fontId="2" fillId="0" borderId="31" xfId="0" applyFont="1" applyFill="1" applyBorder="1" applyAlignment="1" applyProtection="1">
      <alignment horizontal="center"/>
    </xf>
    <xf numFmtId="164" fontId="2" fillId="0" borderId="17" xfId="0" applyNumberFormat="1" applyFont="1" applyFill="1" applyBorder="1" applyAlignment="1" applyProtection="1">
      <alignment horizontal="center"/>
    </xf>
    <xf numFmtId="0" fontId="2" fillId="0" borderId="17" xfId="0" applyFont="1" applyFill="1" applyBorder="1" applyProtection="1"/>
    <xf numFmtId="49" fontId="2" fillId="5" borderId="22" xfId="0" applyNumberFormat="1" applyFont="1" applyFill="1" applyBorder="1" applyAlignment="1" applyProtection="1">
      <alignment horizontal="center"/>
      <protection locked="0"/>
    </xf>
    <xf numFmtId="165" fontId="2" fillId="5" borderId="37" xfId="0" applyNumberFormat="1" applyFont="1" applyFill="1" applyBorder="1" applyAlignment="1" applyProtection="1">
      <alignment horizontal="center"/>
      <protection locked="0"/>
    </xf>
    <xf numFmtId="0" fontId="8" fillId="0" borderId="38" xfId="0" applyFont="1" applyFill="1" applyBorder="1" applyProtection="1">
      <protection locked="0"/>
    </xf>
    <xf numFmtId="49" fontId="2" fillId="5" borderId="24" xfId="0" applyNumberFormat="1" applyFont="1" applyFill="1" applyBorder="1" applyAlignment="1" applyProtection="1">
      <alignment horizontal="center"/>
      <protection locked="0"/>
    </xf>
    <xf numFmtId="165" fontId="2" fillId="5" borderId="39" xfId="0" applyNumberFormat="1" applyFont="1" applyFill="1" applyBorder="1" applyAlignment="1" applyProtection="1">
      <alignment horizontal="center"/>
      <protection locked="0"/>
    </xf>
    <xf numFmtId="49" fontId="2" fillId="5" borderId="26" xfId="0" applyNumberFormat="1" applyFont="1" applyFill="1" applyBorder="1" applyAlignment="1" applyProtection="1">
      <alignment horizontal="center"/>
      <protection locked="0"/>
    </xf>
    <xf numFmtId="3" fontId="2" fillId="5" borderId="7" xfId="0" applyNumberFormat="1" applyFont="1" applyFill="1" applyBorder="1" applyAlignment="1" applyProtection="1">
      <alignment horizontal="left"/>
      <protection locked="0"/>
    </xf>
    <xf numFmtId="164" fontId="6" fillId="5" borderId="16" xfId="0" applyNumberFormat="1" applyFont="1" applyFill="1" applyBorder="1" applyAlignment="1" applyProtection="1">
      <alignment horizontal="center"/>
      <protection locked="0"/>
    </xf>
    <xf numFmtId="0" fontId="6" fillId="5" borderId="16" xfId="0" applyFont="1" applyFill="1" applyBorder="1" applyAlignment="1" applyProtection="1">
      <alignment horizontal="center"/>
      <protection locked="0"/>
    </xf>
    <xf numFmtId="164" fontId="6" fillId="5" borderId="25" xfId="0" applyNumberFormat="1" applyFont="1" applyFill="1" applyBorder="1" applyAlignment="1" applyProtection="1">
      <alignment horizontal="center"/>
      <protection locked="0"/>
    </xf>
    <xf numFmtId="0" fontId="6" fillId="5" borderId="25" xfId="0" applyFont="1" applyFill="1" applyBorder="1" applyAlignment="1" applyProtection="1">
      <alignment horizontal="center"/>
      <protection locked="0"/>
    </xf>
    <xf numFmtId="0" fontId="2" fillId="5" borderId="40" xfId="0" applyFont="1" applyFill="1" applyBorder="1" applyAlignment="1" applyProtection="1">
      <alignment horizontal="center"/>
      <protection locked="0"/>
    </xf>
    <xf numFmtId="0" fontId="2" fillId="5" borderId="41" xfId="0" applyFont="1" applyFill="1" applyBorder="1" applyAlignment="1" applyProtection="1">
      <alignment horizontal="center"/>
      <protection locked="0"/>
    </xf>
    <xf numFmtId="0" fontId="3" fillId="5" borderId="19" xfId="0" applyFont="1" applyFill="1" applyBorder="1" applyAlignment="1" applyProtection="1">
      <alignment horizontal="center" wrapText="1"/>
      <protection locked="0"/>
    </xf>
    <xf numFmtId="0" fontId="6" fillId="0" borderId="0" xfId="0" applyFont="1" applyFill="1" applyBorder="1" applyAlignment="1" applyProtection="1">
      <alignment horizontal="center"/>
      <protection locked="0"/>
    </xf>
    <xf numFmtId="0" fontId="2" fillId="5" borderId="22" xfId="0" applyFont="1" applyFill="1" applyBorder="1" applyProtection="1">
      <protection locked="0"/>
    </xf>
    <xf numFmtId="0" fontId="2" fillId="5" borderId="24" xfId="0" applyFont="1" applyFill="1" applyBorder="1" applyProtection="1">
      <protection locked="0"/>
    </xf>
    <xf numFmtId="0" fontId="2" fillId="5" borderId="26" xfId="0" applyFont="1" applyFill="1" applyBorder="1" applyProtection="1">
      <protection locked="0"/>
    </xf>
    <xf numFmtId="0" fontId="2" fillId="5" borderId="34" xfId="0" applyFont="1" applyFill="1" applyBorder="1" applyAlignment="1" applyProtection="1">
      <alignment horizontal="center"/>
      <protection locked="0"/>
    </xf>
    <xf numFmtId="164" fontId="2" fillId="5" borderId="33" xfId="0" applyNumberFormat="1" applyFont="1" applyFill="1" applyBorder="1" applyAlignment="1" applyProtection="1">
      <alignment horizontal="center"/>
      <protection locked="0"/>
    </xf>
    <xf numFmtId="164" fontId="2" fillId="5" borderId="36" xfId="0" applyNumberFormat="1" applyFont="1" applyFill="1" applyBorder="1" applyAlignment="1" applyProtection="1">
      <alignment horizontal="center"/>
      <protection locked="0"/>
    </xf>
    <xf numFmtId="164" fontId="2" fillId="5" borderId="15" xfId="0" applyNumberFormat="1" applyFont="1" applyFill="1" applyBorder="1" applyAlignment="1" applyProtection="1">
      <alignment horizontal="center"/>
      <protection locked="0"/>
    </xf>
    <xf numFmtId="0" fontId="3" fillId="6" borderId="0" xfId="0" applyFont="1" applyFill="1" applyAlignment="1" applyProtection="1">
      <alignment horizontal="center"/>
    </xf>
    <xf numFmtId="164" fontId="3" fillId="0" borderId="0" xfId="0" applyNumberFormat="1" applyFont="1" applyFill="1" applyBorder="1" applyAlignment="1">
      <alignment horizontal="center"/>
    </xf>
    <xf numFmtId="164" fontId="3" fillId="0" borderId="2" xfId="0" applyNumberFormat="1" applyFont="1" applyFill="1" applyBorder="1" applyAlignment="1">
      <alignment horizontal="center"/>
    </xf>
    <xf numFmtId="0" fontId="3" fillId="0" borderId="4" xfId="0" applyFont="1" applyFill="1" applyBorder="1" applyAlignment="1">
      <alignment horizontal="left"/>
    </xf>
    <xf numFmtId="0" fontId="2" fillId="4" borderId="10" xfId="0" applyFont="1" applyFill="1" applyBorder="1" applyAlignment="1">
      <alignment horizontal="left"/>
    </xf>
    <xf numFmtId="164" fontId="16" fillId="4" borderId="0" xfId="0" applyNumberFormat="1" applyFont="1" applyFill="1" applyBorder="1" applyAlignment="1">
      <alignment horizontal="center"/>
    </xf>
    <xf numFmtId="164" fontId="12" fillId="4" borderId="7" xfId="0" applyNumberFormat="1" applyFont="1" applyFill="1" applyBorder="1" applyAlignment="1">
      <alignment horizontal="center"/>
    </xf>
    <xf numFmtId="0" fontId="3" fillId="4" borderId="6" xfId="0" applyFont="1" applyFill="1" applyBorder="1" applyAlignment="1">
      <alignment horizontal="center"/>
    </xf>
    <xf numFmtId="0" fontId="3" fillId="4" borderId="0" xfId="0" applyFont="1" applyFill="1" applyBorder="1" applyAlignment="1">
      <alignment horizontal="center"/>
    </xf>
    <xf numFmtId="0" fontId="3" fillId="4" borderId="1" xfId="0" applyFont="1" applyFill="1" applyBorder="1" applyAlignment="1">
      <alignment horizontal="center"/>
    </xf>
    <xf numFmtId="0" fontId="21" fillId="0" borderId="0" xfId="0" applyNumberFormat="1" applyFont="1" applyFill="1" applyBorder="1" applyAlignment="1" applyProtection="1">
      <alignment horizontal="left" vertical="top" wrapText="1"/>
      <protection locked="0"/>
    </xf>
    <xf numFmtId="49" fontId="21" fillId="0" borderId="0" xfId="0" applyNumberFormat="1" applyFont="1" applyFill="1" applyBorder="1" applyAlignment="1" applyProtection="1">
      <alignment horizontal="left" vertical="top" wrapText="1"/>
      <protection locked="0"/>
    </xf>
    <xf numFmtId="49" fontId="3" fillId="2" borderId="0" xfId="0" applyNumberFormat="1" applyFont="1" applyFill="1" applyBorder="1" applyAlignment="1">
      <alignment horizontal="center"/>
    </xf>
    <xf numFmtId="49" fontId="2" fillId="0" borderId="0" xfId="0" applyNumberFormat="1" applyFont="1" applyBorder="1" applyProtection="1">
      <protection locked="0"/>
    </xf>
    <xf numFmtId="49" fontId="2" fillId="0" borderId="0" xfId="0" applyNumberFormat="1" applyFont="1" applyBorder="1"/>
    <xf numFmtId="164" fontId="10" fillId="0" borderId="1" xfId="0" applyNumberFormat="1" applyFont="1" applyFill="1" applyBorder="1" applyAlignment="1">
      <alignment horizontal="center"/>
    </xf>
    <xf numFmtId="3" fontId="0" fillId="5" borderId="23" xfId="0" applyNumberFormat="1" applyFill="1" applyBorder="1" applyAlignment="1" applyProtection="1">
      <alignment horizontal="center"/>
      <protection locked="0"/>
    </xf>
    <xf numFmtId="0" fontId="45" fillId="0" borderId="0" xfId="10" applyFont="1" applyAlignment="1">
      <alignment horizontal="centerContinuous"/>
    </xf>
    <xf numFmtId="0" fontId="22" fillId="0" borderId="0" xfId="0" applyFont="1" applyFill="1" applyAlignment="1">
      <alignment horizontal="centerContinuous"/>
    </xf>
    <xf numFmtId="0" fontId="0" fillId="0" borderId="0" xfId="0" applyFill="1" applyAlignment="1">
      <alignment horizontal="centerContinuous"/>
    </xf>
    <xf numFmtId="0" fontId="0" fillId="0" borderId="0" xfId="0" applyAlignment="1">
      <alignment horizontal="centerContinuous"/>
    </xf>
    <xf numFmtId="0" fontId="46" fillId="0" borderId="0" xfId="0" applyFont="1"/>
    <xf numFmtId="0" fontId="47" fillId="0" borderId="0" xfId="0" applyFont="1" applyFill="1" applyAlignment="1">
      <alignment horizontal="left"/>
    </xf>
    <xf numFmtId="0" fontId="48" fillId="0" borderId="0" xfId="0" applyFont="1" applyAlignment="1">
      <alignment horizontal="left"/>
    </xf>
    <xf numFmtId="0" fontId="49" fillId="0" borderId="0" xfId="0" applyFont="1" applyAlignment="1">
      <alignment horizontal="left"/>
    </xf>
    <xf numFmtId="0" fontId="49" fillId="0" borderId="0" xfId="0" applyFont="1" applyAlignment="1">
      <alignment horizontal="centerContinuous"/>
    </xf>
    <xf numFmtId="0" fontId="23" fillId="0" borderId="0" xfId="0" applyFont="1"/>
    <xf numFmtId="0" fontId="4" fillId="0" borderId="0" xfId="0" applyFont="1"/>
    <xf numFmtId="0" fontId="4" fillId="0" borderId="0" xfId="0" applyFont="1" applyFill="1" applyAlignment="1">
      <alignment horizontal="centerContinuous"/>
    </xf>
    <xf numFmtId="0" fontId="50" fillId="0" borderId="0" xfId="5" applyFont="1" applyFill="1" applyAlignment="1">
      <alignment vertical="top"/>
    </xf>
    <xf numFmtId="0" fontId="39" fillId="9" borderId="0" xfId="2" applyFont="1"/>
    <xf numFmtId="168" fontId="39" fillId="9" borderId="0" xfId="3" applyNumberFormat="1" applyFont="1" applyFill="1"/>
    <xf numFmtId="0" fontId="40" fillId="12" borderId="18" xfId="8" quotePrefix="1" applyFont="1" applyFill="1" applyBorder="1" applyAlignment="1">
      <alignment horizontal="left"/>
    </xf>
    <xf numFmtId="0" fontId="40" fillId="12" borderId="19" xfId="8" applyFont="1" applyFill="1" applyBorder="1" applyAlignment="1">
      <alignment horizontal="left"/>
    </xf>
    <xf numFmtId="0" fontId="40" fillId="12" borderId="42" xfId="8" applyFont="1" applyFill="1" applyBorder="1" applyAlignment="1"/>
    <xf numFmtId="0" fontId="40" fillId="12" borderId="18" xfId="8" quotePrefix="1" applyFont="1" applyFill="1" applyBorder="1" applyAlignment="1">
      <alignment horizontal="center"/>
    </xf>
    <xf numFmtId="0" fontId="40" fillId="12" borderId="43" xfId="8" quotePrefix="1" applyFont="1" applyFill="1" applyBorder="1" applyAlignment="1">
      <alignment horizontal="left"/>
    </xf>
    <xf numFmtId="0" fontId="40" fillId="12" borderId="18" xfId="8" quotePrefix="1" applyFont="1" applyFill="1" applyBorder="1" applyAlignment="1"/>
    <xf numFmtId="0" fontId="40" fillId="12" borderId="43" xfId="8" quotePrefix="1" applyFont="1" applyFill="1" applyBorder="1" applyAlignment="1"/>
    <xf numFmtId="0" fontId="40" fillId="12" borderId="104" xfId="8" applyFont="1" applyFill="1" applyBorder="1" applyAlignment="1">
      <alignment horizontal="center"/>
    </xf>
    <xf numFmtId="0" fontId="51" fillId="0" borderId="0" xfId="0" applyFont="1" applyBorder="1" applyAlignment="1">
      <alignment horizontal="left"/>
    </xf>
    <xf numFmtId="0" fontId="52" fillId="12" borderId="19" xfId="8" quotePrefix="1" applyFont="1" applyFill="1" applyBorder="1" applyAlignment="1">
      <alignment horizontal="left"/>
    </xf>
    <xf numFmtId="0" fontId="52" fillId="12" borderId="43" xfId="8" quotePrefix="1" applyFont="1" applyFill="1" applyBorder="1" applyAlignment="1">
      <alignment horizontal="left"/>
    </xf>
    <xf numFmtId="0" fontId="49" fillId="0" borderId="0" xfId="0" applyFont="1"/>
    <xf numFmtId="0" fontId="49" fillId="13" borderId="6" xfId="0" applyFont="1" applyFill="1" applyBorder="1"/>
    <xf numFmtId="0" fontId="53" fillId="13" borderId="0" xfId="0" applyFont="1" applyFill="1" applyBorder="1" applyAlignment="1">
      <alignment horizontal="left" indent="3"/>
    </xf>
    <xf numFmtId="169" fontId="53" fillId="13" borderId="0" xfId="0" applyNumberFormat="1" applyFont="1" applyFill="1" applyBorder="1" applyAlignment="1">
      <alignment horizontal="center"/>
    </xf>
    <xf numFmtId="170" fontId="53" fillId="13" borderId="0" xfId="0" applyNumberFormat="1" applyFont="1" applyFill="1" applyBorder="1" applyAlignment="1">
      <alignment horizontal="center"/>
    </xf>
    <xf numFmtId="0" fontId="49" fillId="13" borderId="1" xfId="0" applyFont="1" applyFill="1" applyBorder="1"/>
    <xf numFmtId="0" fontId="54" fillId="13" borderId="0" xfId="0" applyFont="1" applyFill="1" applyBorder="1" applyAlignment="1"/>
    <xf numFmtId="0" fontId="53" fillId="13" borderId="0" xfId="0" applyFont="1" applyFill="1" applyBorder="1" applyAlignment="1"/>
    <xf numFmtId="169" fontId="55" fillId="13" borderId="0" xfId="0" applyNumberFormat="1" applyFont="1" applyFill="1" applyAlignment="1">
      <alignment horizontal="center"/>
    </xf>
    <xf numFmtId="170" fontId="55" fillId="13" borderId="1" xfId="4" applyNumberFormat="1" applyFont="1" applyFill="1" applyBorder="1" applyAlignment="1">
      <alignment horizontal="center"/>
    </xf>
    <xf numFmtId="0" fontId="44" fillId="13" borderId="6" xfId="2" applyFont="1" applyFill="1" applyBorder="1" applyAlignment="1">
      <alignment horizontal="left"/>
    </xf>
    <xf numFmtId="0" fontId="39" fillId="13" borderId="0" xfId="2" applyFill="1" applyBorder="1"/>
    <xf numFmtId="0" fontId="39" fillId="13" borderId="1" xfId="2" applyFill="1" applyBorder="1"/>
    <xf numFmtId="169" fontId="53" fillId="13" borderId="0" xfId="4" applyNumberFormat="1" applyFont="1" applyFill="1" applyBorder="1" applyAlignment="1">
      <alignment horizontal="center"/>
    </xf>
    <xf numFmtId="170" fontId="53" fillId="13" borderId="1" xfId="4" applyNumberFormat="1" applyFont="1" applyFill="1" applyBorder="1" applyAlignment="1">
      <alignment horizontal="center"/>
    </xf>
    <xf numFmtId="0" fontId="39" fillId="13" borderId="6" xfId="2" applyFill="1" applyBorder="1" applyAlignment="1">
      <alignment horizontal="left"/>
    </xf>
    <xf numFmtId="0" fontId="55" fillId="13" borderId="44" xfId="0" applyFont="1" applyFill="1" applyBorder="1" applyAlignment="1">
      <alignment horizontal="left" indent="1"/>
    </xf>
    <xf numFmtId="169" fontId="55" fillId="13" borderId="44" xfId="0" applyNumberFormat="1" applyFont="1" applyFill="1" applyBorder="1" applyAlignment="1">
      <alignment horizontal="center"/>
    </xf>
    <xf numFmtId="170" fontId="55" fillId="13" borderId="44" xfId="0" applyNumberFormat="1" applyFont="1" applyFill="1" applyBorder="1" applyAlignment="1">
      <alignment horizontal="center"/>
    </xf>
    <xf numFmtId="170" fontId="51" fillId="0" borderId="0" xfId="0" applyNumberFormat="1" applyFont="1" applyBorder="1" applyAlignment="1">
      <alignment horizontal="left"/>
    </xf>
    <xf numFmtId="0" fontId="39" fillId="13" borderId="6" xfId="2" applyFill="1" applyBorder="1" applyAlignment="1">
      <alignment horizontal="centerContinuous"/>
    </xf>
    <xf numFmtId="0" fontId="53" fillId="13" borderId="0" xfId="0" applyFont="1" applyFill="1" applyBorder="1" applyAlignment="1">
      <alignment horizontal="left" indent="1"/>
    </xf>
    <xf numFmtId="0" fontId="55" fillId="13" borderId="45" xfId="0" applyFont="1" applyFill="1" applyBorder="1" applyAlignment="1">
      <alignment horizontal="left"/>
    </xf>
    <xf numFmtId="169" fontId="55" fillId="13" borderId="45" xfId="0" applyNumberFormat="1" applyFont="1" applyFill="1" applyBorder="1" applyAlignment="1">
      <alignment horizontal="center"/>
    </xf>
    <xf numFmtId="170" fontId="55" fillId="13" borderId="45" xfId="0" applyNumberFormat="1" applyFont="1" applyFill="1" applyBorder="1" applyAlignment="1">
      <alignment horizontal="center"/>
    </xf>
    <xf numFmtId="0" fontId="53" fillId="13" borderId="0" xfId="0" applyFont="1" applyFill="1" applyBorder="1" applyAlignment="1">
      <alignment horizontal="left"/>
    </xf>
    <xf numFmtId="170" fontId="53" fillId="13" borderId="1" xfId="0" applyNumberFormat="1" applyFont="1" applyFill="1" applyBorder="1" applyAlignment="1">
      <alignment horizontal="center"/>
    </xf>
    <xf numFmtId="169" fontId="55" fillId="13" borderId="0" xfId="0" applyNumberFormat="1" applyFont="1" applyFill="1" applyBorder="1" applyAlignment="1">
      <alignment horizontal="center"/>
    </xf>
    <xf numFmtId="0" fontId="39" fillId="13" borderId="6" xfId="2" applyFill="1" applyBorder="1"/>
    <xf numFmtId="0" fontId="55" fillId="13" borderId="46" xfId="0" applyFont="1" applyFill="1" applyBorder="1" applyAlignment="1" applyProtection="1">
      <alignment horizontal="left"/>
    </xf>
    <xf numFmtId="169" fontId="55" fillId="13" borderId="46" xfId="0" applyNumberFormat="1" applyFont="1" applyFill="1" applyBorder="1" applyAlignment="1">
      <alignment horizontal="center"/>
    </xf>
    <xf numFmtId="170" fontId="55" fillId="13" borderId="46" xfId="0" applyNumberFormat="1" applyFont="1" applyFill="1" applyBorder="1" applyAlignment="1">
      <alignment horizontal="center"/>
    </xf>
    <xf numFmtId="169" fontId="53" fillId="13" borderId="0" xfId="3" applyNumberFormat="1" applyFont="1" applyFill="1" applyBorder="1" applyAlignment="1">
      <alignment horizontal="center"/>
    </xf>
    <xf numFmtId="170" fontId="53" fillId="13" borderId="0" xfId="3" applyNumberFormat="1" applyFont="1" applyFill="1" applyBorder="1" applyAlignment="1">
      <alignment horizontal="center"/>
    </xf>
    <xf numFmtId="169" fontId="56" fillId="13" borderId="46" xfId="3" applyNumberFormat="1" applyFont="1" applyFill="1" applyBorder="1" applyAlignment="1">
      <alignment horizontal="center"/>
    </xf>
    <xf numFmtId="170" fontId="56" fillId="13" borderId="46" xfId="3" applyNumberFormat="1" applyFont="1" applyFill="1" applyBorder="1" applyAlignment="1">
      <alignment horizontal="center"/>
    </xf>
    <xf numFmtId="9" fontId="57" fillId="13" borderId="12" xfId="9" applyFont="1" applyFill="1" applyBorder="1" applyAlignment="1">
      <alignment horizontal="right"/>
    </xf>
    <xf numFmtId="9" fontId="57" fillId="13" borderId="7" xfId="9" applyFont="1" applyFill="1" applyBorder="1" applyAlignment="1">
      <alignment horizontal="right"/>
    </xf>
    <xf numFmtId="9" fontId="58" fillId="13" borderId="7" xfId="9" applyFont="1" applyFill="1" applyBorder="1" applyAlignment="1">
      <alignment horizontal="center"/>
    </xf>
    <xf numFmtId="9" fontId="57" fillId="13" borderId="8" xfId="9" applyFont="1" applyFill="1" applyBorder="1" applyAlignment="1">
      <alignment horizontal="right"/>
    </xf>
    <xf numFmtId="0" fontId="53" fillId="13" borderId="7" xfId="0" applyFont="1" applyFill="1" applyBorder="1" applyAlignment="1"/>
    <xf numFmtId="0" fontId="53" fillId="13" borderId="7" xfId="0" applyFont="1" applyFill="1" applyBorder="1" applyAlignment="1">
      <alignment horizontal="center"/>
    </xf>
    <xf numFmtId="0" fontId="53" fillId="13" borderId="8" xfId="0" applyFont="1" applyFill="1" applyBorder="1" applyAlignment="1">
      <alignment horizontal="center"/>
    </xf>
    <xf numFmtId="0" fontId="39" fillId="13" borderId="12" xfId="2" applyFill="1" applyBorder="1"/>
    <xf numFmtId="0" fontId="39" fillId="13" borderId="7" xfId="2" applyFill="1" applyBorder="1"/>
    <xf numFmtId="0" fontId="39" fillId="13" borderId="8" xfId="2" applyFill="1" applyBorder="1"/>
    <xf numFmtId="0" fontId="59" fillId="0" borderId="0" xfId="5" applyFont="1" applyFill="1" applyBorder="1" applyAlignment="1">
      <alignment horizontal="left" vertical="top"/>
    </xf>
    <xf numFmtId="0" fontId="49" fillId="0" borderId="0" xfId="0" applyFont="1" applyFill="1"/>
    <xf numFmtId="168" fontId="39" fillId="9" borderId="0" xfId="3" applyNumberFormat="1" applyFont="1" applyFill="1" applyAlignment="1">
      <alignment horizontal="right"/>
    </xf>
    <xf numFmtId="0" fontId="39" fillId="9" borderId="7" xfId="2" applyFont="1" applyBorder="1" applyAlignment="1">
      <alignment horizontal="center"/>
    </xf>
    <xf numFmtId="165" fontId="39" fillId="9" borderId="7" xfId="2" applyNumberFormat="1" applyFont="1" applyBorder="1" applyAlignment="1">
      <alignment horizontal="center"/>
    </xf>
    <xf numFmtId="0" fontId="39" fillId="9" borderId="0" xfId="2" applyFont="1" applyAlignment="1">
      <alignment horizontal="center"/>
    </xf>
    <xf numFmtId="165" fontId="39" fillId="9" borderId="0" xfId="2" applyNumberFormat="1" applyFont="1" applyAlignment="1">
      <alignment horizontal="center"/>
    </xf>
    <xf numFmtId="0" fontId="39" fillId="9" borderId="0" xfId="2" quotePrefix="1" applyFont="1" applyAlignment="1">
      <alignment horizontal="center"/>
    </xf>
    <xf numFmtId="165" fontId="53" fillId="9" borderId="0" xfId="2" applyNumberFormat="1" applyFont="1" applyAlignment="1">
      <alignment horizontal="center"/>
    </xf>
    <xf numFmtId="0" fontId="40" fillId="12" borderId="105" xfId="8" quotePrefix="1" applyFont="1" applyFill="1" applyBorder="1" applyAlignment="1">
      <alignment horizontal="center"/>
    </xf>
    <xf numFmtId="0" fontId="40" fillId="12" borderId="106" xfId="8" applyFont="1" applyFill="1" applyBorder="1" applyAlignment="1"/>
    <xf numFmtId="0" fontId="40" fillId="12" borderId="107" xfId="8" applyFont="1" applyFill="1" applyBorder="1" applyAlignment="1">
      <alignment horizontal="center"/>
    </xf>
    <xf numFmtId="0" fontId="40" fillId="12" borderId="108" xfId="8" quotePrefix="1" applyFont="1" applyFill="1" applyBorder="1" applyAlignment="1">
      <alignment horizontal="center"/>
    </xf>
    <xf numFmtId="0" fontId="44" fillId="14" borderId="0" xfId="1" applyFont="1" applyFill="1" applyAlignment="1">
      <alignment horizontal="center"/>
    </xf>
    <xf numFmtId="0" fontId="49" fillId="11" borderId="109" xfId="7" applyFont="1" applyBorder="1" applyAlignment="1"/>
    <xf numFmtId="165" fontId="60" fillId="11" borderId="102" xfId="7" applyNumberFormat="1" applyFont="1" applyBorder="1"/>
    <xf numFmtId="169" fontId="49" fillId="11" borderId="102" xfId="7" applyNumberFormat="1" applyFont="1" applyBorder="1" applyAlignment="1">
      <alignment horizontal="center"/>
    </xf>
    <xf numFmtId="165" fontId="60" fillId="11" borderId="102" xfId="7" applyNumberFormat="1" applyFont="1" applyBorder="1" applyAlignment="1">
      <alignment horizontal="center"/>
    </xf>
    <xf numFmtId="169" fontId="49" fillId="11" borderId="102" xfId="7" applyNumberFormat="1" applyFont="1" applyBorder="1"/>
    <xf numFmtId="169" fontId="60" fillId="11" borderId="102" xfId="7" applyNumberFormat="1" applyFont="1" applyBorder="1"/>
    <xf numFmtId="169" fontId="49" fillId="11" borderId="110" xfId="7" applyNumberFormat="1" applyFont="1" applyBorder="1"/>
    <xf numFmtId="0" fontId="61" fillId="11" borderId="111" xfId="7" quotePrefix="1" applyFont="1" applyBorder="1" applyAlignment="1">
      <alignment horizontal="left"/>
    </xf>
    <xf numFmtId="0" fontId="49" fillId="11" borderId="112" xfId="7" applyFont="1" applyBorder="1" applyAlignment="1"/>
    <xf numFmtId="0" fontId="37" fillId="14" borderId="0" xfId="1" applyFont="1" applyFill="1"/>
    <xf numFmtId="0" fontId="49" fillId="11" borderId="113" xfId="7" applyFont="1" applyBorder="1" applyAlignment="1"/>
    <xf numFmtId="43" fontId="37" fillId="14" borderId="0" xfId="3" applyFont="1" applyFill="1"/>
    <xf numFmtId="0" fontId="49" fillId="11" borderId="114" xfId="7" applyFont="1" applyBorder="1" applyAlignment="1"/>
    <xf numFmtId="0" fontId="49" fillId="11" borderId="115" xfId="7" applyFont="1" applyBorder="1" applyAlignment="1"/>
    <xf numFmtId="171" fontId="51" fillId="0" borderId="45" xfId="3" applyNumberFormat="1" applyFont="1" applyBorder="1"/>
    <xf numFmtId="0" fontId="49" fillId="0" borderId="45" xfId="0" applyFont="1" applyBorder="1"/>
    <xf numFmtId="169" fontId="49" fillId="0" borderId="45" xfId="0" applyNumberFormat="1" applyFont="1" applyBorder="1"/>
    <xf numFmtId="169" fontId="51" fillId="0" borderId="45" xfId="0" applyNumberFormat="1" applyFont="1" applyBorder="1"/>
    <xf numFmtId="169" fontId="51" fillId="0" borderId="47" xfId="4" applyNumberFormat="1" applyFont="1" applyBorder="1"/>
    <xf numFmtId="43" fontId="0" fillId="0" borderId="0" xfId="3" applyFont="1"/>
    <xf numFmtId="0" fontId="62" fillId="10" borderId="48" xfId="8" quotePrefix="1" applyFont="1" applyBorder="1" applyAlignment="1">
      <alignment horizontal="left"/>
    </xf>
    <xf numFmtId="0" fontId="62" fillId="10" borderId="7" xfId="8" quotePrefix="1" applyFont="1" applyBorder="1" applyAlignment="1">
      <alignment horizontal="left"/>
    </xf>
    <xf numFmtId="0" fontId="49" fillId="0" borderId="7" xfId="0" applyFont="1" applyBorder="1" applyAlignment="1">
      <alignment horizontal="left"/>
    </xf>
    <xf numFmtId="0" fontId="49" fillId="0" borderId="45" xfId="0" applyFont="1" applyBorder="1" applyAlignment="1">
      <alignment horizontal="left"/>
    </xf>
    <xf numFmtId="0" fontId="17" fillId="0" borderId="0" xfId="0" quotePrefix="1" applyFont="1"/>
    <xf numFmtId="0" fontId="0" fillId="0" borderId="0" xfId="0" applyBorder="1"/>
    <xf numFmtId="172" fontId="4" fillId="0" borderId="0" xfId="4" applyNumberFormat="1" applyFont="1" applyBorder="1"/>
    <xf numFmtId="44" fontId="0" fillId="0" borderId="0" xfId="0" applyNumberFormat="1"/>
    <xf numFmtId="0" fontId="50" fillId="0" borderId="7" xfId="5" applyFont="1" applyFill="1" applyBorder="1" applyAlignment="1">
      <alignment vertical="top"/>
    </xf>
    <xf numFmtId="0" fontId="40" fillId="12" borderId="49" xfId="8" applyFont="1" applyFill="1" applyBorder="1" applyAlignment="1">
      <alignment horizontal="center" vertical="top" wrapText="1"/>
    </xf>
    <xf numFmtId="0" fontId="40" fillId="12" borderId="50" xfId="8" applyFont="1" applyFill="1" applyBorder="1" applyAlignment="1">
      <alignment horizontal="center" vertical="top" wrapText="1"/>
    </xf>
    <xf numFmtId="0" fontId="40" fillId="12" borderId="51" xfId="8" applyFont="1" applyFill="1" applyBorder="1" applyAlignment="1">
      <alignment horizontal="center" vertical="top" wrapText="1"/>
    </xf>
    <xf numFmtId="0" fontId="40" fillId="12" borderId="52" xfId="8" applyFont="1" applyFill="1" applyBorder="1" applyAlignment="1">
      <alignment horizontal="center" vertical="top" wrapText="1"/>
    </xf>
    <xf numFmtId="0" fontId="40" fillId="12" borderId="42" xfId="8" applyFont="1" applyFill="1" applyBorder="1" applyAlignment="1">
      <alignment horizontal="center" vertical="top" wrapText="1"/>
    </xf>
    <xf numFmtId="0" fontId="4" fillId="0" borderId="0" xfId="0" applyFont="1" applyAlignment="1">
      <alignment horizontal="center"/>
    </xf>
    <xf numFmtId="0" fontId="4" fillId="0" borderId="0" xfId="0" applyFont="1" applyAlignment="1" applyProtection="1">
      <alignment horizontal="center"/>
    </xf>
    <xf numFmtId="0" fontId="51" fillId="11" borderId="116" xfId="7" applyFont="1" applyBorder="1" applyAlignment="1"/>
    <xf numFmtId="0" fontId="51" fillId="11" borderId="117" xfId="7" applyFont="1" applyBorder="1" applyAlignment="1"/>
    <xf numFmtId="173" fontId="49" fillId="11" borderId="118" xfId="7" applyNumberFormat="1" applyFont="1" applyBorder="1"/>
    <xf numFmtId="173" fontId="49" fillId="11" borderId="119" xfId="7" applyNumberFormat="1" applyFont="1" applyBorder="1"/>
    <xf numFmtId="173" fontId="49" fillId="11" borderId="120" xfId="7" applyNumberFormat="1" applyFont="1" applyBorder="1"/>
    <xf numFmtId="44" fontId="24" fillId="0" borderId="0" xfId="4" applyFont="1" applyBorder="1"/>
    <xf numFmtId="0" fontId="51" fillId="11" borderId="121" xfId="7" applyFont="1" applyBorder="1" applyAlignment="1"/>
    <xf numFmtId="0" fontId="51" fillId="11" borderId="113" xfId="7" applyFont="1" applyBorder="1" applyAlignment="1"/>
    <xf numFmtId="173" fontId="49" fillId="11" borderId="102" xfId="7" applyNumberFormat="1" applyFont="1" applyBorder="1"/>
    <xf numFmtId="173" fontId="49" fillId="11" borderId="109" xfId="7" applyNumberFormat="1" applyFont="1" applyBorder="1"/>
    <xf numFmtId="173" fontId="49" fillId="11" borderId="110" xfId="7" applyNumberFormat="1" applyFont="1" applyBorder="1"/>
    <xf numFmtId="0" fontId="51" fillId="11" borderId="122" xfId="7" applyFont="1" applyBorder="1" applyAlignment="1"/>
    <xf numFmtId="0" fontId="51" fillId="11" borderId="123" xfId="7" applyFont="1" applyBorder="1" applyAlignment="1"/>
    <xf numFmtId="173" fontId="49" fillId="11" borderId="124" xfId="7" applyNumberFormat="1" applyFont="1" applyBorder="1"/>
    <xf numFmtId="173" fontId="49" fillId="11" borderId="125" xfId="7" applyNumberFormat="1" applyFont="1" applyBorder="1"/>
    <xf numFmtId="173" fontId="49" fillId="11" borderId="126" xfId="7" applyNumberFormat="1" applyFont="1" applyBorder="1"/>
    <xf numFmtId="0" fontId="4" fillId="0" borderId="0" xfId="0" applyFont="1" applyBorder="1" applyAlignment="1">
      <alignment horizontal="center"/>
    </xf>
    <xf numFmtId="0" fontId="4" fillId="0" borderId="0" xfId="0" applyFont="1" applyBorder="1" applyAlignment="1" applyProtection="1">
      <alignment horizontal="center"/>
    </xf>
    <xf numFmtId="43" fontId="49" fillId="11" borderId="127" xfId="3" applyFont="1" applyFill="1" applyBorder="1"/>
    <xf numFmtId="43" fontId="49" fillId="11" borderId="128" xfId="3" applyFont="1" applyFill="1" applyBorder="1"/>
    <xf numFmtId="43" fontId="49" fillId="11" borderId="110" xfId="3" applyFont="1" applyFill="1" applyBorder="1"/>
    <xf numFmtId="174" fontId="25" fillId="0" borderId="0" xfId="0" applyNumberFormat="1" applyFont="1" applyBorder="1" applyProtection="1"/>
    <xf numFmtId="43" fontId="49" fillId="15" borderId="102" xfId="3" applyFont="1" applyFill="1" applyBorder="1"/>
    <xf numFmtId="43" fontId="49" fillId="11" borderId="102" xfId="3" applyFont="1" applyFill="1" applyBorder="1"/>
    <xf numFmtId="43" fontId="49" fillId="16" borderId="109" xfId="3" applyFont="1" applyFill="1" applyBorder="1"/>
    <xf numFmtId="43" fontId="49" fillId="15" borderId="110" xfId="3" applyFont="1" applyFill="1" applyBorder="1"/>
    <xf numFmtId="43" fontId="49" fillId="11" borderId="124" xfId="3" applyNumberFormat="1" applyFont="1" applyFill="1" applyBorder="1"/>
    <xf numFmtId="0" fontId="50" fillId="0" borderId="53" xfId="5" applyFont="1" applyFill="1" applyBorder="1" applyAlignment="1">
      <alignment vertical="top"/>
    </xf>
    <xf numFmtId="0" fontId="51" fillId="11" borderId="116" xfId="7" applyFont="1" applyBorder="1" applyAlignment="1">
      <alignment horizontal="left" indent="2"/>
    </xf>
    <xf numFmtId="0" fontId="51" fillId="11" borderId="117" xfId="7" applyFont="1" applyBorder="1" applyAlignment="1">
      <alignment horizontal="left" indent="2"/>
    </xf>
    <xf numFmtId="169" fontId="49" fillId="11" borderId="127" xfId="7" applyNumberFormat="1" applyFont="1" applyBorder="1" applyProtection="1"/>
    <xf numFmtId="169" fontId="49" fillId="11" borderId="127" xfId="3" applyNumberFormat="1" applyFont="1" applyFill="1" applyBorder="1" applyProtection="1"/>
    <xf numFmtId="169" fontId="51" fillId="11" borderId="110" xfId="3" applyNumberFormat="1" applyFont="1" applyFill="1" applyBorder="1"/>
    <xf numFmtId="174" fontId="17" fillId="0" borderId="0" xfId="0" applyNumberFormat="1" applyFont="1" applyBorder="1" applyProtection="1"/>
    <xf numFmtId="0" fontId="51" fillId="11" borderId="129" xfId="7" applyFont="1" applyBorder="1" applyAlignment="1">
      <alignment horizontal="left" indent="2"/>
    </xf>
    <xf numFmtId="0" fontId="51" fillId="11" borderId="115" xfId="7" applyFont="1" applyBorder="1" applyAlignment="1">
      <alignment horizontal="left" indent="2"/>
    </xf>
    <xf numFmtId="169" fontId="49" fillId="11" borderId="130" xfId="7" applyNumberFormat="1" applyFont="1" applyBorder="1" applyProtection="1"/>
    <xf numFmtId="169" fontId="49" fillId="11" borderId="130" xfId="3" applyNumberFormat="1" applyFont="1" applyFill="1" applyBorder="1" applyProtection="1"/>
    <xf numFmtId="175" fontId="17" fillId="0" borderId="0" xfId="0" applyNumberFormat="1" applyFont="1" applyBorder="1" applyProtection="1"/>
    <xf numFmtId="0" fontId="51" fillId="11" borderId="54" xfId="7" applyFont="1" applyBorder="1" applyAlignment="1"/>
    <xf numFmtId="0" fontId="51" fillId="11" borderId="131" xfId="7" applyFont="1" applyBorder="1" applyAlignment="1"/>
    <xf numFmtId="169" fontId="51" fillId="11" borderId="132" xfId="7" applyNumberFormat="1" applyFont="1" applyBorder="1" applyProtection="1"/>
    <xf numFmtId="169" fontId="51" fillId="11" borderId="133" xfId="3" applyNumberFormat="1" applyFont="1" applyFill="1" applyBorder="1" applyProtection="1"/>
    <xf numFmtId="169" fontId="51" fillId="11" borderId="134" xfId="7" applyNumberFormat="1" applyFont="1" applyBorder="1" applyProtection="1"/>
    <xf numFmtId="0" fontId="51" fillId="11" borderId="135" xfId="7" applyFont="1" applyBorder="1" applyAlignment="1">
      <alignment horizontal="left" indent="2"/>
    </xf>
    <xf numFmtId="0" fontId="51" fillId="11" borderId="112" xfId="7" applyFont="1" applyBorder="1" applyAlignment="1"/>
    <xf numFmtId="169" fontId="49" fillId="11" borderId="118" xfId="7" applyNumberFormat="1" applyFont="1" applyBorder="1" applyProtection="1"/>
    <xf numFmtId="169" fontId="49" fillId="11" borderId="118" xfId="3" applyNumberFormat="1" applyFont="1" applyFill="1" applyBorder="1" applyProtection="1"/>
    <xf numFmtId="0" fontId="51" fillId="11" borderId="115" xfId="7" applyFont="1" applyBorder="1" applyAlignment="1"/>
    <xf numFmtId="169" fontId="49" fillId="11" borderId="130" xfId="7" applyNumberFormat="1" applyFont="1" applyBorder="1"/>
    <xf numFmtId="0" fontId="51" fillId="11" borderId="48" xfId="7" applyFont="1" applyBorder="1" applyAlignment="1"/>
    <xf numFmtId="0" fontId="51" fillId="11" borderId="136" xfId="7" applyFont="1" applyBorder="1" applyAlignment="1"/>
    <xf numFmtId="169" fontId="51" fillId="11" borderId="137" xfId="7" applyNumberFormat="1" applyFont="1" applyBorder="1" applyProtection="1"/>
    <xf numFmtId="169" fontId="51" fillId="11" borderId="137" xfId="3" applyNumberFormat="1" applyFont="1" applyFill="1" applyBorder="1" applyProtection="1"/>
    <xf numFmtId="169" fontId="51" fillId="11" borderId="138" xfId="7" applyNumberFormat="1" applyFont="1" applyBorder="1" applyProtection="1"/>
    <xf numFmtId="0" fontId="0" fillId="0" borderId="0" xfId="0" applyNumberFormat="1"/>
    <xf numFmtId="0" fontId="50" fillId="0" borderId="0" xfId="5" applyFont="1" applyFill="1" applyBorder="1" applyAlignment="1">
      <alignment horizontal="center" vertical="top"/>
    </xf>
    <xf numFmtId="0" fontId="63" fillId="0" borderId="0" xfId="0" applyFont="1" applyAlignment="1">
      <alignment horizontal="left"/>
    </xf>
    <xf numFmtId="0" fontId="0" fillId="0" borderId="0" xfId="0" applyAlignment="1">
      <alignment horizontal="center"/>
    </xf>
    <xf numFmtId="0" fontId="17" fillId="0" borderId="0" xfId="0" applyFont="1" applyAlignment="1">
      <alignment horizontal="centerContinuous"/>
    </xf>
    <xf numFmtId="0" fontId="17" fillId="0" borderId="0" xfId="0" applyFont="1"/>
    <xf numFmtId="49" fontId="44" fillId="0" borderId="0" xfId="6" applyNumberFormat="1" applyFont="1"/>
    <xf numFmtId="49" fontId="37" fillId="0" borderId="0" xfId="6" applyNumberFormat="1"/>
    <xf numFmtId="0" fontId="37" fillId="0" borderId="0" xfId="6"/>
    <xf numFmtId="0" fontId="37" fillId="0" borderId="0" xfId="6" applyFont="1"/>
    <xf numFmtId="0" fontId="37" fillId="0" borderId="0" xfId="6" quotePrefix="1" applyFont="1"/>
    <xf numFmtId="49" fontId="0" fillId="0" borderId="0" xfId="0" applyNumberFormat="1"/>
    <xf numFmtId="0" fontId="49" fillId="11" borderId="139" xfId="7" applyFont="1" applyBorder="1" applyAlignment="1">
      <alignment horizontal="center"/>
    </xf>
    <xf numFmtId="0" fontId="49" fillId="11" borderId="102" xfId="7" applyFont="1" applyBorder="1" applyAlignment="1">
      <alignment horizontal="center"/>
    </xf>
    <xf numFmtId="0" fontId="49" fillId="11" borderId="140" xfId="7" applyFont="1" applyBorder="1" applyAlignment="1">
      <alignment horizontal="center"/>
    </xf>
    <xf numFmtId="0" fontId="49" fillId="11" borderId="139" xfId="7" applyFont="1" applyBorder="1" applyAlignment="1"/>
    <xf numFmtId="0" fontId="49" fillId="11" borderId="102" xfId="7" applyFont="1" applyBorder="1" applyAlignment="1"/>
    <xf numFmtId="0" fontId="49" fillId="11" borderId="140" xfId="7" applyFont="1" applyBorder="1" applyAlignment="1"/>
    <xf numFmtId="49" fontId="2" fillId="5" borderId="22" xfId="0" quotePrefix="1" applyNumberFormat="1" applyFont="1" applyFill="1" applyBorder="1" applyAlignment="1" applyProtection="1">
      <alignment horizontal="center"/>
      <protection locked="0"/>
    </xf>
    <xf numFmtId="164" fontId="3" fillId="0" borderId="12" xfId="0" applyNumberFormat="1" applyFont="1" applyFill="1" applyBorder="1" applyAlignment="1">
      <alignment horizontal="center"/>
    </xf>
    <xf numFmtId="0" fontId="3" fillId="0" borderId="7" xfId="0" applyFont="1" applyFill="1" applyBorder="1" applyAlignment="1">
      <alignment horizontal="left"/>
    </xf>
    <xf numFmtId="0" fontId="2" fillId="0" borderId="7" xfId="0" applyFont="1" applyFill="1" applyBorder="1" applyAlignment="1">
      <alignment horizontal="left"/>
    </xf>
    <xf numFmtId="0" fontId="2" fillId="0" borderId="7" xfId="0" applyFont="1" applyFill="1" applyBorder="1" applyAlignment="1">
      <alignment horizontal="center"/>
    </xf>
    <xf numFmtId="0" fontId="2" fillId="0" borderId="8" xfId="0" applyFont="1" applyFill="1" applyBorder="1" applyAlignment="1">
      <alignment horizontal="center"/>
    </xf>
    <xf numFmtId="164" fontId="3" fillId="0" borderId="7" xfId="0" applyNumberFormat="1" applyFont="1" applyFill="1" applyBorder="1" applyAlignment="1" applyProtection="1">
      <alignment horizontal="center"/>
      <protection locked="0"/>
    </xf>
    <xf numFmtId="167" fontId="0" fillId="0" borderId="25" xfId="0" applyNumberFormat="1" applyFill="1" applyBorder="1" applyAlignment="1" applyProtection="1">
      <alignment horizontal="center"/>
      <protection locked="0"/>
    </xf>
    <xf numFmtId="167" fontId="60" fillId="11" borderId="102" xfId="7" applyNumberFormat="1" applyFont="1" applyBorder="1" applyAlignment="1">
      <alignment horizontal="center"/>
    </xf>
    <xf numFmtId="167" fontId="60" fillId="11" borderId="141" xfId="7" applyNumberFormat="1" applyFont="1" applyBorder="1" applyAlignment="1">
      <alignment horizontal="center"/>
    </xf>
    <xf numFmtId="167" fontId="60" fillId="11" borderId="111" xfId="7" applyNumberFormat="1" applyFont="1" applyBorder="1" applyAlignment="1">
      <alignment horizontal="center"/>
    </xf>
    <xf numFmtId="0" fontId="28" fillId="4" borderId="0" xfId="0" applyFont="1" applyFill="1" applyProtection="1"/>
    <xf numFmtId="0" fontId="0" fillId="4" borderId="0" xfId="0" applyFill="1" applyAlignment="1" applyProtection="1">
      <alignment horizontal="center"/>
    </xf>
    <xf numFmtId="0" fontId="0" fillId="4" borderId="0" xfId="0" applyFill="1" applyProtection="1"/>
    <xf numFmtId="0" fontId="9" fillId="4" borderId="0" xfId="0" applyFont="1" applyFill="1" applyAlignment="1" applyProtection="1">
      <alignment horizontal="center"/>
    </xf>
    <xf numFmtId="49" fontId="9" fillId="4" borderId="0" xfId="0" applyNumberFormat="1" applyFont="1" applyFill="1" applyAlignment="1" applyProtection="1">
      <alignment horizontal="center"/>
    </xf>
    <xf numFmtId="0" fontId="4" fillId="4" borderId="0" xfId="0" applyFont="1" applyFill="1" applyProtection="1"/>
    <xf numFmtId="0" fontId="29" fillId="4" borderId="0" xfId="0" applyFont="1" applyFill="1" applyAlignment="1" applyProtection="1">
      <alignment horizontal="center"/>
    </xf>
    <xf numFmtId="0" fontId="19" fillId="0" borderId="9" xfId="0" applyFont="1" applyFill="1" applyBorder="1" applyAlignment="1" applyProtection="1">
      <alignment horizontal="right"/>
    </xf>
    <xf numFmtId="0" fontId="0" fillId="2" borderId="10" xfId="0" applyFill="1" applyBorder="1" applyAlignment="1" applyProtection="1">
      <alignment horizontal="center"/>
    </xf>
    <xf numFmtId="0" fontId="0" fillId="2" borderId="55" xfId="0" applyFill="1" applyBorder="1" applyAlignment="1" applyProtection="1">
      <alignment horizontal="center"/>
    </xf>
    <xf numFmtId="0" fontId="0" fillId="0" borderId="56" xfId="0" applyFill="1" applyBorder="1" applyAlignment="1" applyProtection="1">
      <alignment horizontal="center"/>
    </xf>
    <xf numFmtId="0" fontId="8" fillId="4" borderId="0" xfId="0" applyFont="1" applyFill="1" applyAlignment="1" applyProtection="1">
      <alignment horizontal="center"/>
    </xf>
    <xf numFmtId="49" fontId="29" fillId="4" borderId="0" xfId="0" applyNumberFormat="1" applyFont="1" applyFill="1" applyAlignment="1" applyProtection="1">
      <alignment horizontal="center"/>
    </xf>
    <xf numFmtId="49" fontId="8" fillId="4" borderId="0" xfId="0" applyNumberFormat="1" applyFont="1" applyFill="1" applyAlignment="1" applyProtection="1">
      <alignment horizontal="center"/>
    </xf>
    <xf numFmtId="0" fontId="8" fillId="4" borderId="0" xfId="0" applyNumberFormat="1" applyFont="1" applyFill="1" applyAlignment="1" applyProtection="1">
      <alignment horizontal="center"/>
    </xf>
    <xf numFmtId="0" fontId="4" fillId="7" borderId="57" xfId="0" applyFont="1" applyFill="1" applyBorder="1" applyAlignment="1" applyProtection="1">
      <alignment horizontal="right"/>
    </xf>
    <xf numFmtId="0" fontId="0" fillId="2" borderId="58" xfId="0" applyFill="1" applyBorder="1" applyAlignment="1" applyProtection="1">
      <alignment horizontal="center"/>
    </xf>
    <xf numFmtId="0" fontId="4" fillId="0" borderId="36" xfId="0" applyFont="1" applyFill="1" applyBorder="1" applyAlignment="1" applyProtection="1">
      <alignment horizontal="center"/>
    </xf>
    <xf numFmtId="0" fontId="0" fillId="0" borderId="34" xfId="0" applyFill="1" applyBorder="1" applyProtection="1"/>
    <xf numFmtId="3" fontId="0" fillId="2" borderId="23" xfId="0" applyNumberFormat="1" applyFill="1" applyBorder="1" applyAlignment="1" applyProtection="1">
      <alignment horizontal="center"/>
    </xf>
    <xf numFmtId="3" fontId="0" fillId="0" borderId="36" xfId="0" applyNumberFormat="1" applyFill="1" applyBorder="1" applyAlignment="1" applyProtection="1">
      <alignment horizontal="center"/>
    </xf>
    <xf numFmtId="0" fontId="0" fillId="0" borderId="35" xfId="0" applyFill="1" applyBorder="1" applyProtection="1"/>
    <xf numFmtId="3" fontId="0" fillId="2" borderId="25" xfId="0" applyNumberFormat="1" applyFill="1" applyBorder="1" applyAlignment="1" applyProtection="1">
      <alignment horizontal="center"/>
    </xf>
    <xf numFmtId="2" fontId="0" fillId="2" borderId="25" xfId="0" applyNumberFormat="1" applyFill="1" applyBorder="1" applyAlignment="1" applyProtection="1">
      <alignment horizontal="center"/>
    </xf>
    <xf numFmtId="2" fontId="0" fillId="2" borderId="23" xfId="0" applyNumberFormat="1" applyFill="1" applyBorder="1" applyAlignment="1" applyProtection="1">
      <alignment horizontal="center"/>
    </xf>
    <xf numFmtId="164" fontId="0" fillId="0" borderId="36" xfId="0" applyNumberFormat="1" applyFill="1" applyBorder="1" applyAlignment="1" applyProtection="1">
      <alignment horizontal="center"/>
    </xf>
    <xf numFmtId="0" fontId="0" fillId="2" borderId="59" xfId="0" applyFill="1" applyBorder="1" applyProtection="1"/>
    <xf numFmtId="0" fontId="0" fillId="2" borderId="60" xfId="0" applyFill="1" applyBorder="1" applyProtection="1"/>
    <xf numFmtId="0" fontId="0" fillId="0" borderId="15" xfId="0" applyFill="1" applyBorder="1" applyProtection="1"/>
    <xf numFmtId="0" fontId="0" fillId="0" borderId="61" xfId="0" applyFill="1" applyBorder="1" applyProtection="1"/>
    <xf numFmtId="2" fontId="0" fillId="0" borderId="58" xfId="0" applyNumberFormat="1" applyFill="1" applyBorder="1" applyAlignment="1" applyProtection="1">
      <alignment horizontal="center"/>
    </xf>
    <xf numFmtId="2" fontId="0" fillId="2" borderId="58" xfId="0" applyNumberFormat="1" applyFill="1" applyBorder="1" applyAlignment="1" applyProtection="1">
      <alignment horizontal="center"/>
    </xf>
    <xf numFmtId="3" fontId="0" fillId="2" borderId="58" xfId="0" applyNumberFormat="1" applyFill="1" applyBorder="1" applyAlignment="1" applyProtection="1">
      <alignment horizontal="center"/>
    </xf>
    <xf numFmtId="0" fontId="0" fillId="4" borderId="10" xfId="0" applyFill="1" applyBorder="1" applyProtection="1"/>
    <xf numFmtId="0" fontId="0" fillId="4" borderId="0" xfId="0" applyFill="1" applyBorder="1" applyProtection="1"/>
    <xf numFmtId="0" fontId="0" fillId="4" borderId="0" xfId="0" applyFill="1" applyBorder="1" applyAlignment="1" applyProtection="1">
      <alignment horizontal="center"/>
    </xf>
    <xf numFmtId="0" fontId="0" fillId="2" borderId="25" xfId="0" applyFill="1" applyBorder="1" applyAlignment="1" applyProtection="1">
      <alignment horizontal="center"/>
    </xf>
    <xf numFmtId="0" fontId="0" fillId="2" borderId="25" xfId="0" applyFill="1" applyBorder="1" applyProtection="1"/>
    <xf numFmtId="0" fontId="0" fillId="0" borderId="13" xfId="0" applyFill="1" applyBorder="1" applyProtection="1"/>
    <xf numFmtId="0" fontId="0" fillId="2" borderId="2" xfId="0" applyFill="1" applyBorder="1" applyAlignment="1" applyProtection="1">
      <alignment horizontal="center"/>
    </xf>
    <xf numFmtId="0" fontId="0" fillId="2" borderId="2" xfId="0" applyFill="1" applyBorder="1" applyProtection="1"/>
    <xf numFmtId="3" fontId="0" fillId="2" borderId="2" xfId="0" applyNumberFormat="1" applyFill="1" applyBorder="1" applyAlignment="1" applyProtection="1">
      <alignment horizontal="center"/>
    </xf>
    <xf numFmtId="2" fontId="0" fillId="2" borderId="2" xfId="0" applyNumberFormat="1" applyFill="1" applyBorder="1" applyAlignment="1" applyProtection="1">
      <alignment horizontal="center"/>
    </xf>
    <xf numFmtId="0" fontId="17" fillId="0" borderId="35" xfId="0" applyFont="1" applyFill="1" applyBorder="1" applyProtection="1"/>
    <xf numFmtId="0" fontId="30" fillId="2" borderId="2" xfId="0" applyFont="1" applyFill="1" applyBorder="1" applyAlignment="1" applyProtection="1">
      <alignment horizontal="center"/>
    </xf>
    <xf numFmtId="0" fontId="30" fillId="2" borderId="2" xfId="0" applyFont="1" applyFill="1" applyBorder="1" applyProtection="1"/>
    <xf numFmtId="2" fontId="0" fillId="2" borderId="59" xfId="0" applyNumberFormat="1" applyFill="1" applyBorder="1" applyAlignment="1" applyProtection="1">
      <alignment horizontal="center"/>
    </xf>
    <xf numFmtId="0" fontId="30" fillId="2" borderId="0" xfId="0" applyFont="1" applyFill="1" applyBorder="1" applyAlignment="1" applyProtection="1">
      <alignment horizontal="center"/>
    </xf>
    <xf numFmtId="0" fontId="30" fillId="2" borderId="0" xfId="0" applyFont="1" applyFill="1" applyBorder="1" applyProtection="1"/>
    <xf numFmtId="3" fontId="0" fillId="2" borderId="0" xfId="0" applyNumberFormat="1" applyFill="1" applyBorder="1" applyAlignment="1" applyProtection="1">
      <alignment horizontal="center"/>
    </xf>
    <xf numFmtId="2" fontId="0" fillId="2" borderId="62" xfId="0" applyNumberFormat="1" applyFill="1" applyBorder="1" applyAlignment="1" applyProtection="1">
      <alignment horizontal="center"/>
    </xf>
    <xf numFmtId="0" fontId="0" fillId="0" borderId="6" xfId="0" applyFill="1" applyBorder="1" applyProtection="1"/>
    <xf numFmtId="0" fontId="4" fillId="2" borderId="63" xfId="0" applyFont="1" applyFill="1" applyBorder="1" applyAlignment="1" applyProtection="1">
      <alignment horizontal="center"/>
    </xf>
    <xf numFmtId="0" fontId="4" fillId="2" borderId="64" xfId="0" applyFont="1" applyFill="1" applyBorder="1" applyAlignment="1" applyProtection="1">
      <alignment horizontal="center"/>
    </xf>
    <xf numFmtId="0" fontId="4" fillId="2" borderId="64" xfId="0" applyFont="1" applyFill="1" applyBorder="1" applyProtection="1"/>
    <xf numFmtId="3" fontId="0" fillId="2" borderId="65" xfId="0" applyNumberFormat="1" applyFill="1" applyBorder="1" applyAlignment="1" applyProtection="1">
      <alignment horizontal="center"/>
    </xf>
    <xf numFmtId="2" fontId="0" fillId="2" borderId="66" xfId="0" applyNumberFormat="1" applyFill="1" applyBorder="1" applyAlignment="1" applyProtection="1">
      <alignment horizontal="center"/>
    </xf>
    <xf numFmtId="0" fontId="4" fillId="0" borderId="39" xfId="0" applyFont="1" applyFill="1" applyBorder="1" applyAlignment="1" applyProtection="1">
      <alignment horizontal="center"/>
    </xf>
    <xf numFmtId="0" fontId="17" fillId="15" borderId="25" xfId="0" applyFont="1" applyFill="1" applyBorder="1" applyAlignment="1" applyProtection="1">
      <alignment horizontal="center"/>
    </xf>
    <xf numFmtId="165" fontId="0" fillId="0" borderId="25" xfId="0" applyNumberFormat="1" applyFill="1" applyBorder="1" applyAlignment="1" applyProtection="1">
      <alignment horizontal="center"/>
    </xf>
    <xf numFmtId="167" fontId="0" fillId="0" borderId="25" xfId="0" applyNumberFormat="1" applyFill="1" applyBorder="1" applyAlignment="1" applyProtection="1">
      <alignment horizontal="center"/>
    </xf>
    <xf numFmtId="0" fontId="0" fillId="0" borderId="25" xfId="0" applyFill="1" applyBorder="1" applyAlignment="1" applyProtection="1">
      <alignment horizontal="center"/>
    </xf>
    <xf numFmtId="1" fontId="0" fillId="0" borderId="25" xfId="0" applyNumberFormat="1" applyFill="1" applyBorder="1" applyAlignment="1" applyProtection="1">
      <alignment horizontal="center"/>
    </xf>
    <xf numFmtId="0" fontId="4" fillId="0" borderId="67" xfId="0" applyFont="1" applyFill="1" applyBorder="1" applyAlignment="1" applyProtection="1">
      <alignment horizontal="center"/>
    </xf>
    <xf numFmtId="1" fontId="0" fillId="0" borderId="68" xfId="0" applyNumberFormat="1" applyFill="1" applyBorder="1" applyAlignment="1" applyProtection="1">
      <alignment horizontal="center"/>
    </xf>
    <xf numFmtId="0" fontId="0" fillId="2" borderId="68" xfId="0" applyFill="1" applyBorder="1" applyAlignment="1" applyProtection="1">
      <alignment horizontal="center"/>
    </xf>
    <xf numFmtId="3" fontId="0" fillId="2" borderId="69" xfId="0" applyNumberFormat="1" applyFill="1" applyBorder="1" applyAlignment="1" applyProtection="1">
      <alignment horizontal="center"/>
    </xf>
    <xf numFmtId="2" fontId="0" fillId="2" borderId="70" xfId="0" applyNumberFormat="1" applyFill="1" applyBorder="1" applyAlignment="1" applyProtection="1">
      <alignment horizontal="center"/>
    </xf>
    <xf numFmtId="0" fontId="4" fillId="0" borderId="6" xfId="0" applyFont="1" applyFill="1" applyBorder="1" applyAlignment="1" applyProtection="1">
      <alignment horizontal="center"/>
    </xf>
    <xf numFmtId="0" fontId="0" fillId="2" borderId="0" xfId="0" applyFill="1" applyBorder="1" applyAlignment="1" applyProtection="1">
      <alignment horizontal="center"/>
    </xf>
    <xf numFmtId="0" fontId="0" fillId="2" borderId="0" xfId="0" applyFill="1" applyBorder="1" applyProtection="1"/>
    <xf numFmtId="3" fontId="0" fillId="2" borderId="71" xfId="0" applyNumberFormat="1" applyFill="1" applyBorder="1" applyAlignment="1" applyProtection="1">
      <alignment horizontal="center"/>
    </xf>
    <xf numFmtId="2" fontId="0" fillId="2" borderId="72" xfId="0" applyNumberFormat="1" applyFill="1" applyBorder="1" applyAlignment="1" applyProtection="1">
      <alignment horizontal="center"/>
    </xf>
    <xf numFmtId="0" fontId="4" fillId="0" borderId="63" xfId="0" applyFont="1" applyFill="1" applyBorder="1" applyAlignment="1" applyProtection="1">
      <alignment horizontal="center"/>
    </xf>
    <xf numFmtId="0" fontId="0" fillId="2" borderId="64" xfId="0" quotePrefix="1" applyFill="1" applyBorder="1" applyProtection="1"/>
    <xf numFmtId="0" fontId="0" fillId="2" borderId="64" xfId="0" applyFill="1" applyBorder="1" applyProtection="1"/>
    <xf numFmtId="0" fontId="4" fillId="0" borderId="73" xfId="0" applyFont="1" applyFill="1" applyBorder="1" applyAlignment="1" applyProtection="1">
      <alignment horizontal="center"/>
    </xf>
    <xf numFmtId="0" fontId="0" fillId="2" borderId="69" xfId="0" quotePrefix="1" applyFill="1" applyBorder="1" applyProtection="1"/>
    <xf numFmtId="0" fontId="0" fillId="2" borderId="69" xfId="0" applyFill="1" applyBorder="1" applyProtection="1"/>
    <xf numFmtId="2" fontId="0" fillId="2" borderId="69" xfId="0" applyNumberFormat="1" applyFill="1" applyBorder="1" applyAlignment="1" applyProtection="1">
      <alignment horizontal="center"/>
    </xf>
    <xf numFmtId="0" fontId="18" fillId="0" borderId="12" xfId="0" applyFont="1" applyFill="1" applyBorder="1" applyAlignment="1" applyProtection="1">
      <alignment horizontal="center"/>
    </xf>
    <xf numFmtId="0" fontId="0" fillId="2" borderId="7" xfId="0" applyFill="1" applyBorder="1" applyAlignment="1" applyProtection="1">
      <alignment horizontal="center"/>
    </xf>
    <xf numFmtId="0" fontId="0" fillId="2" borderId="7" xfId="0" applyFill="1" applyBorder="1" applyProtection="1"/>
    <xf numFmtId="2" fontId="0" fillId="2" borderId="7" xfId="0" applyNumberFormat="1" applyFill="1" applyBorder="1" applyAlignment="1" applyProtection="1">
      <alignment horizontal="center"/>
    </xf>
    <xf numFmtId="0" fontId="28" fillId="4" borderId="0" xfId="0" applyNumberFormat="1" applyFont="1" applyFill="1" applyAlignment="1" applyProtection="1">
      <alignment horizontal="center"/>
    </xf>
    <xf numFmtId="0" fontId="4" fillId="4" borderId="0" xfId="0" applyFont="1" applyFill="1" applyAlignment="1" applyProtection="1">
      <alignment horizontal="right"/>
    </xf>
    <xf numFmtId="165" fontId="0" fillId="4" borderId="0" xfId="0" applyNumberFormat="1" applyFill="1" applyAlignment="1" applyProtection="1">
      <alignment horizontal="center"/>
    </xf>
    <xf numFmtId="49" fontId="0" fillId="4" borderId="0" xfId="0" applyNumberFormat="1" applyFill="1" applyProtection="1"/>
    <xf numFmtId="0" fontId="4" fillId="2" borderId="74" xfId="0" applyFont="1" applyFill="1" applyBorder="1" applyAlignment="1" applyProtection="1">
      <alignment horizontal="center"/>
      <protection locked="0"/>
    </xf>
    <xf numFmtId="0" fontId="0" fillId="2" borderId="74" xfId="0" applyFill="1" applyBorder="1" applyAlignment="1" applyProtection="1">
      <alignment horizontal="center"/>
      <protection locked="0"/>
    </xf>
    <xf numFmtId="3" fontId="0" fillId="2" borderId="32" xfId="0" applyNumberFormat="1" applyFill="1" applyBorder="1" applyAlignment="1" applyProtection="1">
      <alignment horizontal="center"/>
      <protection locked="0"/>
    </xf>
    <xf numFmtId="3" fontId="0" fillId="2" borderId="75" xfId="0" applyNumberFormat="1" applyFill="1" applyBorder="1" applyAlignment="1" applyProtection="1">
      <alignment horizontal="center"/>
      <protection locked="0"/>
    </xf>
    <xf numFmtId="2" fontId="0" fillId="2" borderId="25" xfId="0" applyNumberFormat="1" applyFill="1" applyBorder="1" applyAlignment="1" applyProtection="1">
      <alignment horizontal="center"/>
      <protection locked="0"/>
    </xf>
    <xf numFmtId="3" fontId="0" fillId="2" borderId="58" xfId="0" applyNumberFormat="1" applyFill="1" applyBorder="1" applyAlignment="1" applyProtection="1">
      <alignment horizontal="center"/>
      <protection locked="0"/>
    </xf>
    <xf numFmtId="2" fontId="0" fillId="2" borderId="23" xfId="0" applyNumberFormat="1" applyFill="1" applyBorder="1" applyAlignment="1" applyProtection="1">
      <alignment horizontal="center"/>
      <protection locked="0"/>
    </xf>
    <xf numFmtId="0" fontId="0" fillId="2" borderId="25" xfId="0" applyFill="1" applyBorder="1" applyAlignment="1" applyProtection="1">
      <alignment horizontal="center"/>
      <protection locked="0"/>
    </xf>
    <xf numFmtId="0" fontId="0" fillId="2" borderId="25" xfId="0" applyFill="1" applyBorder="1" applyProtection="1">
      <protection locked="0"/>
    </xf>
    <xf numFmtId="1" fontId="0" fillId="2" borderId="25" xfId="0" applyNumberFormat="1" applyFill="1" applyBorder="1" applyAlignment="1" applyProtection="1">
      <alignment horizontal="center"/>
      <protection locked="0"/>
    </xf>
    <xf numFmtId="1" fontId="0" fillId="2" borderId="25" xfId="0" applyNumberFormat="1" applyFill="1" applyBorder="1" applyProtection="1">
      <protection locked="0"/>
    </xf>
    <xf numFmtId="0" fontId="30" fillId="2" borderId="0" xfId="0" applyFont="1" applyFill="1" applyBorder="1" applyAlignment="1" applyProtection="1">
      <alignment horizontal="center"/>
      <protection locked="0"/>
    </xf>
    <xf numFmtId="0" fontId="30" fillId="2" borderId="0" xfId="0" applyFont="1" applyFill="1" applyBorder="1" applyProtection="1">
      <protection locked="0"/>
    </xf>
    <xf numFmtId="3" fontId="0" fillId="2" borderId="0" xfId="0" applyNumberFormat="1" applyFill="1" applyBorder="1" applyAlignment="1" applyProtection="1">
      <alignment horizontal="center"/>
      <protection locked="0"/>
    </xf>
    <xf numFmtId="2" fontId="0" fillId="2" borderId="62" xfId="0" applyNumberFormat="1" applyFill="1" applyBorder="1" applyAlignment="1" applyProtection="1">
      <alignment horizontal="center"/>
      <protection locked="0"/>
    </xf>
    <xf numFmtId="3" fontId="0" fillId="5" borderId="25" xfId="0" applyNumberFormat="1" applyFill="1" applyBorder="1" applyAlignment="1" applyProtection="1">
      <alignment horizontal="center"/>
      <protection locked="0"/>
    </xf>
    <xf numFmtId="2" fontId="0" fillId="0" borderId="76" xfId="0" applyNumberFormat="1" applyFill="1" applyBorder="1" applyAlignment="1" applyProtection="1">
      <alignment horizontal="center"/>
    </xf>
    <xf numFmtId="0" fontId="4" fillId="2" borderId="77" xfId="0" applyFont="1" applyFill="1" applyBorder="1" applyAlignment="1" applyProtection="1">
      <alignment horizontal="center"/>
    </xf>
    <xf numFmtId="165" fontId="0" fillId="0" borderId="36" xfId="0" applyNumberFormat="1" applyFill="1" applyBorder="1" applyAlignment="1" applyProtection="1">
      <alignment horizontal="center"/>
    </xf>
    <xf numFmtId="167" fontId="0" fillId="0" borderId="36" xfId="0" applyNumberFormat="1" applyFill="1" applyBorder="1" applyAlignment="1" applyProtection="1">
      <alignment horizontal="center"/>
    </xf>
    <xf numFmtId="0" fontId="0" fillId="0" borderId="36" xfId="0" applyFill="1" applyBorder="1" applyAlignment="1" applyProtection="1">
      <alignment horizontal="center"/>
    </xf>
    <xf numFmtId="1" fontId="0" fillId="0" borderId="36" xfId="0" applyNumberFormat="1" applyFill="1" applyBorder="1" applyAlignment="1" applyProtection="1">
      <alignment horizontal="center"/>
    </xf>
    <xf numFmtId="1" fontId="0" fillId="0" borderId="78" xfId="0" applyNumberFormat="1" applyFill="1" applyBorder="1" applyAlignment="1" applyProtection="1">
      <alignment horizontal="center"/>
    </xf>
    <xf numFmtId="49" fontId="4" fillId="0" borderId="79" xfId="0" applyNumberFormat="1" applyFont="1" applyFill="1" applyBorder="1" applyAlignment="1" applyProtection="1">
      <alignment horizontal="center"/>
    </xf>
    <xf numFmtId="49" fontId="4" fillId="0" borderId="16" xfId="0" applyNumberFormat="1" applyFont="1" applyFill="1" applyBorder="1" applyAlignment="1" applyProtection="1">
      <alignment horizontal="center"/>
    </xf>
    <xf numFmtId="49" fontId="4" fillId="0" borderId="27" xfId="0" applyNumberFormat="1" applyFont="1" applyFill="1" applyBorder="1" applyAlignment="1" applyProtection="1">
      <alignment horizontal="center"/>
    </xf>
    <xf numFmtId="3" fontId="0" fillId="5" borderId="35" xfId="0" applyNumberFormat="1" applyFill="1" applyBorder="1" applyAlignment="1" applyProtection="1">
      <alignment horizontal="center"/>
      <protection locked="0"/>
    </xf>
    <xf numFmtId="3" fontId="0" fillId="5" borderId="36" xfId="0" applyNumberFormat="1" applyFill="1" applyBorder="1" applyAlignment="1" applyProtection="1">
      <alignment horizontal="center"/>
      <protection locked="0"/>
    </xf>
    <xf numFmtId="3" fontId="0" fillId="5" borderId="31" xfId="0" applyNumberFormat="1" applyFill="1" applyBorder="1" applyAlignment="1" applyProtection="1">
      <alignment horizontal="center"/>
      <protection locked="0"/>
    </xf>
    <xf numFmtId="3" fontId="0" fillId="5" borderId="17" xfId="0" applyNumberFormat="1" applyFill="1" applyBorder="1" applyAlignment="1" applyProtection="1">
      <alignment horizontal="center"/>
      <protection locked="0"/>
    </xf>
    <xf numFmtId="3" fontId="0" fillId="5" borderId="15" xfId="0" applyNumberFormat="1" applyFill="1" applyBorder="1" applyAlignment="1" applyProtection="1">
      <alignment horizontal="center"/>
      <protection locked="0"/>
    </xf>
    <xf numFmtId="3" fontId="0" fillId="5" borderId="142" xfId="0" applyNumberFormat="1" applyFill="1" applyBorder="1" applyAlignment="1" applyProtection="1">
      <alignment horizontal="center"/>
      <protection locked="0"/>
    </xf>
    <xf numFmtId="1" fontId="3" fillId="5" borderId="19" xfId="0" applyNumberFormat="1" applyFont="1" applyFill="1" applyBorder="1" applyAlignment="1" applyProtection="1">
      <alignment horizontal="center"/>
      <protection locked="0"/>
    </xf>
    <xf numFmtId="3" fontId="0" fillId="5" borderId="23" xfId="0" quotePrefix="1" applyNumberFormat="1" applyFill="1" applyBorder="1" applyAlignment="1" applyProtection="1">
      <alignment horizontal="center"/>
      <protection locked="0"/>
    </xf>
    <xf numFmtId="167" fontId="0" fillId="0" borderId="25" xfId="0" quotePrefix="1" applyNumberFormat="1" applyFill="1" applyBorder="1" applyAlignment="1" applyProtection="1">
      <alignment horizontal="center"/>
      <protection locked="0"/>
    </xf>
    <xf numFmtId="0" fontId="64" fillId="17" borderId="0" xfId="0" applyFont="1" applyFill="1" applyBorder="1" applyAlignment="1">
      <alignment horizontal="center"/>
    </xf>
    <xf numFmtId="0" fontId="64" fillId="0" borderId="0" xfId="0" quotePrefix="1" applyFont="1" applyFill="1" applyBorder="1"/>
    <xf numFmtId="0" fontId="64" fillId="0" borderId="0" xfId="0" applyFont="1" applyFill="1" applyBorder="1"/>
    <xf numFmtId="2" fontId="64" fillId="0" borderId="0" xfId="0" applyNumberFormat="1" applyFont="1" applyFill="1" applyBorder="1"/>
    <xf numFmtId="1" fontId="64" fillId="0" borderId="0" xfId="0" applyNumberFormat="1" applyFont="1" applyFill="1" applyBorder="1"/>
    <xf numFmtId="1" fontId="64" fillId="0" borderId="0" xfId="0" applyNumberFormat="1" applyFont="1" applyFill="1" applyBorder="1" applyAlignment="1">
      <alignment horizontal="right"/>
    </xf>
    <xf numFmtId="2" fontId="64" fillId="0" borderId="0" xfId="0" applyNumberFormat="1" applyFont="1" applyFill="1" applyBorder="1" applyAlignment="1">
      <alignment horizontal="right"/>
    </xf>
    <xf numFmtId="44" fontId="65" fillId="0" borderId="44" xfId="4" applyFont="1" applyFill="1" applyBorder="1"/>
    <xf numFmtId="0" fontId="64" fillId="18" borderId="0" xfId="0" applyFont="1" applyFill="1" applyBorder="1" applyAlignment="1">
      <alignment horizontal="center"/>
    </xf>
    <xf numFmtId="0" fontId="64" fillId="18" borderId="0" xfId="0" applyFont="1" applyFill="1" applyBorder="1"/>
    <xf numFmtId="0" fontId="64" fillId="0" borderId="0" xfId="0" applyFont="1" applyFill="1" applyBorder="1" applyAlignment="1">
      <alignment horizontal="left"/>
    </xf>
    <xf numFmtId="0" fontId="64" fillId="0" borderId="0" xfId="0" applyFont="1" applyFill="1" applyBorder="1" applyAlignment="1">
      <alignment horizontal="center"/>
    </xf>
    <xf numFmtId="44" fontId="65" fillId="0" borderId="44" xfId="4" applyNumberFormat="1" applyFont="1" applyFill="1" applyBorder="1"/>
    <xf numFmtId="44" fontId="65" fillId="0" borderId="0" xfId="4" applyFont="1" applyFill="1" applyBorder="1"/>
    <xf numFmtId="164" fontId="64" fillId="0" borderId="0" xfId="0" applyNumberFormat="1" applyFont="1" applyFill="1" applyBorder="1" applyAlignment="1">
      <alignment horizontal="center"/>
    </xf>
    <xf numFmtId="44" fontId="0" fillId="0" borderId="0" xfId="4" applyFont="1"/>
    <xf numFmtId="44" fontId="64" fillId="0" borderId="0" xfId="4" applyFont="1" applyFill="1" applyBorder="1"/>
    <xf numFmtId="0" fontId="0" fillId="0" borderId="80" xfId="0" applyBorder="1"/>
    <xf numFmtId="2" fontId="0" fillId="0" borderId="80" xfId="0" applyNumberFormat="1" applyBorder="1"/>
    <xf numFmtId="0" fontId="0" fillId="15" borderId="80" xfId="0" applyFill="1" applyBorder="1"/>
    <xf numFmtId="0" fontId="17" fillId="0" borderId="80" xfId="0" applyFont="1" applyBorder="1"/>
    <xf numFmtId="0" fontId="17" fillId="15" borderId="80" xfId="0" applyFont="1" applyFill="1" applyBorder="1"/>
    <xf numFmtId="43" fontId="0" fillId="0" borderId="80" xfId="3" applyFont="1" applyBorder="1"/>
    <xf numFmtId="1" fontId="0" fillId="0" borderId="80" xfId="0" applyNumberFormat="1" applyBorder="1"/>
    <xf numFmtId="2" fontId="32" fillId="19" borderId="80" xfId="0" applyNumberFormat="1" applyFont="1" applyFill="1" applyBorder="1" applyAlignment="1">
      <alignment horizontal="center"/>
    </xf>
    <xf numFmtId="176" fontId="32" fillId="19" borderId="80" xfId="4" applyNumberFormat="1" applyFont="1" applyFill="1" applyBorder="1" applyAlignment="1">
      <alignment horizontal="center"/>
    </xf>
    <xf numFmtId="0" fontId="17" fillId="15" borderId="80" xfId="0" applyFont="1" applyFill="1" applyBorder="1" applyAlignment="1">
      <alignment horizontal="center"/>
    </xf>
    <xf numFmtId="0" fontId="0" fillId="15" borderId="80" xfId="0" applyFill="1" applyBorder="1" applyAlignment="1">
      <alignment horizontal="center"/>
    </xf>
    <xf numFmtId="164" fontId="32" fillId="19" borderId="80" xfId="3" applyNumberFormat="1" applyFont="1" applyFill="1" applyBorder="1" applyAlignment="1">
      <alignment horizontal="center"/>
    </xf>
    <xf numFmtId="0" fontId="17" fillId="15" borderId="81" xfId="0" applyFont="1" applyFill="1" applyBorder="1"/>
    <xf numFmtId="177" fontId="33" fillId="15" borderId="82" xfId="3" applyNumberFormat="1" applyFont="1" applyFill="1" applyBorder="1"/>
    <xf numFmtId="168" fontId="33" fillId="15" borderId="82" xfId="3" applyNumberFormat="1" applyFont="1" applyFill="1" applyBorder="1"/>
    <xf numFmtId="0" fontId="0" fillId="15" borderId="82" xfId="0" applyFill="1" applyBorder="1"/>
    <xf numFmtId="44" fontId="33" fillId="15" borderId="82" xfId="4" applyFont="1" applyFill="1" applyBorder="1"/>
    <xf numFmtId="1" fontId="0" fillId="0" borderId="80" xfId="0" applyNumberFormat="1" applyFill="1" applyBorder="1"/>
    <xf numFmtId="0" fontId="17" fillId="0" borderId="80" xfId="0" applyFont="1" applyFill="1" applyBorder="1" applyAlignment="1">
      <alignment horizontal="center" wrapText="1"/>
    </xf>
    <xf numFmtId="0" fontId="17" fillId="0" borderId="80" xfId="0" applyFont="1" applyFill="1" applyBorder="1" applyAlignment="1">
      <alignment horizontal="center" vertical="center" wrapText="1"/>
    </xf>
    <xf numFmtId="168" fontId="17" fillId="0" borderId="80" xfId="3" applyNumberFormat="1" applyFont="1" applyFill="1" applyBorder="1" applyAlignment="1">
      <alignment horizontal="center" wrapText="1"/>
    </xf>
    <xf numFmtId="44" fontId="17" fillId="0" borderId="80" xfId="4" applyFont="1" applyFill="1" applyBorder="1" applyAlignment="1">
      <alignment horizontal="center" wrapText="1"/>
    </xf>
    <xf numFmtId="177" fontId="17" fillId="0" borderId="80" xfId="3" applyNumberFormat="1" applyFont="1" applyFill="1" applyBorder="1" applyAlignment="1">
      <alignment horizontal="center" wrapText="1"/>
    </xf>
    <xf numFmtId="0" fontId="17" fillId="0" borderId="83" xfId="0" applyFont="1" applyBorder="1"/>
    <xf numFmtId="0" fontId="0" fillId="0" borderId="83" xfId="0" applyBorder="1"/>
    <xf numFmtId="0" fontId="17" fillId="0" borderId="83" xfId="0" applyFont="1" applyFill="1" applyBorder="1"/>
    <xf numFmtId="0" fontId="17" fillId="0" borderId="82" xfId="0" applyFont="1" applyFill="1" applyBorder="1"/>
    <xf numFmtId="0" fontId="0" fillId="0" borderId="80" xfId="0" applyBorder="1" applyAlignment="1">
      <alignment horizontal="center"/>
    </xf>
    <xf numFmtId="44" fontId="0" fillId="0" borderId="80" xfId="4" applyFont="1" applyBorder="1" applyAlignment="1">
      <alignment horizontal="center"/>
    </xf>
    <xf numFmtId="3" fontId="0" fillId="0" borderId="80" xfId="3" applyNumberFormat="1" applyFont="1" applyBorder="1" applyAlignment="1">
      <alignment horizontal="center"/>
    </xf>
    <xf numFmtId="166" fontId="17" fillId="0" borderId="80" xfId="0" applyNumberFormat="1" applyFont="1" applyFill="1" applyBorder="1" applyAlignment="1">
      <alignment horizontal="center" vertical="center" wrapText="1"/>
    </xf>
    <xf numFmtId="1" fontId="32" fillId="19" borderId="80" xfId="0" applyNumberFormat="1" applyFont="1" applyFill="1" applyBorder="1" applyAlignment="1">
      <alignment horizontal="center"/>
    </xf>
    <xf numFmtId="44" fontId="0" fillId="0" borderId="0" xfId="0" applyNumberFormat="1" applyFill="1"/>
    <xf numFmtId="0" fontId="0" fillId="20" borderId="80" xfId="0" applyFill="1" applyBorder="1" applyAlignment="1">
      <alignment horizontal="center"/>
    </xf>
    <xf numFmtId="10" fontId="0" fillId="0" borderId="0" xfId="9" applyNumberFormat="1" applyFont="1"/>
    <xf numFmtId="165" fontId="0" fillId="0" borderId="80" xfId="0" applyNumberFormat="1" applyBorder="1"/>
    <xf numFmtId="165" fontId="0" fillId="0" borderId="80" xfId="0" applyNumberFormat="1" applyFill="1" applyBorder="1"/>
    <xf numFmtId="0" fontId="17" fillId="15" borderId="84" xfId="0" applyFont="1" applyFill="1" applyBorder="1"/>
    <xf numFmtId="168" fontId="33" fillId="15" borderId="85" xfId="3" applyNumberFormat="1" applyFont="1" applyFill="1" applyBorder="1"/>
    <xf numFmtId="0" fontId="17" fillId="0" borderId="86" xfId="0" applyFont="1" applyFill="1" applyBorder="1" applyAlignment="1">
      <alignment horizontal="center" vertical="center" wrapText="1"/>
    </xf>
    <xf numFmtId="166" fontId="17" fillId="0" borderId="86" xfId="0" applyNumberFormat="1" applyFont="1" applyFill="1" applyBorder="1" applyAlignment="1">
      <alignment horizontal="center" vertical="center" wrapText="1"/>
    </xf>
    <xf numFmtId="168" fontId="17" fillId="0" borderId="86" xfId="3" applyNumberFormat="1" applyFont="1" applyFill="1" applyBorder="1" applyAlignment="1">
      <alignment horizontal="center" wrapText="1"/>
    </xf>
    <xf numFmtId="0" fontId="17" fillId="15" borderId="87" xfId="0" applyFont="1" applyFill="1" applyBorder="1"/>
    <xf numFmtId="168" fontId="33" fillId="15" borderId="88" xfId="3" applyNumberFormat="1" applyFont="1" applyFill="1" applyBorder="1"/>
    <xf numFmtId="168" fontId="17" fillId="0" borderId="89" xfId="3" applyNumberFormat="1" applyFont="1" applyFill="1" applyBorder="1" applyAlignment="1">
      <alignment horizontal="center" wrapText="1"/>
    </xf>
    <xf numFmtId="0" fontId="17" fillId="21" borderId="90" xfId="0" applyFont="1" applyFill="1" applyBorder="1" applyAlignment="1">
      <alignment horizontal="center" vertical="center" wrapText="1"/>
    </xf>
    <xf numFmtId="166" fontId="17" fillId="21" borderId="90" xfId="0" applyNumberFormat="1" applyFont="1" applyFill="1" applyBorder="1" applyAlignment="1">
      <alignment horizontal="center" vertical="center" wrapText="1"/>
    </xf>
    <xf numFmtId="3" fontId="34" fillId="21" borderId="80" xfId="3" applyNumberFormat="1" applyFont="1" applyFill="1" applyBorder="1" applyAlignment="1">
      <alignment horizontal="center"/>
    </xf>
    <xf numFmtId="2" fontId="0" fillId="0" borderId="83" xfId="0" applyNumberFormat="1" applyBorder="1"/>
    <xf numFmtId="2" fontId="0" fillId="0" borderId="83" xfId="0" applyNumberFormat="1" applyFill="1" applyBorder="1"/>
    <xf numFmtId="2" fontId="0" fillId="0" borderId="82" xfId="0" applyNumberFormat="1" applyFill="1" applyBorder="1"/>
    <xf numFmtId="1" fontId="17" fillId="0" borderId="80" xfId="0" applyNumberFormat="1" applyFont="1" applyFill="1" applyBorder="1" applyAlignment="1">
      <alignment horizontal="center" vertical="center" wrapText="1"/>
    </xf>
    <xf numFmtId="1" fontId="17" fillId="0" borderId="86" xfId="0" applyNumberFormat="1" applyFont="1" applyFill="1" applyBorder="1" applyAlignment="1">
      <alignment horizontal="center" vertical="center" wrapText="1"/>
    </xf>
    <xf numFmtId="1" fontId="17" fillId="21" borderId="90" xfId="0" applyNumberFormat="1" applyFont="1" applyFill="1" applyBorder="1" applyAlignment="1">
      <alignment horizontal="center" vertical="center" wrapText="1"/>
    </xf>
    <xf numFmtId="2" fontId="0" fillId="0" borderId="80" xfId="0" applyNumberFormat="1" applyBorder="1" applyAlignment="1">
      <alignment horizontal="center"/>
    </xf>
    <xf numFmtId="165" fontId="0" fillId="0" borderId="83" xfId="0" applyNumberFormat="1" applyBorder="1"/>
    <xf numFmtId="0" fontId="17" fillId="0" borderId="0" xfId="0" applyFont="1" applyAlignment="1">
      <alignment horizontal="center"/>
    </xf>
    <xf numFmtId="0" fontId="17" fillId="0" borderId="0" xfId="0" applyFont="1" applyAlignment="1">
      <alignment horizontal="right"/>
    </xf>
    <xf numFmtId="1" fontId="0" fillId="20" borderId="80" xfId="0" applyNumberFormat="1" applyFill="1" applyBorder="1" applyAlignment="1">
      <alignment horizontal="center"/>
    </xf>
    <xf numFmtId="5" fontId="32" fillId="19" borderId="80" xfId="4" applyNumberFormat="1" applyFont="1" applyFill="1" applyBorder="1" applyAlignment="1">
      <alignment horizontal="center"/>
    </xf>
    <xf numFmtId="5" fontId="35" fillId="15" borderId="80" xfId="4" applyNumberFormat="1" applyFont="1" applyFill="1" applyBorder="1" applyAlignment="1">
      <alignment horizontal="center"/>
    </xf>
    <xf numFmtId="0" fontId="0" fillId="15" borderId="143" xfId="0" applyFill="1" applyBorder="1" applyAlignment="1">
      <alignment horizontal="center" vertical="center"/>
    </xf>
    <xf numFmtId="0" fontId="0" fillId="22" borderId="143" xfId="0" applyFill="1" applyBorder="1" applyAlignment="1">
      <alignment horizontal="center" vertical="center"/>
    </xf>
    <xf numFmtId="0" fontId="17" fillId="22" borderId="143" xfId="0" applyFont="1" applyFill="1" applyBorder="1" applyAlignment="1">
      <alignment horizontal="center" vertical="center"/>
    </xf>
    <xf numFmtId="0" fontId="0" fillId="23" borderId="143" xfId="0" applyFill="1" applyBorder="1" applyAlignment="1">
      <alignment horizontal="center" vertical="center"/>
    </xf>
    <xf numFmtId="1" fontId="0" fillId="23" borderId="143" xfId="0" applyNumberFormat="1" applyFill="1" applyBorder="1" applyAlignment="1">
      <alignment horizontal="center" vertical="center"/>
    </xf>
    <xf numFmtId="0" fontId="17" fillId="23" borderId="143" xfId="0" applyFont="1" applyFill="1" applyBorder="1" applyAlignment="1">
      <alignment horizontal="center" vertical="center" wrapText="1"/>
    </xf>
    <xf numFmtId="7" fontId="0" fillId="23" borderId="143" xfId="0" applyNumberFormat="1" applyFill="1" applyBorder="1" applyAlignment="1">
      <alignment horizontal="center" vertical="center"/>
    </xf>
    <xf numFmtId="0" fontId="17" fillId="23" borderId="143" xfId="0" applyFont="1" applyFill="1" applyBorder="1" applyAlignment="1">
      <alignment horizontal="center" vertical="center"/>
    </xf>
    <xf numFmtId="0" fontId="36" fillId="22" borderId="144" xfId="0" applyFont="1" applyFill="1" applyBorder="1" applyAlignment="1">
      <alignment horizontal="left" vertical="center"/>
    </xf>
    <xf numFmtId="0" fontId="0" fillId="22" borderId="145" xfId="0" applyFill="1" applyBorder="1" applyAlignment="1">
      <alignment horizontal="center" vertical="center"/>
    </xf>
    <xf numFmtId="0" fontId="17" fillId="15" borderId="143" xfId="0" applyFont="1" applyFill="1" applyBorder="1" applyAlignment="1">
      <alignment horizontal="center" vertical="center"/>
    </xf>
    <xf numFmtId="0" fontId="36" fillId="15" borderId="144" xfId="0" applyFont="1" applyFill="1" applyBorder="1" applyAlignment="1">
      <alignment horizontal="left" vertical="center"/>
    </xf>
    <xf numFmtId="0" fontId="0" fillId="15" borderId="145" xfId="0" applyFill="1" applyBorder="1" applyAlignment="1">
      <alignment horizontal="center" vertical="center"/>
    </xf>
    <xf numFmtId="0" fontId="17" fillId="24" borderId="143" xfId="0" applyFont="1" applyFill="1" applyBorder="1" applyAlignment="1">
      <alignment horizontal="center" vertical="center"/>
    </xf>
    <xf numFmtId="7" fontId="0" fillId="24" borderId="143" xfId="0" applyNumberFormat="1" applyFill="1" applyBorder="1" applyAlignment="1">
      <alignment horizontal="center" vertical="center"/>
    </xf>
    <xf numFmtId="165" fontId="0" fillId="24" borderId="143" xfId="0" applyNumberFormat="1" applyFill="1" applyBorder="1" applyAlignment="1">
      <alignment horizontal="center" vertical="center"/>
    </xf>
    <xf numFmtId="2" fontId="0" fillId="24" borderId="143" xfId="0" applyNumberFormat="1" applyFill="1" applyBorder="1" applyAlignment="1">
      <alignment horizontal="center" vertical="center"/>
    </xf>
    <xf numFmtId="1" fontId="0" fillId="24" borderId="143" xfId="0" applyNumberFormat="1" applyFill="1" applyBorder="1" applyAlignment="1">
      <alignment horizontal="center" vertical="center"/>
    </xf>
    <xf numFmtId="0" fontId="17" fillId="24" borderId="143" xfId="0" applyFont="1" applyFill="1" applyBorder="1" applyAlignment="1">
      <alignment horizontal="center" vertical="center" wrapText="1"/>
    </xf>
    <xf numFmtId="0" fontId="4" fillId="25" borderId="144" xfId="0" applyFont="1" applyFill="1" applyBorder="1" applyAlignment="1">
      <alignment horizontal="center" vertical="center"/>
    </xf>
    <xf numFmtId="0" fontId="17" fillId="25" borderId="144" xfId="0" applyFont="1" applyFill="1" applyBorder="1" applyAlignment="1">
      <alignment horizontal="center" vertical="center"/>
    </xf>
    <xf numFmtId="0" fontId="0" fillId="25" borderId="144" xfId="0" applyFill="1" applyBorder="1" applyAlignment="1">
      <alignment horizontal="center" vertical="center"/>
    </xf>
    <xf numFmtId="0" fontId="17" fillId="25" borderId="144" xfId="0" applyFont="1" applyFill="1" applyBorder="1" applyAlignment="1">
      <alignment horizontal="center" vertical="center" wrapText="1"/>
    </xf>
    <xf numFmtId="1" fontId="17" fillId="21" borderId="147" xfId="0" applyNumberFormat="1" applyFont="1" applyFill="1" applyBorder="1" applyAlignment="1">
      <alignment horizontal="center" vertical="center" wrapText="1"/>
    </xf>
    <xf numFmtId="0" fontId="17" fillId="26" borderId="148" xfId="0" applyFont="1" applyFill="1" applyBorder="1" applyAlignment="1">
      <alignment horizontal="center" vertical="center" wrapText="1"/>
    </xf>
    <xf numFmtId="0" fontId="17" fillId="26" borderId="149" xfId="0" applyFont="1" applyFill="1" applyBorder="1" applyAlignment="1">
      <alignment horizontal="center" vertical="center" wrapText="1"/>
    </xf>
    <xf numFmtId="2" fontId="17" fillId="26" borderId="150" xfId="0" applyNumberFormat="1" applyFont="1" applyFill="1" applyBorder="1" applyAlignment="1">
      <alignment horizontal="center" vertical="center" wrapText="1"/>
    </xf>
    <xf numFmtId="3" fontId="17" fillId="26" borderId="150" xfId="0" applyNumberFormat="1" applyFont="1" applyFill="1" applyBorder="1" applyAlignment="1">
      <alignment horizontal="center" vertical="center" wrapText="1"/>
    </xf>
    <xf numFmtId="5" fontId="17" fillId="26" borderId="150" xfId="0" applyNumberFormat="1" applyFont="1" applyFill="1" applyBorder="1" applyAlignment="1">
      <alignment horizontal="center" vertical="center" wrapText="1"/>
    </xf>
    <xf numFmtId="5" fontId="0" fillId="26" borderId="150" xfId="0" applyNumberFormat="1" applyFill="1" applyBorder="1" applyAlignment="1">
      <alignment horizontal="center" vertical="center"/>
    </xf>
    <xf numFmtId="5" fontId="17" fillId="26" borderId="151" xfId="0" applyNumberFormat="1" applyFont="1" applyFill="1" applyBorder="1" applyAlignment="1">
      <alignment horizontal="center" vertical="center" wrapText="1"/>
    </xf>
    <xf numFmtId="0" fontId="17" fillId="0" borderId="0" xfId="0" applyFont="1" applyAlignment="1">
      <alignment horizontal="left" vertical="center"/>
    </xf>
    <xf numFmtId="0" fontId="0" fillId="0" borderId="0" xfId="0" applyAlignment="1">
      <alignment horizontal="left" vertical="center"/>
    </xf>
    <xf numFmtId="0" fontId="1" fillId="0" borderId="0" xfId="0" applyFont="1"/>
    <xf numFmtId="165" fontId="32" fillId="19" borderId="80" xfId="0" applyNumberFormat="1" applyFont="1" applyFill="1" applyBorder="1" applyAlignment="1">
      <alignment horizontal="center"/>
    </xf>
    <xf numFmtId="0" fontId="17" fillId="21" borderId="146" xfId="0" applyFont="1" applyFill="1" applyBorder="1" applyAlignment="1" applyProtection="1">
      <alignment horizontal="center" vertical="center" wrapText="1"/>
      <protection locked="0"/>
    </xf>
    <xf numFmtId="0" fontId="17" fillId="21" borderId="147" xfId="0" applyFont="1" applyFill="1" applyBorder="1" applyAlignment="1" applyProtection="1">
      <alignment horizontal="center" vertical="center" wrapText="1"/>
      <protection locked="0"/>
    </xf>
    <xf numFmtId="0" fontId="17" fillId="21" borderId="152" xfId="0" applyFont="1" applyFill="1" applyBorder="1" applyAlignment="1" applyProtection="1">
      <alignment horizontal="center" vertical="center" wrapText="1"/>
      <protection locked="0"/>
    </xf>
    <xf numFmtId="0" fontId="1" fillId="25" borderId="144" xfId="0" applyFont="1" applyFill="1" applyBorder="1" applyAlignment="1">
      <alignment horizontal="center" vertical="center" wrapText="1"/>
    </xf>
    <xf numFmtId="0" fontId="1" fillId="0" borderId="0" xfId="0" applyFont="1" applyAlignment="1">
      <alignment horizontal="center" vertical="center"/>
    </xf>
    <xf numFmtId="0" fontId="0" fillId="0" borderId="0" xfId="0" applyAlignment="1">
      <alignment horizontal="center" vertical="center"/>
    </xf>
    <xf numFmtId="168" fontId="0" fillId="0" borderId="0" xfId="0" applyNumberFormat="1"/>
    <xf numFmtId="0" fontId="1" fillId="23" borderId="143" xfId="0" applyFont="1" applyFill="1" applyBorder="1" applyAlignment="1">
      <alignment horizontal="center" vertical="center" wrapText="1"/>
    </xf>
    <xf numFmtId="3" fontId="0" fillId="0" borderId="0" xfId="0" applyNumberFormat="1"/>
    <xf numFmtId="0" fontId="1" fillId="23" borderId="144" xfId="0" applyFont="1" applyFill="1" applyBorder="1" applyAlignment="1">
      <alignment horizontal="center" vertical="center"/>
    </xf>
    <xf numFmtId="3" fontId="0" fillId="23" borderId="158" xfId="0" applyNumberFormat="1" applyFill="1" applyBorder="1" applyAlignment="1">
      <alignment horizontal="center" vertical="center"/>
    </xf>
    <xf numFmtId="3" fontId="0" fillId="23" borderId="159" xfId="0" applyNumberFormat="1" applyFill="1" applyBorder="1" applyAlignment="1">
      <alignment horizontal="center" vertical="center"/>
    </xf>
    <xf numFmtId="1" fontId="0" fillId="21" borderId="146" xfId="0" applyNumberFormat="1" applyFill="1" applyBorder="1" applyAlignment="1" applyProtection="1">
      <alignment horizontal="center" vertical="center"/>
      <protection locked="0"/>
    </xf>
    <xf numFmtId="178" fontId="0" fillId="21" borderId="157" xfId="0" applyNumberFormat="1" applyFill="1" applyBorder="1" applyAlignment="1" applyProtection="1">
      <alignment horizontal="center" vertical="center"/>
      <protection locked="0"/>
    </xf>
    <xf numFmtId="43" fontId="34" fillId="21" borderId="80" xfId="3" applyNumberFormat="1" applyFont="1" applyFill="1" applyBorder="1" applyAlignment="1"/>
    <xf numFmtId="0" fontId="17" fillId="21" borderId="147" xfId="0" applyFont="1" applyFill="1" applyBorder="1" applyAlignment="1" applyProtection="1">
      <alignment horizontal="center" vertical="center" wrapText="1"/>
    </xf>
    <xf numFmtId="166" fontId="17" fillId="21" borderId="147" xfId="0" applyNumberFormat="1" applyFont="1" applyFill="1" applyBorder="1" applyAlignment="1" applyProtection="1">
      <alignment horizontal="center" vertical="center" wrapText="1"/>
    </xf>
    <xf numFmtId="1" fontId="17" fillId="21" borderId="157" xfId="0" applyNumberFormat="1" applyFont="1" applyFill="1" applyBorder="1" applyAlignment="1" applyProtection="1">
      <alignment horizontal="center" vertical="center" wrapText="1"/>
    </xf>
    <xf numFmtId="0" fontId="11" fillId="4" borderId="18" xfId="0" applyFont="1" applyFill="1" applyBorder="1" applyAlignment="1">
      <alignment horizontal="center"/>
    </xf>
    <xf numFmtId="0" fontId="11" fillId="4" borderId="19" xfId="0" applyFont="1" applyFill="1" applyBorder="1" applyAlignment="1">
      <alignment horizontal="center"/>
    </xf>
    <xf numFmtId="0" fontId="11" fillId="4" borderId="43" xfId="0" applyFont="1" applyFill="1" applyBorder="1" applyAlignment="1">
      <alignment horizontal="center"/>
    </xf>
    <xf numFmtId="0" fontId="2" fillId="4" borderId="6" xfId="0" applyFont="1" applyFill="1" applyBorder="1" applyAlignment="1">
      <alignment horizontal="center"/>
    </xf>
    <xf numFmtId="0" fontId="2" fillId="4" borderId="0" xfId="0" applyFont="1" applyFill="1" applyBorder="1" applyAlignment="1">
      <alignment horizontal="center"/>
    </xf>
    <xf numFmtId="0" fontId="2" fillId="4" borderId="1" xfId="0" applyFont="1" applyFill="1" applyBorder="1" applyAlignment="1">
      <alignment horizontal="center"/>
    </xf>
    <xf numFmtId="0" fontId="2" fillId="2" borderId="28" xfId="0" applyFont="1" applyFill="1" applyBorder="1" applyAlignment="1" applyProtection="1">
      <alignment horizontal="center"/>
    </xf>
    <xf numFmtId="0" fontId="2" fillId="2" borderId="29" xfId="0" applyFont="1" applyFill="1" applyBorder="1" applyAlignment="1" applyProtection="1">
      <alignment horizontal="center"/>
    </xf>
    <xf numFmtId="0" fontId="2" fillId="2" borderId="30" xfId="0" applyFont="1" applyFill="1" applyBorder="1" applyAlignment="1" applyProtection="1">
      <alignment horizontal="center"/>
    </xf>
    <xf numFmtId="0" fontId="2" fillId="2" borderId="11" xfId="0" applyFont="1" applyFill="1" applyBorder="1" applyAlignment="1" applyProtection="1">
      <alignment horizontal="center"/>
    </xf>
    <xf numFmtId="0" fontId="2" fillId="2" borderId="1" xfId="0" applyFont="1" applyFill="1" applyBorder="1" applyAlignment="1" applyProtection="1">
      <alignment horizontal="center"/>
    </xf>
    <xf numFmtId="0" fontId="2" fillId="2" borderId="16" xfId="0" applyFont="1" applyFill="1" applyBorder="1" applyAlignment="1" applyProtection="1">
      <alignment horizontal="center" wrapText="1"/>
    </xf>
    <xf numFmtId="0" fontId="2" fillId="2" borderId="17" xfId="0" applyFont="1" applyFill="1" applyBorder="1" applyAlignment="1" applyProtection="1">
      <alignment horizontal="center" wrapText="1"/>
    </xf>
    <xf numFmtId="0" fontId="8" fillId="2" borderId="16" xfId="0" applyFont="1" applyFill="1" applyBorder="1" applyAlignment="1" applyProtection="1">
      <alignment horizontal="center" wrapText="1"/>
    </xf>
    <xf numFmtId="0" fontId="8" fillId="2" borderId="17" xfId="0" applyFont="1" applyFill="1" applyBorder="1" applyAlignment="1" applyProtection="1">
      <alignment horizontal="center" wrapText="1"/>
    </xf>
    <xf numFmtId="0" fontId="2" fillId="2" borderId="79" xfId="0" applyFont="1" applyFill="1" applyBorder="1" applyAlignment="1" applyProtection="1">
      <alignment horizontal="center" wrapText="1"/>
    </xf>
    <xf numFmtId="0" fontId="2" fillId="2" borderId="31" xfId="0" applyFont="1" applyFill="1" applyBorder="1" applyAlignment="1" applyProtection="1">
      <alignment horizontal="center" wrapText="1"/>
    </xf>
    <xf numFmtId="0" fontId="2" fillId="2" borderId="79" xfId="0" applyFont="1" applyFill="1" applyBorder="1" applyAlignment="1" applyProtection="1">
      <alignment horizontal="right"/>
    </xf>
    <xf numFmtId="0" fontId="2" fillId="2" borderId="16" xfId="0" applyFont="1" applyFill="1" applyBorder="1" applyAlignment="1" applyProtection="1">
      <alignment horizontal="right"/>
    </xf>
    <xf numFmtId="0" fontId="2" fillId="2" borderId="16" xfId="0" applyFont="1" applyFill="1" applyBorder="1" applyAlignment="1" applyProtection="1">
      <alignment horizontal="center"/>
    </xf>
    <xf numFmtId="0" fontId="0" fillId="0" borderId="23" xfId="0" applyFill="1" applyBorder="1" applyAlignment="1" applyProtection="1">
      <alignment horizontal="center"/>
    </xf>
    <xf numFmtId="0" fontId="0" fillId="0" borderId="76" xfId="0" applyFill="1" applyBorder="1" applyAlignment="1" applyProtection="1">
      <alignment horizontal="center"/>
    </xf>
    <xf numFmtId="3" fontId="0" fillId="5" borderId="23" xfId="0" applyNumberFormat="1" applyFill="1" applyBorder="1" applyAlignment="1" applyProtection="1">
      <alignment horizontal="center"/>
      <protection locked="0"/>
    </xf>
    <xf numFmtId="3" fontId="0" fillId="5" borderId="76" xfId="0" applyNumberFormat="1" applyFill="1" applyBorder="1" applyAlignment="1" applyProtection="1">
      <alignment horizontal="center"/>
      <protection locked="0"/>
    </xf>
    <xf numFmtId="3" fontId="0" fillId="0" borderId="23" xfId="0" applyNumberFormat="1" applyFill="1" applyBorder="1" applyAlignment="1" applyProtection="1">
      <alignment horizontal="center"/>
    </xf>
    <xf numFmtId="0" fontId="0" fillId="0" borderId="76" xfId="0" applyBorder="1" applyAlignment="1" applyProtection="1">
      <alignment horizontal="center"/>
      <protection locked="0"/>
    </xf>
    <xf numFmtId="166" fontId="0" fillId="0" borderId="23" xfId="0" applyNumberFormat="1" applyFill="1" applyBorder="1" applyAlignment="1" applyProtection="1">
      <alignment horizontal="center"/>
    </xf>
    <xf numFmtId="166" fontId="0" fillId="0" borderId="76" xfId="0" applyNumberFormat="1" applyFill="1" applyBorder="1" applyAlignment="1" applyProtection="1">
      <alignment horizontal="center"/>
    </xf>
    <xf numFmtId="49" fontId="0" fillId="0" borderId="0" xfId="0" applyNumberFormat="1" applyFill="1" applyBorder="1" applyAlignment="1" applyProtection="1">
      <alignment horizontal="center"/>
    </xf>
    <xf numFmtId="0" fontId="0" fillId="0" borderId="0" xfId="0" applyAlignment="1" applyProtection="1">
      <alignment horizontal="center"/>
    </xf>
    <xf numFmtId="0" fontId="0" fillId="0" borderId="71" xfId="0" applyFill="1" applyBorder="1" applyAlignment="1" applyProtection="1">
      <alignment horizontal="center"/>
    </xf>
    <xf numFmtId="0" fontId="0" fillId="0" borderId="71" xfId="0" applyBorder="1" applyAlignment="1" applyProtection="1">
      <alignment horizontal="center"/>
    </xf>
    <xf numFmtId="164" fontId="0" fillId="0" borderId="70" xfId="0" applyNumberFormat="1" applyFill="1" applyBorder="1" applyAlignment="1" applyProtection="1">
      <alignment horizontal="center"/>
    </xf>
    <xf numFmtId="0" fontId="0" fillId="0" borderId="69" xfId="0" applyBorder="1" applyAlignment="1" applyProtection="1">
      <alignment horizontal="center"/>
    </xf>
    <xf numFmtId="0" fontId="0" fillId="0" borderId="41" xfId="0" applyFill="1" applyBorder="1" applyAlignment="1" applyProtection="1">
      <alignment horizontal="center"/>
    </xf>
    <xf numFmtId="3" fontId="0" fillId="5" borderId="41" xfId="0" applyNumberFormat="1" applyFill="1" applyBorder="1" applyAlignment="1" applyProtection="1">
      <alignment horizontal="center"/>
      <protection locked="0"/>
    </xf>
    <xf numFmtId="0" fontId="0" fillId="0" borderId="41" xfId="0" applyBorder="1" applyAlignment="1" applyProtection="1">
      <alignment horizontal="center"/>
      <protection locked="0"/>
    </xf>
    <xf numFmtId="166" fontId="0" fillId="0" borderId="41" xfId="0" applyNumberFormat="1" applyFill="1" applyBorder="1" applyAlignment="1" applyProtection="1">
      <alignment horizontal="center"/>
    </xf>
    <xf numFmtId="164" fontId="31" fillId="0" borderId="7" xfId="0" applyNumberFormat="1" applyFont="1" applyFill="1" applyBorder="1" applyAlignment="1" applyProtection="1">
      <alignment horizontal="center"/>
    </xf>
    <xf numFmtId="164" fontId="31" fillId="0" borderId="8" xfId="0" applyNumberFormat="1" applyFont="1" applyFill="1" applyBorder="1" applyAlignment="1" applyProtection="1">
      <alignment horizontal="center"/>
    </xf>
    <xf numFmtId="164" fontId="0" fillId="0" borderId="66" xfId="0" applyNumberFormat="1" applyFill="1" applyBorder="1" applyAlignment="1" applyProtection="1">
      <alignment horizontal="center"/>
    </xf>
    <xf numFmtId="164" fontId="0" fillId="0" borderId="93" xfId="0" applyNumberFormat="1" applyFill="1" applyBorder="1" applyAlignment="1" applyProtection="1">
      <alignment horizontal="center"/>
    </xf>
    <xf numFmtId="0" fontId="0" fillId="0" borderId="1" xfId="0" applyBorder="1" applyAlignment="1" applyProtection="1">
      <alignment horizontal="center"/>
    </xf>
    <xf numFmtId="0" fontId="0" fillId="0" borderId="94" xfId="0" applyBorder="1" applyAlignment="1" applyProtection="1">
      <alignment horizontal="center"/>
    </xf>
    <xf numFmtId="0" fontId="0" fillId="0" borderId="95" xfId="0" applyBorder="1" applyAlignment="1" applyProtection="1">
      <alignment horizontal="center"/>
    </xf>
    <xf numFmtId="164" fontId="0" fillId="0" borderId="96" xfId="0" applyNumberFormat="1" applyFill="1" applyBorder="1" applyAlignment="1" applyProtection="1">
      <alignment horizontal="center"/>
    </xf>
    <xf numFmtId="164" fontId="0" fillId="5" borderId="23" xfId="0" applyNumberFormat="1" applyFill="1" applyBorder="1" applyAlignment="1" applyProtection="1">
      <alignment horizontal="center"/>
      <protection locked="0"/>
    </xf>
    <xf numFmtId="164" fontId="0" fillId="5" borderId="41" xfId="0" applyNumberFormat="1" applyFill="1" applyBorder="1" applyAlignment="1" applyProtection="1">
      <alignment horizontal="center"/>
      <protection locked="0"/>
    </xf>
    <xf numFmtId="0" fontId="30" fillId="0" borderId="0" xfId="0" applyFont="1" applyFill="1" applyBorder="1" applyAlignment="1" applyProtection="1">
      <alignment horizontal="center"/>
    </xf>
    <xf numFmtId="0" fontId="30" fillId="0" borderId="1" xfId="0" applyFont="1" applyFill="1" applyBorder="1" applyAlignment="1" applyProtection="1">
      <alignment horizontal="center"/>
    </xf>
    <xf numFmtId="1" fontId="0" fillId="5" borderId="23" xfId="0" applyNumberFormat="1" applyFill="1" applyBorder="1" applyAlignment="1" applyProtection="1">
      <alignment horizontal="center"/>
      <protection locked="0"/>
    </xf>
    <xf numFmtId="1" fontId="0" fillId="5" borderId="41" xfId="0" applyNumberFormat="1" applyFill="1" applyBorder="1" applyAlignment="1" applyProtection="1">
      <alignment horizontal="center"/>
      <protection locked="0"/>
    </xf>
    <xf numFmtId="1" fontId="0" fillId="5" borderId="76" xfId="0" applyNumberFormat="1" applyFill="1" applyBorder="1" applyAlignment="1" applyProtection="1">
      <alignment horizontal="center"/>
      <protection locked="0"/>
    </xf>
    <xf numFmtId="0" fontId="30" fillId="0" borderId="2" xfId="0" applyFont="1" applyFill="1" applyBorder="1" applyAlignment="1" applyProtection="1">
      <alignment horizontal="center"/>
    </xf>
    <xf numFmtId="0" fontId="30" fillId="0" borderId="3" xfId="0" applyFont="1" applyFill="1" applyBorder="1" applyAlignment="1" applyProtection="1">
      <alignment horizontal="center"/>
    </xf>
    <xf numFmtId="0" fontId="0" fillId="5" borderId="23" xfId="0" applyFill="1" applyBorder="1" applyAlignment="1" applyProtection="1">
      <alignment horizontal="center"/>
      <protection locked="0"/>
    </xf>
    <xf numFmtId="0" fontId="0" fillId="5" borderId="41" xfId="0" applyFill="1" applyBorder="1" applyAlignment="1" applyProtection="1">
      <alignment horizontal="center"/>
      <protection locked="0"/>
    </xf>
    <xf numFmtId="0" fontId="0" fillId="5" borderId="76" xfId="0" applyFill="1" applyBorder="1" applyAlignment="1" applyProtection="1">
      <alignment horizontal="center"/>
      <protection locked="0"/>
    </xf>
    <xf numFmtId="164" fontId="0" fillId="0" borderId="23" xfId="0" applyNumberFormat="1" applyFill="1" applyBorder="1" applyAlignment="1" applyProtection="1">
      <alignment horizontal="center"/>
    </xf>
    <xf numFmtId="164" fontId="0" fillId="0" borderId="41" xfId="0" applyNumberFormat="1" applyFill="1" applyBorder="1" applyAlignment="1" applyProtection="1">
      <alignment horizontal="center"/>
    </xf>
    <xf numFmtId="164" fontId="0" fillId="0" borderId="76" xfId="0" applyNumberFormat="1" applyFill="1" applyBorder="1" applyAlignment="1" applyProtection="1">
      <alignment horizontal="center"/>
    </xf>
    <xf numFmtId="0" fontId="0" fillId="0" borderId="91" xfId="0" applyFill="1" applyBorder="1" applyAlignment="1" applyProtection="1">
      <alignment horizontal="center"/>
    </xf>
    <xf numFmtId="0" fontId="4" fillId="5" borderId="74" xfId="0" applyFont="1" applyFill="1" applyBorder="1" applyAlignment="1" applyProtection="1">
      <alignment horizontal="center"/>
      <protection locked="0"/>
    </xf>
    <xf numFmtId="3" fontId="0" fillId="0" borderId="41" xfId="0" applyNumberFormat="1" applyFill="1" applyBorder="1" applyAlignment="1" applyProtection="1">
      <alignment horizontal="center"/>
    </xf>
    <xf numFmtId="3" fontId="0" fillId="5" borderId="75" xfId="0" applyNumberFormat="1" applyFill="1" applyBorder="1" applyAlignment="1" applyProtection="1">
      <alignment horizontal="center"/>
      <protection locked="0"/>
    </xf>
    <xf numFmtId="3" fontId="0" fillId="5" borderId="92" xfId="0" applyNumberFormat="1" applyFill="1" applyBorder="1" applyAlignment="1" applyProtection="1">
      <alignment horizontal="center"/>
      <protection locked="0"/>
    </xf>
    <xf numFmtId="0" fontId="40" fillId="12" borderId="153" xfId="8" applyFont="1" applyFill="1" applyBorder="1" applyAlignment="1">
      <alignment horizontal="center"/>
    </xf>
    <xf numFmtId="0" fontId="40" fillId="12" borderId="154" xfId="8" applyFont="1" applyFill="1" applyBorder="1" applyAlignment="1">
      <alignment horizontal="center"/>
    </xf>
    <xf numFmtId="0" fontId="62" fillId="10" borderId="48" xfId="8" quotePrefix="1" applyFont="1" applyBorder="1" applyAlignment="1">
      <alignment horizontal="left"/>
    </xf>
    <xf numFmtId="0" fontId="62" fillId="10" borderId="45" xfId="8" quotePrefix="1" applyFont="1" applyBorder="1" applyAlignment="1">
      <alignment horizontal="left"/>
    </xf>
    <xf numFmtId="0" fontId="17" fillId="0" borderId="81" xfId="0" applyFont="1" applyFill="1" applyBorder="1" applyAlignment="1">
      <alignment vertical="center" wrapText="1"/>
    </xf>
    <xf numFmtId="0" fontId="0" fillId="0" borderId="82" xfId="0" applyBorder="1" applyAlignment="1">
      <alignment vertical="center" wrapText="1"/>
    </xf>
    <xf numFmtId="0" fontId="17" fillId="0" borderId="86" xfId="0" applyFont="1" applyFill="1" applyBorder="1" applyAlignment="1">
      <alignment wrapText="1"/>
    </xf>
    <xf numFmtId="0" fontId="17" fillId="0" borderId="44" xfId="0" applyFont="1" applyFill="1" applyBorder="1" applyAlignment="1">
      <alignment wrapText="1"/>
    </xf>
    <xf numFmtId="0" fontId="17" fillId="0" borderId="101" xfId="0" applyFont="1" applyFill="1" applyBorder="1" applyAlignment="1">
      <alignment wrapText="1"/>
    </xf>
    <xf numFmtId="0" fontId="0" fillId="0" borderId="101" xfId="0" applyBorder="1" applyAlignment="1">
      <alignment wrapText="1"/>
    </xf>
    <xf numFmtId="0" fontId="17" fillId="15" borderId="80" xfId="0" applyFont="1" applyFill="1" applyBorder="1" applyAlignment="1">
      <alignment horizontal="center" vertical="center"/>
    </xf>
    <xf numFmtId="0" fontId="0" fillId="0" borderId="80" xfId="0" applyBorder="1" applyAlignment="1">
      <alignment horizontal="center" vertical="center"/>
    </xf>
    <xf numFmtId="0" fontId="17" fillId="15" borderId="84" xfId="0" applyFont="1" applyFill="1" applyBorder="1" applyAlignment="1">
      <alignment horizontal="center" vertical="center"/>
    </xf>
    <xf numFmtId="0" fontId="0" fillId="0" borderId="97" xfId="0" applyBorder="1" applyAlignment="1">
      <alignment horizontal="center" vertical="center"/>
    </xf>
    <xf numFmtId="0" fontId="0" fillId="0" borderId="98" xfId="0" applyBorder="1" applyAlignment="1">
      <alignment horizontal="center" vertical="center"/>
    </xf>
    <xf numFmtId="0" fontId="0" fillId="0" borderId="85" xfId="0" applyBorder="1" applyAlignment="1">
      <alignment horizontal="center" vertical="center"/>
    </xf>
    <xf numFmtId="0" fontId="0" fillId="0" borderId="99" xfId="0" applyBorder="1" applyAlignment="1">
      <alignment horizontal="center" vertical="center"/>
    </xf>
    <xf numFmtId="0" fontId="0" fillId="0" borderId="100" xfId="0" applyBorder="1" applyAlignment="1">
      <alignment horizontal="center" vertical="center"/>
    </xf>
    <xf numFmtId="0" fontId="0" fillId="0" borderId="83" xfId="0" applyBorder="1" applyAlignment="1">
      <alignment vertical="center" wrapText="1"/>
    </xf>
    <xf numFmtId="0" fontId="4" fillId="27" borderId="155" xfId="0" applyFont="1" applyFill="1" applyBorder="1" applyAlignment="1">
      <alignment horizontal="center" vertical="center" wrapText="1"/>
    </xf>
    <xf numFmtId="0" fontId="4" fillId="27" borderId="156" xfId="0" applyFont="1" applyFill="1" applyBorder="1" applyAlignment="1">
      <alignment horizontal="center" vertical="center" wrapText="1"/>
    </xf>
  </cellXfs>
  <cellStyles count="11">
    <cellStyle name="Accent1" xfId="1" builtinId="29"/>
    <cellStyle name="Bad" xfId="2" builtinId="27"/>
    <cellStyle name="Comma" xfId="3" builtinId="3"/>
    <cellStyle name="Currency" xfId="4" builtinId="4"/>
    <cellStyle name="Explanatory Text" xfId="5" builtinId="53"/>
    <cellStyle name="Normal" xfId="0" builtinId="0"/>
    <cellStyle name="Normal 2" xfId="6"/>
    <cellStyle name="Note" xfId="7" builtinId="10"/>
    <cellStyle name="Output" xfId="8" builtinId="21"/>
    <cellStyle name="Percent" xfId="9" builtinId="5"/>
    <cellStyle name="Title" xfId="10" builtinId="15"/>
  </cellStyles>
  <dxfs count="24">
    <dxf>
      <font>
        <color rgb="FF9C0006"/>
      </font>
    </dxf>
    <dxf>
      <font>
        <color rgb="FF9C0006"/>
      </font>
    </dxf>
    <dxf>
      <font>
        <color rgb="FF9C0006"/>
      </font>
    </dxf>
    <dxf>
      <font>
        <color rgb="FF9C0006"/>
      </font>
    </dxf>
    <dxf>
      <font>
        <color rgb="FF9C0006"/>
      </font>
    </dxf>
    <dxf>
      <font>
        <color rgb="FF9C0006"/>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auto="1"/>
      </font>
      <fill>
        <patternFill>
          <bgColor indexed="43"/>
        </patternFill>
      </fill>
    </dxf>
    <dxf>
      <font>
        <b/>
        <i val="0"/>
        <condense val="0"/>
        <extend val="0"/>
        <color auto="1"/>
      </font>
      <fill>
        <patternFill>
          <bgColor indexed="45"/>
        </patternFill>
      </fill>
    </dxf>
    <dxf>
      <fill>
        <patternFill>
          <bgColor indexed="10"/>
        </patternFill>
      </fill>
    </dxf>
    <dxf>
      <font>
        <condense val="0"/>
        <extend val="0"/>
        <color auto="1"/>
      </font>
      <fill>
        <patternFill>
          <bgColor indexed="10"/>
        </patternFill>
      </fill>
    </dxf>
    <dxf>
      <font>
        <b val="0"/>
        <i val="0"/>
        <color theme="0" tint="-0.24994659260841701"/>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spPr>
            <a:ln>
              <a:solidFill>
                <a:srgbClr val="00B050"/>
              </a:solidFill>
            </a:ln>
          </c:spPr>
          <c:marker>
            <c:symbol val="none"/>
          </c:marker>
          <c:val>
            <c:numRef>
              <c:f>'Chart Data'!$B$2:$B$500</c:f>
              <c:numCache>
                <c:formatCode>#,##0</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val>
          <c:smooth val="0"/>
        </c:ser>
        <c:dLbls>
          <c:showLegendKey val="0"/>
          <c:showVal val="0"/>
          <c:showCatName val="0"/>
          <c:showSerName val="0"/>
          <c:showPercent val="0"/>
          <c:showBubbleSize val="0"/>
        </c:dLbls>
        <c:marker val="1"/>
        <c:smooth val="0"/>
        <c:axId val="173460480"/>
        <c:axId val="173228800"/>
      </c:lineChart>
      <c:catAx>
        <c:axId val="173460480"/>
        <c:scaling>
          <c:orientation val="minMax"/>
        </c:scaling>
        <c:delete val="0"/>
        <c:axPos val="b"/>
        <c:numFmt formatCode="General" sourceLinked="1"/>
        <c:majorTickMark val="none"/>
        <c:minorTickMark val="none"/>
        <c:tickLblPos val="nextTo"/>
        <c:crossAx val="173228800"/>
        <c:crosses val="autoZero"/>
        <c:auto val="1"/>
        <c:lblAlgn val="ctr"/>
        <c:lblOffset val="100"/>
        <c:tickLblSkip val="100"/>
        <c:noMultiLvlLbl val="0"/>
      </c:catAx>
      <c:valAx>
        <c:axId val="173228800"/>
        <c:scaling>
          <c:orientation val="minMax"/>
        </c:scaling>
        <c:delete val="0"/>
        <c:axPos val="l"/>
        <c:majorGridlines/>
        <c:numFmt formatCode="#,##0" sourceLinked="1"/>
        <c:majorTickMark val="out"/>
        <c:minorTickMark val="none"/>
        <c:tickLblPos val="nextTo"/>
        <c:crossAx val="173460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'Chart Data'!$C$2:$C$500</c:f>
              <c:numCache>
                <c:formatCode>#,##0</c:formatCode>
                <c:ptCount val="499"/>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pt idx="201">
                  <c:v>1000000</c:v>
                </c:pt>
                <c:pt idx="202">
                  <c:v>1000000</c:v>
                </c:pt>
                <c:pt idx="203">
                  <c:v>1000000</c:v>
                </c:pt>
                <c:pt idx="204">
                  <c:v>1000000</c:v>
                </c:pt>
                <c:pt idx="205">
                  <c:v>1000000</c:v>
                </c:pt>
                <c:pt idx="206">
                  <c:v>1000000</c:v>
                </c:pt>
                <c:pt idx="207">
                  <c:v>1000000</c:v>
                </c:pt>
                <c:pt idx="208">
                  <c:v>1000000</c:v>
                </c:pt>
                <c:pt idx="209">
                  <c:v>1000000</c:v>
                </c:pt>
                <c:pt idx="210">
                  <c:v>1000000</c:v>
                </c:pt>
                <c:pt idx="211">
                  <c:v>1000000</c:v>
                </c:pt>
                <c:pt idx="212">
                  <c:v>1000000</c:v>
                </c:pt>
                <c:pt idx="213">
                  <c:v>1000000</c:v>
                </c:pt>
                <c:pt idx="214">
                  <c:v>1000000</c:v>
                </c:pt>
                <c:pt idx="215">
                  <c:v>1000000</c:v>
                </c:pt>
                <c:pt idx="216">
                  <c:v>1000000</c:v>
                </c:pt>
                <c:pt idx="217">
                  <c:v>1000000</c:v>
                </c:pt>
                <c:pt idx="218">
                  <c:v>1000000</c:v>
                </c:pt>
                <c:pt idx="219">
                  <c:v>1000000</c:v>
                </c:pt>
                <c:pt idx="220">
                  <c:v>1000000</c:v>
                </c:pt>
                <c:pt idx="221">
                  <c:v>1000000</c:v>
                </c:pt>
                <c:pt idx="222">
                  <c:v>1000000</c:v>
                </c:pt>
                <c:pt idx="223">
                  <c:v>1000000</c:v>
                </c:pt>
                <c:pt idx="224">
                  <c:v>1000000</c:v>
                </c:pt>
                <c:pt idx="225">
                  <c:v>1000000</c:v>
                </c:pt>
                <c:pt idx="226">
                  <c:v>1000000</c:v>
                </c:pt>
                <c:pt idx="227">
                  <c:v>1000000</c:v>
                </c:pt>
                <c:pt idx="228">
                  <c:v>1000000</c:v>
                </c:pt>
                <c:pt idx="229">
                  <c:v>1000000</c:v>
                </c:pt>
                <c:pt idx="230">
                  <c:v>1000000</c:v>
                </c:pt>
                <c:pt idx="231">
                  <c:v>1000000</c:v>
                </c:pt>
                <c:pt idx="232">
                  <c:v>1000000</c:v>
                </c:pt>
                <c:pt idx="233">
                  <c:v>1000000</c:v>
                </c:pt>
                <c:pt idx="234">
                  <c:v>1000000</c:v>
                </c:pt>
                <c:pt idx="235">
                  <c:v>1000000</c:v>
                </c:pt>
                <c:pt idx="236">
                  <c:v>1000000</c:v>
                </c:pt>
                <c:pt idx="237">
                  <c:v>1000000</c:v>
                </c:pt>
                <c:pt idx="238">
                  <c:v>1000000</c:v>
                </c:pt>
                <c:pt idx="239">
                  <c:v>1000000</c:v>
                </c:pt>
                <c:pt idx="240">
                  <c:v>1000000</c:v>
                </c:pt>
                <c:pt idx="241">
                  <c:v>1000000</c:v>
                </c:pt>
                <c:pt idx="242">
                  <c:v>1000000</c:v>
                </c:pt>
                <c:pt idx="243">
                  <c:v>1000000</c:v>
                </c:pt>
                <c:pt idx="244">
                  <c:v>1000000</c:v>
                </c:pt>
                <c:pt idx="245">
                  <c:v>1000000</c:v>
                </c:pt>
                <c:pt idx="246">
                  <c:v>1000000</c:v>
                </c:pt>
                <c:pt idx="247">
                  <c:v>1000000</c:v>
                </c:pt>
                <c:pt idx="248">
                  <c:v>1000000</c:v>
                </c:pt>
                <c:pt idx="249">
                  <c:v>1000000</c:v>
                </c:pt>
                <c:pt idx="250">
                  <c:v>1000000</c:v>
                </c:pt>
                <c:pt idx="251">
                  <c:v>1000000</c:v>
                </c:pt>
                <c:pt idx="252">
                  <c:v>1000000</c:v>
                </c:pt>
                <c:pt idx="253">
                  <c:v>1000000</c:v>
                </c:pt>
                <c:pt idx="254">
                  <c:v>1000000</c:v>
                </c:pt>
                <c:pt idx="255">
                  <c:v>1000000</c:v>
                </c:pt>
                <c:pt idx="256">
                  <c:v>1000000</c:v>
                </c:pt>
                <c:pt idx="257">
                  <c:v>1000000</c:v>
                </c:pt>
                <c:pt idx="258">
                  <c:v>1000000</c:v>
                </c:pt>
                <c:pt idx="259">
                  <c:v>1000000</c:v>
                </c:pt>
                <c:pt idx="260">
                  <c:v>1000000</c:v>
                </c:pt>
                <c:pt idx="261">
                  <c:v>1000000</c:v>
                </c:pt>
                <c:pt idx="262">
                  <c:v>1000000</c:v>
                </c:pt>
                <c:pt idx="263">
                  <c:v>1000000</c:v>
                </c:pt>
                <c:pt idx="264">
                  <c:v>1000000</c:v>
                </c:pt>
                <c:pt idx="265">
                  <c:v>1000000</c:v>
                </c:pt>
                <c:pt idx="266">
                  <c:v>1000000</c:v>
                </c:pt>
                <c:pt idx="267">
                  <c:v>1000000</c:v>
                </c:pt>
                <c:pt idx="268">
                  <c:v>1000000</c:v>
                </c:pt>
                <c:pt idx="269">
                  <c:v>1000000</c:v>
                </c:pt>
                <c:pt idx="270">
                  <c:v>1000000</c:v>
                </c:pt>
                <c:pt idx="271">
                  <c:v>1000000</c:v>
                </c:pt>
                <c:pt idx="272">
                  <c:v>1000000</c:v>
                </c:pt>
                <c:pt idx="273">
                  <c:v>1000000</c:v>
                </c:pt>
                <c:pt idx="274">
                  <c:v>1000000</c:v>
                </c:pt>
                <c:pt idx="275">
                  <c:v>1000000</c:v>
                </c:pt>
                <c:pt idx="276">
                  <c:v>1000000</c:v>
                </c:pt>
                <c:pt idx="277">
                  <c:v>1000000</c:v>
                </c:pt>
                <c:pt idx="278">
                  <c:v>1000000</c:v>
                </c:pt>
                <c:pt idx="279">
                  <c:v>1000000</c:v>
                </c:pt>
                <c:pt idx="280">
                  <c:v>1000000</c:v>
                </c:pt>
                <c:pt idx="281">
                  <c:v>1000000</c:v>
                </c:pt>
                <c:pt idx="282">
                  <c:v>1000000</c:v>
                </c:pt>
                <c:pt idx="283">
                  <c:v>1000000</c:v>
                </c:pt>
                <c:pt idx="284">
                  <c:v>1000000</c:v>
                </c:pt>
                <c:pt idx="285">
                  <c:v>1000000</c:v>
                </c:pt>
                <c:pt idx="286">
                  <c:v>1000000</c:v>
                </c:pt>
                <c:pt idx="287">
                  <c:v>1000000</c:v>
                </c:pt>
                <c:pt idx="288">
                  <c:v>1000000</c:v>
                </c:pt>
                <c:pt idx="289">
                  <c:v>1000000</c:v>
                </c:pt>
                <c:pt idx="290">
                  <c:v>1000000</c:v>
                </c:pt>
                <c:pt idx="291">
                  <c:v>1000000</c:v>
                </c:pt>
                <c:pt idx="292">
                  <c:v>1000000</c:v>
                </c:pt>
                <c:pt idx="293">
                  <c:v>1000000</c:v>
                </c:pt>
                <c:pt idx="294">
                  <c:v>1000000</c:v>
                </c:pt>
                <c:pt idx="295">
                  <c:v>1000000</c:v>
                </c:pt>
                <c:pt idx="296">
                  <c:v>1000000</c:v>
                </c:pt>
                <c:pt idx="297">
                  <c:v>1000000</c:v>
                </c:pt>
                <c:pt idx="298">
                  <c:v>1000000</c:v>
                </c:pt>
                <c:pt idx="299">
                  <c:v>1000000</c:v>
                </c:pt>
                <c:pt idx="300">
                  <c:v>1000000</c:v>
                </c:pt>
                <c:pt idx="301">
                  <c:v>1000000</c:v>
                </c:pt>
                <c:pt idx="302">
                  <c:v>1000000</c:v>
                </c:pt>
                <c:pt idx="303">
                  <c:v>1000000</c:v>
                </c:pt>
                <c:pt idx="304">
                  <c:v>1000000</c:v>
                </c:pt>
                <c:pt idx="305">
                  <c:v>1000000</c:v>
                </c:pt>
                <c:pt idx="306">
                  <c:v>1000000</c:v>
                </c:pt>
                <c:pt idx="307">
                  <c:v>1000000</c:v>
                </c:pt>
                <c:pt idx="308">
                  <c:v>1000000</c:v>
                </c:pt>
                <c:pt idx="309">
                  <c:v>1000000</c:v>
                </c:pt>
                <c:pt idx="310">
                  <c:v>1000000</c:v>
                </c:pt>
                <c:pt idx="311">
                  <c:v>1000000</c:v>
                </c:pt>
                <c:pt idx="312">
                  <c:v>1000000</c:v>
                </c:pt>
                <c:pt idx="313">
                  <c:v>1000000</c:v>
                </c:pt>
                <c:pt idx="314">
                  <c:v>1000000</c:v>
                </c:pt>
                <c:pt idx="315">
                  <c:v>1000000</c:v>
                </c:pt>
                <c:pt idx="316">
                  <c:v>1000000</c:v>
                </c:pt>
                <c:pt idx="317">
                  <c:v>1000000</c:v>
                </c:pt>
                <c:pt idx="318">
                  <c:v>1000000</c:v>
                </c:pt>
                <c:pt idx="319">
                  <c:v>1000000</c:v>
                </c:pt>
                <c:pt idx="320">
                  <c:v>1000000</c:v>
                </c:pt>
                <c:pt idx="321">
                  <c:v>1000000</c:v>
                </c:pt>
                <c:pt idx="322">
                  <c:v>1000000</c:v>
                </c:pt>
                <c:pt idx="323">
                  <c:v>1000000</c:v>
                </c:pt>
                <c:pt idx="324">
                  <c:v>1000000</c:v>
                </c:pt>
                <c:pt idx="325">
                  <c:v>1000000</c:v>
                </c:pt>
                <c:pt idx="326">
                  <c:v>1000000</c:v>
                </c:pt>
                <c:pt idx="327">
                  <c:v>1000000</c:v>
                </c:pt>
                <c:pt idx="328">
                  <c:v>1000000</c:v>
                </c:pt>
                <c:pt idx="329">
                  <c:v>1000000</c:v>
                </c:pt>
                <c:pt idx="330">
                  <c:v>1000000</c:v>
                </c:pt>
                <c:pt idx="331">
                  <c:v>1000000</c:v>
                </c:pt>
                <c:pt idx="332">
                  <c:v>1000000</c:v>
                </c:pt>
                <c:pt idx="333">
                  <c:v>1000000</c:v>
                </c:pt>
                <c:pt idx="334">
                  <c:v>1000000</c:v>
                </c:pt>
                <c:pt idx="335">
                  <c:v>1000000</c:v>
                </c:pt>
                <c:pt idx="336">
                  <c:v>1000000</c:v>
                </c:pt>
                <c:pt idx="337">
                  <c:v>1000000</c:v>
                </c:pt>
                <c:pt idx="338">
                  <c:v>1000000</c:v>
                </c:pt>
                <c:pt idx="339">
                  <c:v>1000000</c:v>
                </c:pt>
                <c:pt idx="340">
                  <c:v>1000000</c:v>
                </c:pt>
                <c:pt idx="341">
                  <c:v>1000000</c:v>
                </c:pt>
                <c:pt idx="342">
                  <c:v>1000000</c:v>
                </c:pt>
                <c:pt idx="343">
                  <c:v>1000000</c:v>
                </c:pt>
                <c:pt idx="344">
                  <c:v>1000000</c:v>
                </c:pt>
                <c:pt idx="345">
                  <c:v>1000000</c:v>
                </c:pt>
                <c:pt idx="346">
                  <c:v>1000000</c:v>
                </c:pt>
                <c:pt idx="347">
                  <c:v>1000000</c:v>
                </c:pt>
                <c:pt idx="348">
                  <c:v>1000000</c:v>
                </c:pt>
                <c:pt idx="349">
                  <c:v>1000000</c:v>
                </c:pt>
                <c:pt idx="350">
                  <c:v>1000000</c:v>
                </c:pt>
                <c:pt idx="351">
                  <c:v>1000000</c:v>
                </c:pt>
                <c:pt idx="352">
                  <c:v>1000000</c:v>
                </c:pt>
                <c:pt idx="353">
                  <c:v>1000000</c:v>
                </c:pt>
                <c:pt idx="354">
                  <c:v>1000000</c:v>
                </c:pt>
                <c:pt idx="355">
                  <c:v>1000000</c:v>
                </c:pt>
                <c:pt idx="356">
                  <c:v>1000000</c:v>
                </c:pt>
                <c:pt idx="357">
                  <c:v>1000000</c:v>
                </c:pt>
                <c:pt idx="358">
                  <c:v>1000000</c:v>
                </c:pt>
                <c:pt idx="359">
                  <c:v>1000000</c:v>
                </c:pt>
                <c:pt idx="360">
                  <c:v>1000000</c:v>
                </c:pt>
                <c:pt idx="361">
                  <c:v>1000000</c:v>
                </c:pt>
                <c:pt idx="362">
                  <c:v>1000000</c:v>
                </c:pt>
                <c:pt idx="363">
                  <c:v>1000000</c:v>
                </c:pt>
                <c:pt idx="364">
                  <c:v>1000000</c:v>
                </c:pt>
                <c:pt idx="365">
                  <c:v>1000000</c:v>
                </c:pt>
                <c:pt idx="366">
                  <c:v>1000000</c:v>
                </c:pt>
                <c:pt idx="367">
                  <c:v>1000000</c:v>
                </c:pt>
                <c:pt idx="368">
                  <c:v>1000000</c:v>
                </c:pt>
                <c:pt idx="369">
                  <c:v>1000000</c:v>
                </c:pt>
                <c:pt idx="370">
                  <c:v>1000000</c:v>
                </c:pt>
                <c:pt idx="371">
                  <c:v>1000000</c:v>
                </c:pt>
                <c:pt idx="372">
                  <c:v>1000000</c:v>
                </c:pt>
                <c:pt idx="373">
                  <c:v>1000000</c:v>
                </c:pt>
                <c:pt idx="374">
                  <c:v>1000000</c:v>
                </c:pt>
                <c:pt idx="375">
                  <c:v>1000000</c:v>
                </c:pt>
                <c:pt idx="376">
                  <c:v>1000000</c:v>
                </c:pt>
                <c:pt idx="377">
                  <c:v>1000000</c:v>
                </c:pt>
                <c:pt idx="378">
                  <c:v>1000000</c:v>
                </c:pt>
                <c:pt idx="379">
                  <c:v>1000000</c:v>
                </c:pt>
                <c:pt idx="380">
                  <c:v>1000000</c:v>
                </c:pt>
                <c:pt idx="381">
                  <c:v>1000000</c:v>
                </c:pt>
                <c:pt idx="382">
                  <c:v>1000000</c:v>
                </c:pt>
                <c:pt idx="383">
                  <c:v>1000000</c:v>
                </c:pt>
                <c:pt idx="384">
                  <c:v>1000000</c:v>
                </c:pt>
                <c:pt idx="385">
                  <c:v>1000000</c:v>
                </c:pt>
                <c:pt idx="386">
                  <c:v>1000000</c:v>
                </c:pt>
                <c:pt idx="387">
                  <c:v>1000000</c:v>
                </c:pt>
                <c:pt idx="388">
                  <c:v>1000000</c:v>
                </c:pt>
                <c:pt idx="389">
                  <c:v>1000000</c:v>
                </c:pt>
                <c:pt idx="390">
                  <c:v>1000000</c:v>
                </c:pt>
                <c:pt idx="391">
                  <c:v>1000000</c:v>
                </c:pt>
                <c:pt idx="392">
                  <c:v>1000000</c:v>
                </c:pt>
                <c:pt idx="393">
                  <c:v>1000000</c:v>
                </c:pt>
                <c:pt idx="394">
                  <c:v>1000000</c:v>
                </c:pt>
                <c:pt idx="395">
                  <c:v>1000000</c:v>
                </c:pt>
                <c:pt idx="396">
                  <c:v>1000000</c:v>
                </c:pt>
                <c:pt idx="397">
                  <c:v>1000000</c:v>
                </c:pt>
                <c:pt idx="398">
                  <c:v>1000000</c:v>
                </c:pt>
                <c:pt idx="399">
                  <c:v>1000000</c:v>
                </c:pt>
                <c:pt idx="400">
                  <c:v>1000000</c:v>
                </c:pt>
                <c:pt idx="401">
                  <c:v>1000000</c:v>
                </c:pt>
                <c:pt idx="402">
                  <c:v>1000000</c:v>
                </c:pt>
                <c:pt idx="403">
                  <c:v>1000000</c:v>
                </c:pt>
                <c:pt idx="404">
                  <c:v>1000000</c:v>
                </c:pt>
                <c:pt idx="405">
                  <c:v>1000000</c:v>
                </c:pt>
                <c:pt idx="406">
                  <c:v>1000000</c:v>
                </c:pt>
                <c:pt idx="407">
                  <c:v>1000000</c:v>
                </c:pt>
                <c:pt idx="408">
                  <c:v>1000000</c:v>
                </c:pt>
                <c:pt idx="409">
                  <c:v>1000000</c:v>
                </c:pt>
                <c:pt idx="410">
                  <c:v>1000000</c:v>
                </c:pt>
                <c:pt idx="411">
                  <c:v>1000000</c:v>
                </c:pt>
                <c:pt idx="412">
                  <c:v>1000000</c:v>
                </c:pt>
                <c:pt idx="413">
                  <c:v>1000000</c:v>
                </c:pt>
                <c:pt idx="414">
                  <c:v>1000000</c:v>
                </c:pt>
                <c:pt idx="415">
                  <c:v>1000000</c:v>
                </c:pt>
                <c:pt idx="416">
                  <c:v>1000000</c:v>
                </c:pt>
                <c:pt idx="417">
                  <c:v>1000000</c:v>
                </c:pt>
                <c:pt idx="418">
                  <c:v>1000000</c:v>
                </c:pt>
                <c:pt idx="419">
                  <c:v>1000000</c:v>
                </c:pt>
                <c:pt idx="420">
                  <c:v>1000000</c:v>
                </c:pt>
                <c:pt idx="421">
                  <c:v>1000000</c:v>
                </c:pt>
                <c:pt idx="422">
                  <c:v>1000000</c:v>
                </c:pt>
                <c:pt idx="423">
                  <c:v>1000000</c:v>
                </c:pt>
                <c:pt idx="424">
                  <c:v>1000000</c:v>
                </c:pt>
                <c:pt idx="425">
                  <c:v>1000000</c:v>
                </c:pt>
                <c:pt idx="426">
                  <c:v>1000000</c:v>
                </c:pt>
                <c:pt idx="427">
                  <c:v>1000000</c:v>
                </c:pt>
                <c:pt idx="428">
                  <c:v>1000000</c:v>
                </c:pt>
                <c:pt idx="429">
                  <c:v>1000000</c:v>
                </c:pt>
                <c:pt idx="430">
                  <c:v>1000000</c:v>
                </c:pt>
                <c:pt idx="431">
                  <c:v>1000000</c:v>
                </c:pt>
                <c:pt idx="432">
                  <c:v>1000000</c:v>
                </c:pt>
                <c:pt idx="433">
                  <c:v>1000000</c:v>
                </c:pt>
                <c:pt idx="434">
                  <c:v>1000000</c:v>
                </c:pt>
                <c:pt idx="435">
                  <c:v>1000000</c:v>
                </c:pt>
                <c:pt idx="436">
                  <c:v>1000000</c:v>
                </c:pt>
                <c:pt idx="437">
                  <c:v>1000000</c:v>
                </c:pt>
                <c:pt idx="438">
                  <c:v>1000000</c:v>
                </c:pt>
                <c:pt idx="439">
                  <c:v>1000000</c:v>
                </c:pt>
                <c:pt idx="440">
                  <c:v>1000000</c:v>
                </c:pt>
                <c:pt idx="441">
                  <c:v>1000000</c:v>
                </c:pt>
                <c:pt idx="442">
                  <c:v>1000000</c:v>
                </c:pt>
                <c:pt idx="443">
                  <c:v>1000000</c:v>
                </c:pt>
                <c:pt idx="444">
                  <c:v>1000000</c:v>
                </c:pt>
                <c:pt idx="445">
                  <c:v>1000000</c:v>
                </c:pt>
                <c:pt idx="446">
                  <c:v>1000000</c:v>
                </c:pt>
                <c:pt idx="447">
                  <c:v>1000000</c:v>
                </c:pt>
                <c:pt idx="448">
                  <c:v>1000000</c:v>
                </c:pt>
                <c:pt idx="449">
                  <c:v>1000000</c:v>
                </c:pt>
                <c:pt idx="450">
                  <c:v>1000000</c:v>
                </c:pt>
                <c:pt idx="451">
                  <c:v>1000000</c:v>
                </c:pt>
                <c:pt idx="452">
                  <c:v>1000000</c:v>
                </c:pt>
                <c:pt idx="453">
                  <c:v>1000000</c:v>
                </c:pt>
                <c:pt idx="454">
                  <c:v>1000000</c:v>
                </c:pt>
                <c:pt idx="455">
                  <c:v>1000000</c:v>
                </c:pt>
                <c:pt idx="456">
                  <c:v>1000000</c:v>
                </c:pt>
                <c:pt idx="457">
                  <c:v>1000000</c:v>
                </c:pt>
                <c:pt idx="458">
                  <c:v>1000000</c:v>
                </c:pt>
                <c:pt idx="459">
                  <c:v>1000000</c:v>
                </c:pt>
                <c:pt idx="460">
                  <c:v>1000000</c:v>
                </c:pt>
                <c:pt idx="461">
                  <c:v>1000000</c:v>
                </c:pt>
                <c:pt idx="462">
                  <c:v>1000000</c:v>
                </c:pt>
                <c:pt idx="463">
                  <c:v>1000000</c:v>
                </c:pt>
                <c:pt idx="464">
                  <c:v>1000000</c:v>
                </c:pt>
                <c:pt idx="465">
                  <c:v>1000000</c:v>
                </c:pt>
                <c:pt idx="466">
                  <c:v>1000000</c:v>
                </c:pt>
                <c:pt idx="467">
                  <c:v>1000000</c:v>
                </c:pt>
                <c:pt idx="468">
                  <c:v>1000000</c:v>
                </c:pt>
                <c:pt idx="469">
                  <c:v>1000000</c:v>
                </c:pt>
                <c:pt idx="470">
                  <c:v>1000000</c:v>
                </c:pt>
                <c:pt idx="471">
                  <c:v>1000000</c:v>
                </c:pt>
                <c:pt idx="472">
                  <c:v>1000000</c:v>
                </c:pt>
                <c:pt idx="473">
                  <c:v>1000000</c:v>
                </c:pt>
                <c:pt idx="474">
                  <c:v>1000000</c:v>
                </c:pt>
                <c:pt idx="475">
                  <c:v>1000000</c:v>
                </c:pt>
                <c:pt idx="476">
                  <c:v>1000000</c:v>
                </c:pt>
                <c:pt idx="477">
                  <c:v>1000000</c:v>
                </c:pt>
                <c:pt idx="478">
                  <c:v>1000000</c:v>
                </c:pt>
                <c:pt idx="479">
                  <c:v>1000000</c:v>
                </c:pt>
                <c:pt idx="480">
                  <c:v>1000000</c:v>
                </c:pt>
                <c:pt idx="481">
                  <c:v>1000000</c:v>
                </c:pt>
                <c:pt idx="482">
                  <c:v>1000000</c:v>
                </c:pt>
                <c:pt idx="483">
                  <c:v>1000000</c:v>
                </c:pt>
                <c:pt idx="484">
                  <c:v>1000000</c:v>
                </c:pt>
                <c:pt idx="485">
                  <c:v>1000000</c:v>
                </c:pt>
                <c:pt idx="486">
                  <c:v>1000000</c:v>
                </c:pt>
                <c:pt idx="487">
                  <c:v>1000000</c:v>
                </c:pt>
                <c:pt idx="488">
                  <c:v>1000000</c:v>
                </c:pt>
                <c:pt idx="489">
                  <c:v>1000000</c:v>
                </c:pt>
                <c:pt idx="490">
                  <c:v>1000000</c:v>
                </c:pt>
                <c:pt idx="491">
                  <c:v>1000000</c:v>
                </c:pt>
                <c:pt idx="492">
                  <c:v>1000000</c:v>
                </c:pt>
                <c:pt idx="493">
                  <c:v>1000000</c:v>
                </c:pt>
                <c:pt idx="494">
                  <c:v>1000000</c:v>
                </c:pt>
                <c:pt idx="495">
                  <c:v>1000000</c:v>
                </c:pt>
                <c:pt idx="496">
                  <c:v>1000000</c:v>
                </c:pt>
                <c:pt idx="497">
                  <c:v>1000000</c:v>
                </c:pt>
                <c:pt idx="498">
                  <c:v>1000000</c:v>
                </c:pt>
              </c:numCache>
            </c:numRef>
          </c:val>
          <c:smooth val="0"/>
        </c:ser>
        <c:dLbls>
          <c:showLegendKey val="0"/>
          <c:showVal val="0"/>
          <c:showCatName val="0"/>
          <c:showSerName val="0"/>
          <c:showPercent val="0"/>
          <c:showBubbleSize val="0"/>
        </c:dLbls>
        <c:marker val="1"/>
        <c:smooth val="0"/>
        <c:axId val="173252992"/>
        <c:axId val="173254528"/>
      </c:lineChart>
      <c:catAx>
        <c:axId val="173252992"/>
        <c:scaling>
          <c:orientation val="minMax"/>
        </c:scaling>
        <c:delete val="0"/>
        <c:axPos val="b"/>
        <c:numFmt formatCode="General" sourceLinked="1"/>
        <c:majorTickMark val="none"/>
        <c:minorTickMark val="none"/>
        <c:tickLblPos val="nextTo"/>
        <c:crossAx val="173254528"/>
        <c:crosses val="autoZero"/>
        <c:auto val="1"/>
        <c:lblAlgn val="ctr"/>
        <c:lblOffset val="100"/>
        <c:tickLblSkip val="100"/>
        <c:noMultiLvlLbl val="0"/>
      </c:catAx>
      <c:valAx>
        <c:axId val="173254528"/>
        <c:scaling>
          <c:orientation val="minMax"/>
        </c:scaling>
        <c:delete val="0"/>
        <c:axPos val="l"/>
        <c:majorGridlines/>
        <c:numFmt formatCode="#,##0" sourceLinked="1"/>
        <c:majorTickMark val="out"/>
        <c:minorTickMark val="none"/>
        <c:tickLblPos val="nextTo"/>
        <c:crossAx val="17325299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Cost Distribution</a:t>
            </a:r>
          </a:p>
        </c:rich>
      </c:tx>
      <c:layout/>
      <c:overlay val="0"/>
    </c:title>
    <c:autoTitleDeleted val="0"/>
    <c:plotArea>
      <c:layout/>
      <c:pieChart>
        <c:varyColors val="1"/>
        <c:ser>
          <c:idx val="0"/>
          <c:order val="0"/>
          <c:tx>
            <c:strRef>
              <c:f>Simulator!$O$40</c:f>
              <c:strCache>
                <c:ptCount val="1"/>
                <c:pt idx="0">
                  <c:v>Cost</c:v>
                </c:pt>
              </c:strCache>
            </c:strRef>
          </c:tx>
          <c:dPt>
            <c:idx val="5"/>
            <c:bubble3D val="0"/>
            <c:spPr>
              <a:solidFill>
                <a:schemeClr val="accent6">
                  <a:lumMod val="50000"/>
                </a:schemeClr>
              </a:solidFill>
            </c:spPr>
          </c:dPt>
          <c:cat>
            <c:strRef>
              <c:f>Simulator!$N$41:$N$48</c:f>
              <c:strCache>
                <c:ptCount val="8"/>
                <c:pt idx="0">
                  <c:v>Raw Materials</c:v>
                </c:pt>
                <c:pt idx="1">
                  <c:v>Dispensing</c:v>
                </c:pt>
                <c:pt idx="2">
                  <c:v>Granulation</c:v>
                </c:pt>
                <c:pt idx="3">
                  <c:v>Compression</c:v>
                </c:pt>
                <c:pt idx="4">
                  <c:v>Coating</c:v>
                </c:pt>
                <c:pt idx="5">
                  <c:v>Laboratory</c:v>
                </c:pt>
                <c:pt idx="6">
                  <c:v>Packaging Materials</c:v>
                </c:pt>
                <c:pt idx="7">
                  <c:v>Packaging</c:v>
                </c:pt>
              </c:strCache>
            </c:strRef>
          </c:cat>
          <c:val>
            <c:numRef>
              <c:f>Simulator!$O$41:$O$48</c:f>
              <c:numCache>
                <c:formatCode>_-* #,##0_-;\-* #,##0_-;_-* "-"??_-;_-@_-</c:formatCode>
                <c:ptCount val="8"/>
                <c:pt idx="0">
                  <c:v>1668</c:v>
                </c:pt>
                <c:pt idx="1">
                  <c:v>369</c:v>
                </c:pt>
                <c:pt idx="2">
                  <c:v>887</c:v>
                </c:pt>
                <c:pt idx="3">
                  <c:v>398</c:v>
                </c:pt>
                <c:pt idx="4">
                  <c:v>396</c:v>
                </c:pt>
                <c:pt idx="5">
                  <c:v>1025</c:v>
                </c:pt>
                <c:pt idx="6">
                  <c:v>2298</c:v>
                </c:pt>
                <c:pt idx="7">
                  <c:v>998</c:v>
                </c:pt>
              </c:numCache>
            </c:numRef>
          </c:val>
        </c:ser>
        <c:dLbls>
          <c:showLegendKey val="0"/>
          <c:showVal val="0"/>
          <c:showCatName val="0"/>
          <c:showSerName val="0"/>
          <c:showPercent val="0"/>
          <c:showBubbleSize val="0"/>
          <c:showLeaderLines val="1"/>
        </c:dLbls>
        <c:firstSliceAng val="0"/>
      </c:pieChart>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'Chart Data'!$D$2:$D$500</c:f>
              <c:numCache>
                <c:formatCode>#,##0</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val>
          <c:smooth val="0"/>
        </c:ser>
        <c:dLbls>
          <c:showLegendKey val="0"/>
          <c:showVal val="0"/>
          <c:showCatName val="0"/>
          <c:showSerName val="0"/>
          <c:showPercent val="0"/>
          <c:showBubbleSize val="0"/>
        </c:dLbls>
        <c:marker val="1"/>
        <c:smooth val="0"/>
        <c:axId val="174252416"/>
        <c:axId val="174253952"/>
      </c:lineChart>
      <c:catAx>
        <c:axId val="174252416"/>
        <c:scaling>
          <c:orientation val="minMax"/>
        </c:scaling>
        <c:delete val="0"/>
        <c:axPos val="b"/>
        <c:majorTickMark val="none"/>
        <c:minorTickMark val="none"/>
        <c:tickLblPos val="nextTo"/>
        <c:crossAx val="174253952"/>
        <c:crosses val="autoZero"/>
        <c:auto val="1"/>
        <c:lblAlgn val="ctr"/>
        <c:lblOffset val="100"/>
        <c:tickLblSkip val="100"/>
        <c:noMultiLvlLbl val="0"/>
      </c:catAx>
      <c:valAx>
        <c:axId val="174253952"/>
        <c:scaling>
          <c:orientation val="minMax"/>
        </c:scaling>
        <c:delete val="0"/>
        <c:axPos val="l"/>
        <c:majorGridlines/>
        <c:numFmt formatCode="#,##0" sourceLinked="1"/>
        <c:majorTickMark val="out"/>
        <c:minorTickMark val="none"/>
        <c:tickLblPos val="nextTo"/>
        <c:crossAx val="17425241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croll" dx="16" fmlaLink="$C$40" horiz="1" inc="5" max="100" page="20" val="4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57150</xdr:colOff>
      <xdr:row>1</xdr:row>
      <xdr:rowOff>200025</xdr:rowOff>
    </xdr:from>
    <xdr:to>
      <xdr:col>7</xdr:col>
      <xdr:colOff>209550</xdr:colOff>
      <xdr:row>23</xdr:row>
      <xdr:rowOff>38100</xdr:rowOff>
    </xdr:to>
    <xdr:sp macro="" textlink="">
      <xdr:nvSpPr>
        <xdr:cNvPr id="4097" name="WordArt 1" hidden="1"/>
        <xdr:cNvSpPr>
          <a:spLocks noChangeArrowheads="1" noChangeShapeType="1" noTextEdit="1"/>
        </xdr:cNvSpPr>
      </xdr:nvSpPr>
      <xdr:spPr bwMode="auto">
        <a:xfrm>
          <a:off x="57150" y="352425"/>
          <a:ext cx="3514725" cy="2409825"/>
        </a:xfrm>
        <a:prstGeom prst="rect">
          <a:avLst/>
        </a:prstGeom>
        <a:extLst>
          <a:ext uri="{AF507438-7753-43E0-B8FC-AC1667EBCBE1}">
            <a14:hiddenEffects xmlns:a14="http://schemas.microsoft.com/office/drawing/2010/main">
              <a:effectLst/>
            </a14:hiddenEffects>
          </a:ext>
        </a:extLst>
      </xdr:spPr>
      <xdr:txBody>
        <a:bodyPr wrap="none" fromWordArt="1">
          <a:prstTxWarp prst="textSlantUp">
            <a:avLst>
              <a:gd name="adj" fmla="val 55556"/>
            </a:avLst>
          </a:prstTxWarp>
        </a:bodyPr>
        <a:lstStyle/>
        <a:p>
          <a:pPr algn="ctr" rtl="0">
            <a:buNone/>
          </a:pPr>
          <a:r>
            <a:rPr lang="en-AU" sz="3600" kern="10" spc="0">
              <a:ln w="9525">
                <a:solidFill>
                  <a:srgbClr val="000000"/>
                </a:solidFill>
                <a:round/>
                <a:headEnd/>
                <a:tailEnd/>
              </a:ln>
              <a:solidFill>
                <a:srgbClr val="000000"/>
              </a:solidFill>
              <a:effectLst/>
              <a:latin typeface="Arial Black"/>
            </a:rPr>
            <a:t>Pack Only Product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228600</xdr:colOff>
      <xdr:row>2</xdr:row>
      <xdr:rowOff>171450</xdr:rowOff>
    </xdr:from>
    <xdr:to>
      <xdr:col>18</xdr:col>
      <xdr:colOff>409575</xdr:colOff>
      <xdr:row>50</xdr:row>
      <xdr:rowOff>19050</xdr:rowOff>
    </xdr:to>
    <xdr:sp macro="" textlink="">
      <xdr:nvSpPr>
        <xdr:cNvPr id="2051" name="WordArt 3" hidden="1"/>
        <xdr:cNvSpPr>
          <a:spLocks noChangeArrowheads="1" noChangeShapeType="1" noTextEdit="1"/>
        </xdr:cNvSpPr>
      </xdr:nvSpPr>
      <xdr:spPr bwMode="auto">
        <a:xfrm>
          <a:off x="447675" y="457200"/>
          <a:ext cx="8801100" cy="7038975"/>
        </a:xfrm>
        <a:prstGeom prst="rect">
          <a:avLst/>
        </a:prstGeom>
        <a:extLst>
          <a:ext uri="{AF507438-7753-43E0-B8FC-AC1667EBCBE1}">
            <a14:hiddenEffects xmlns:a14="http://schemas.microsoft.com/office/drawing/2010/main">
              <a:effectLst/>
            </a14:hiddenEffects>
          </a:ext>
        </a:extLst>
      </xdr:spPr>
      <xdr:txBody>
        <a:bodyPr wrap="none" fromWordArt="1">
          <a:prstTxWarp prst="textSlantUp">
            <a:avLst>
              <a:gd name="adj" fmla="val 55556"/>
            </a:avLst>
          </a:prstTxWarp>
        </a:bodyPr>
        <a:lstStyle/>
        <a:p>
          <a:pPr algn="ctr" rtl="0">
            <a:buNone/>
          </a:pPr>
          <a:r>
            <a:rPr lang="en-AU" sz="3600" kern="10" spc="0">
              <a:ln w="9525">
                <a:solidFill>
                  <a:srgbClr val="000000"/>
                </a:solidFill>
                <a:round/>
                <a:headEnd/>
                <a:tailEnd/>
              </a:ln>
              <a:solidFill>
                <a:srgbClr val="000000"/>
              </a:solidFill>
              <a:effectLst/>
              <a:latin typeface="Arial Black"/>
            </a:rPr>
            <a:t>Pack Only Product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171450</xdr:colOff>
      <xdr:row>0</xdr:row>
      <xdr:rowOff>66675</xdr:rowOff>
    </xdr:from>
    <xdr:to>
      <xdr:col>20</xdr:col>
      <xdr:colOff>152400</xdr:colOff>
      <xdr:row>52</xdr:row>
      <xdr:rowOff>0</xdr:rowOff>
    </xdr:to>
    <xdr:sp macro="" textlink="">
      <xdr:nvSpPr>
        <xdr:cNvPr id="2" name="WordArt 11" hidden="1"/>
        <xdr:cNvSpPr>
          <a:spLocks noChangeArrowheads="1" noChangeShapeType="1" noTextEdit="1"/>
        </xdr:cNvSpPr>
      </xdr:nvSpPr>
      <xdr:spPr bwMode="auto">
        <a:xfrm>
          <a:off x="466725" y="66675"/>
          <a:ext cx="10344150" cy="8496300"/>
        </a:xfrm>
        <a:prstGeom prst="rect">
          <a:avLst/>
        </a:prstGeom>
        <a:extLst>
          <a:ext uri="{AF507438-7753-43E0-B8FC-AC1667EBCBE1}">
            <a14:hiddenEffects xmlns:a14="http://schemas.microsoft.com/office/drawing/2010/main">
              <a:effectLst/>
            </a14:hiddenEffects>
          </a:ext>
        </a:extLst>
      </xdr:spPr>
      <xdr:txBody>
        <a:bodyPr wrap="none" fromWordArt="1">
          <a:prstTxWarp prst="textSlantUp">
            <a:avLst>
              <a:gd name="adj" fmla="val 55556"/>
            </a:avLst>
          </a:prstTxWarp>
        </a:bodyPr>
        <a:lstStyle/>
        <a:p>
          <a:pPr algn="ctr" rtl="0">
            <a:buNone/>
          </a:pPr>
          <a:r>
            <a:rPr lang="en-AU" sz="3600" kern="10" spc="0">
              <a:ln w="9525">
                <a:solidFill>
                  <a:srgbClr val="000000"/>
                </a:solidFill>
                <a:round/>
                <a:headEnd/>
                <a:tailEnd/>
              </a:ln>
              <a:solidFill>
                <a:srgbClr val="000000"/>
              </a:solidFill>
              <a:effectLst/>
              <a:latin typeface="Arial Black"/>
            </a:rPr>
            <a:t>Pack Only Product</a:t>
          </a:r>
        </a:p>
      </xdr:txBody>
    </xdr:sp>
    <xdr:clientData/>
  </xdr:twoCellAnchor>
  <xdr:twoCellAnchor>
    <xdr:from>
      <xdr:col>0</xdr:col>
      <xdr:colOff>180975</xdr:colOff>
      <xdr:row>0</xdr:row>
      <xdr:rowOff>0</xdr:rowOff>
    </xdr:from>
    <xdr:to>
      <xdr:col>19</xdr:col>
      <xdr:colOff>47625</xdr:colOff>
      <xdr:row>51</xdr:row>
      <xdr:rowOff>95250</xdr:rowOff>
    </xdr:to>
    <xdr:sp macro="" textlink="">
      <xdr:nvSpPr>
        <xdr:cNvPr id="3" name="WordArt 12" hidden="1"/>
        <xdr:cNvSpPr>
          <a:spLocks noChangeArrowheads="1" noChangeShapeType="1" noTextEdit="1"/>
        </xdr:cNvSpPr>
      </xdr:nvSpPr>
      <xdr:spPr bwMode="auto">
        <a:xfrm>
          <a:off x="180975" y="0"/>
          <a:ext cx="9744075" cy="8496300"/>
        </a:xfrm>
        <a:prstGeom prst="rect">
          <a:avLst/>
        </a:prstGeom>
        <a:extLst>
          <a:ext uri="{AF507438-7753-43E0-B8FC-AC1667EBCBE1}">
            <a14:hiddenEffects xmlns:a14="http://schemas.microsoft.com/office/drawing/2010/main">
              <a:effectLst/>
            </a14:hiddenEffects>
          </a:ext>
        </a:extLst>
      </xdr:spPr>
      <xdr:txBody>
        <a:bodyPr wrap="none" fromWordArt="1">
          <a:prstTxWarp prst="textSlantUp">
            <a:avLst>
              <a:gd name="adj" fmla="val 55556"/>
            </a:avLst>
          </a:prstTxWarp>
        </a:bodyPr>
        <a:lstStyle/>
        <a:p>
          <a:pPr algn="ctr" rtl="0">
            <a:buNone/>
          </a:pPr>
          <a:r>
            <a:rPr lang="en-AU" sz="3600" kern="10" spc="0">
              <a:ln w="9525">
                <a:solidFill>
                  <a:srgbClr val="000000"/>
                </a:solidFill>
                <a:round/>
                <a:headEnd/>
                <a:tailEnd/>
              </a:ln>
              <a:solidFill>
                <a:srgbClr val="000000"/>
              </a:solidFill>
              <a:effectLst/>
              <a:latin typeface="Arial Black"/>
            </a:rPr>
            <a:t>Manufacture Only Product</a:t>
          </a:r>
        </a:p>
      </xdr:txBody>
    </xdr:sp>
    <xdr:clientData/>
  </xdr:twoCellAnchor>
  <mc:AlternateContent xmlns:mc="http://schemas.openxmlformats.org/markup-compatibility/2006">
    <mc:Choice xmlns:a14="http://schemas.microsoft.com/office/drawing/2010/main" Requires="a14">
      <xdr:twoCellAnchor editAs="oneCell">
        <xdr:from>
          <xdr:col>2</xdr:col>
          <xdr:colOff>552450</xdr:colOff>
          <xdr:row>39</xdr:row>
          <xdr:rowOff>152400</xdr:rowOff>
        </xdr:from>
        <xdr:to>
          <xdr:col>7</xdr:col>
          <xdr:colOff>19050</xdr:colOff>
          <xdr:row>40</xdr:row>
          <xdr:rowOff>152400</xdr:rowOff>
        </xdr:to>
        <xdr:sp macro="" textlink="">
          <xdr:nvSpPr>
            <xdr:cNvPr id="8193" name="Scroll Bar 1" hidden="1">
              <a:extLst>
                <a:ext uri="{63B3BB69-23CF-44E3-9099-C40C66FF867C}">
                  <a14:compatExt spid="_x0000_s819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285750</xdr:colOff>
      <xdr:row>7</xdr:row>
      <xdr:rowOff>85725</xdr:rowOff>
    </xdr:from>
    <xdr:to>
      <xdr:col>8</xdr:col>
      <xdr:colOff>904875</xdr:colOff>
      <xdr:row>10</xdr:row>
      <xdr:rowOff>19050</xdr:rowOff>
    </xdr:to>
    <xdr:sp macro="" textlink="">
      <xdr:nvSpPr>
        <xdr:cNvPr id="14677" name="Right Arrow 1"/>
        <xdr:cNvSpPr>
          <a:spLocks noChangeArrowheads="1"/>
        </xdr:cNvSpPr>
      </xdr:nvSpPr>
      <xdr:spPr bwMode="auto">
        <a:xfrm>
          <a:off x="8191500" y="1219200"/>
          <a:ext cx="619125" cy="419100"/>
        </a:xfrm>
        <a:prstGeom prst="rightArrow">
          <a:avLst>
            <a:gd name="adj1" fmla="val 50000"/>
            <a:gd name="adj2" fmla="val 50002"/>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352425</xdr:colOff>
      <xdr:row>11</xdr:row>
      <xdr:rowOff>9525</xdr:rowOff>
    </xdr:from>
    <xdr:to>
      <xdr:col>10</xdr:col>
      <xdr:colOff>800100</xdr:colOff>
      <xdr:row>16</xdr:row>
      <xdr:rowOff>114300</xdr:rowOff>
    </xdr:to>
    <xdr:sp macro="" textlink="">
      <xdr:nvSpPr>
        <xdr:cNvPr id="14678" name="Down Arrow 2"/>
        <xdr:cNvSpPr>
          <a:spLocks noChangeArrowheads="1"/>
        </xdr:cNvSpPr>
      </xdr:nvSpPr>
      <xdr:spPr bwMode="auto">
        <a:xfrm>
          <a:off x="10963275" y="1790700"/>
          <a:ext cx="447675" cy="914400"/>
        </a:xfrm>
        <a:prstGeom prst="downArrow">
          <a:avLst>
            <a:gd name="adj1" fmla="val 50000"/>
            <a:gd name="adj2" fmla="val 53191"/>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xdr:col>
      <xdr:colOff>295275</xdr:colOff>
      <xdr:row>22</xdr:row>
      <xdr:rowOff>76200</xdr:rowOff>
    </xdr:from>
    <xdr:to>
      <xdr:col>8</xdr:col>
      <xdr:colOff>914400</xdr:colOff>
      <xdr:row>25</xdr:row>
      <xdr:rowOff>9525</xdr:rowOff>
    </xdr:to>
    <xdr:sp macro="" textlink="">
      <xdr:nvSpPr>
        <xdr:cNvPr id="14679" name="Right Arrow 3"/>
        <xdr:cNvSpPr>
          <a:spLocks noChangeArrowheads="1"/>
        </xdr:cNvSpPr>
      </xdr:nvSpPr>
      <xdr:spPr bwMode="auto">
        <a:xfrm>
          <a:off x="8201025" y="3638550"/>
          <a:ext cx="619125" cy="419100"/>
        </a:xfrm>
        <a:prstGeom prst="rightArrow">
          <a:avLst>
            <a:gd name="adj1" fmla="val 50000"/>
            <a:gd name="adj2" fmla="val 50002"/>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152400</xdr:colOff>
      <xdr:row>26</xdr:row>
      <xdr:rowOff>47624</xdr:rowOff>
    </xdr:from>
    <xdr:to>
      <xdr:col>11</xdr:col>
      <xdr:colOff>771525</xdr:colOff>
      <xdr:row>31</xdr:row>
      <xdr:rowOff>161924</xdr:rowOff>
    </xdr:to>
    <xdr:sp macro="" textlink="">
      <xdr:nvSpPr>
        <xdr:cNvPr id="6" name="Bent Arrow 5"/>
        <xdr:cNvSpPr/>
      </xdr:nvSpPr>
      <xdr:spPr bwMode="auto">
        <a:xfrm rot="10800000">
          <a:off x="11830050" y="4257674"/>
          <a:ext cx="619125" cy="923925"/>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en-AU"/>
        </a:p>
      </xdr:txBody>
    </xdr:sp>
    <xdr:clientData/>
  </xdr:twoCellAnchor>
  <xdr:twoCellAnchor>
    <xdr:from>
      <xdr:col>5</xdr:col>
      <xdr:colOff>571502</xdr:colOff>
      <xdr:row>27</xdr:row>
      <xdr:rowOff>57150</xdr:rowOff>
    </xdr:from>
    <xdr:to>
      <xdr:col>5</xdr:col>
      <xdr:colOff>1395417</xdr:colOff>
      <xdr:row>31</xdr:row>
      <xdr:rowOff>95250</xdr:rowOff>
    </xdr:to>
    <xdr:sp macro="" textlink="">
      <xdr:nvSpPr>
        <xdr:cNvPr id="8" name="Bent Arrow 7"/>
        <xdr:cNvSpPr/>
      </xdr:nvSpPr>
      <xdr:spPr bwMode="auto">
        <a:xfrm rot="16200000">
          <a:off x="4221960" y="4360067"/>
          <a:ext cx="685800" cy="823915"/>
        </a:xfrm>
        <a:prstGeom prst="bentArrow">
          <a:avLst>
            <a:gd name="adj1" fmla="val 25000"/>
            <a:gd name="adj2" fmla="val 29046"/>
            <a:gd name="adj3" fmla="val 25000"/>
            <a:gd name="adj4" fmla="val 4375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en-AU"/>
        </a:p>
      </xdr:txBody>
    </xdr:sp>
    <xdr:clientData/>
  </xdr:twoCellAnchor>
  <mc:AlternateContent xmlns:mc="http://schemas.openxmlformats.org/markup-compatibility/2006">
    <mc:Choice xmlns:a14="http://schemas.microsoft.com/office/drawing/2010/main" Requires="a14">
      <xdr:twoCellAnchor>
        <xdr:from>
          <xdr:col>5</xdr:col>
          <xdr:colOff>342900</xdr:colOff>
          <xdr:row>40</xdr:row>
          <xdr:rowOff>19050</xdr:rowOff>
        </xdr:from>
        <xdr:to>
          <xdr:col>5</xdr:col>
          <xdr:colOff>1200150</xdr:colOff>
          <xdr:row>41</xdr:row>
          <xdr:rowOff>152400</xdr:rowOff>
        </xdr:to>
        <xdr:sp macro="" textlink="">
          <xdr:nvSpPr>
            <xdr:cNvPr id="10272" name="Button 32" hidden="1">
              <a:extLst>
                <a:ext uri="{63B3BB69-23CF-44E3-9099-C40C66FF867C}">
                  <a14:compatExt spid="_x0000_s10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Still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40</xdr:row>
          <xdr:rowOff>19050</xdr:rowOff>
        </xdr:from>
        <xdr:to>
          <xdr:col>6</xdr:col>
          <xdr:colOff>1076325</xdr:colOff>
          <xdr:row>41</xdr:row>
          <xdr:rowOff>152400</xdr:rowOff>
        </xdr:to>
        <xdr:sp macro="" textlink="">
          <xdr:nvSpPr>
            <xdr:cNvPr id="10745" name="Button 505" hidden="1">
              <a:extLst>
                <a:ext uri="{63B3BB69-23CF-44E3-9099-C40C66FF867C}">
                  <a14:compatExt spid="_x0000_s10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What should I 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257175</xdr:colOff>
          <xdr:row>40</xdr:row>
          <xdr:rowOff>19050</xdr:rowOff>
        </xdr:from>
        <xdr:to>
          <xdr:col>7</xdr:col>
          <xdr:colOff>1219200</xdr:colOff>
          <xdr:row>41</xdr:row>
          <xdr:rowOff>152400</xdr:rowOff>
        </xdr:to>
        <xdr:sp macro="" textlink="">
          <xdr:nvSpPr>
            <xdr:cNvPr id="10746" name="Button 506" hidden="1">
              <a:extLst>
                <a:ext uri="{63B3BB69-23CF-44E3-9099-C40C66FF867C}">
                  <a14:compatExt spid="_x0000_s10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Getting There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40</xdr:row>
          <xdr:rowOff>19050</xdr:rowOff>
        </xdr:from>
        <xdr:to>
          <xdr:col>8</xdr:col>
          <xdr:colOff>1152525</xdr:colOff>
          <xdr:row>41</xdr:row>
          <xdr:rowOff>152400</xdr:rowOff>
        </xdr:to>
        <xdr:sp macro="" textlink="">
          <xdr:nvSpPr>
            <xdr:cNvPr id="10747" name="Button 507" hidden="1">
              <a:extLst>
                <a:ext uri="{63B3BB69-23CF-44E3-9099-C40C66FF867C}">
                  <a14:compatExt spid="_x0000_s10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Excellent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247650</xdr:colOff>
          <xdr:row>40</xdr:row>
          <xdr:rowOff>19050</xdr:rowOff>
        </xdr:from>
        <xdr:to>
          <xdr:col>9</xdr:col>
          <xdr:colOff>1209675</xdr:colOff>
          <xdr:row>41</xdr:row>
          <xdr:rowOff>152400</xdr:rowOff>
        </xdr:to>
        <xdr:sp macro="" textlink="">
          <xdr:nvSpPr>
            <xdr:cNvPr id="10748" name="Button 508" hidden="1">
              <a:extLst>
                <a:ext uri="{63B3BB69-23CF-44E3-9099-C40C66FF867C}">
                  <a14:compatExt spid="_x0000_s10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Extraordinary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200025</xdr:colOff>
          <xdr:row>40</xdr:row>
          <xdr:rowOff>9525</xdr:rowOff>
        </xdr:from>
        <xdr:to>
          <xdr:col>10</xdr:col>
          <xdr:colOff>1162050</xdr:colOff>
          <xdr:row>41</xdr:row>
          <xdr:rowOff>142875</xdr:rowOff>
        </xdr:to>
        <xdr:sp macro="" textlink="">
          <xdr:nvSpPr>
            <xdr:cNvPr id="10749" name="Button 509" hidden="1">
              <a:extLst>
                <a:ext uri="{63B3BB69-23CF-44E3-9099-C40C66FF867C}">
                  <a14:compatExt spid="_x0000_s10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World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161925</xdr:colOff>
          <xdr:row>40</xdr:row>
          <xdr:rowOff>19050</xdr:rowOff>
        </xdr:from>
        <xdr:to>
          <xdr:col>11</xdr:col>
          <xdr:colOff>1123950</xdr:colOff>
          <xdr:row>41</xdr:row>
          <xdr:rowOff>152400</xdr:rowOff>
        </xdr:to>
        <xdr:sp macro="" textlink="">
          <xdr:nvSpPr>
            <xdr:cNvPr id="11597" name="Button 1357" hidden="1">
              <a:extLst>
                <a:ext uri="{63B3BB69-23CF-44E3-9099-C40C66FF867C}">
                  <a14:compatExt spid="_x0000_s115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Trial Factory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9525</xdr:colOff>
      <xdr:row>27</xdr:row>
      <xdr:rowOff>219075</xdr:rowOff>
    </xdr:from>
    <xdr:to>
      <xdr:col>4</xdr:col>
      <xdr:colOff>497416</xdr:colOff>
      <xdr:row>44</xdr:row>
      <xdr:rowOff>76200</xdr:rowOff>
    </xdr:to>
    <xdr:graphicFrame macro="">
      <xdr:nvGraphicFramePr>
        <xdr:cNvPr id="1353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970491</xdr:colOff>
      <xdr:row>28</xdr:row>
      <xdr:rowOff>4232</xdr:rowOff>
    </xdr:from>
    <xdr:to>
      <xdr:col>8</xdr:col>
      <xdr:colOff>127000</xdr:colOff>
      <xdr:row>44</xdr:row>
      <xdr:rowOff>95249</xdr:rowOff>
    </xdr:to>
    <xdr:graphicFrame macro="">
      <xdr:nvGraphicFramePr>
        <xdr:cNvPr id="1353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11</xdr:col>
          <xdr:colOff>114300</xdr:colOff>
          <xdr:row>18</xdr:row>
          <xdr:rowOff>47625</xdr:rowOff>
        </xdr:from>
        <xdr:to>
          <xdr:col>11</xdr:col>
          <xdr:colOff>1123950</xdr:colOff>
          <xdr:row>18</xdr:row>
          <xdr:rowOff>228600</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900" b="0" i="0" u="none" strike="noStrike" baseline="0">
                  <a:solidFill>
                    <a:srgbClr val="000000"/>
                  </a:solidFill>
                  <a:latin typeface="Arial"/>
                  <a:cs typeface="Arial"/>
                </a:rPr>
                <a:t>Run Simulator</a:t>
              </a:r>
            </a:p>
          </xdr:txBody>
        </xdr:sp>
        <xdr:clientData fLocksWithSheet="0" fPrintsWithSheet="0"/>
      </xdr:twoCellAnchor>
    </mc:Choice>
    <mc:Fallback/>
  </mc:AlternateContent>
  <xdr:twoCellAnchor>
    <xdr:from>
      <xdr:col>13</xdr:col>
      <xdr:colOff>349249</xdr:colOff>
      <xdr:row>1</xdr:row>
      <xdr:rowOff>95247</xdr:rowOff>
    </xdr:from>
    <xdr:to>
      <xdr:col>17</xdr:col>
      <xdr:colOff>264584</xdr:colOff>
      <xdr:row>6</xdr:row>
      <xdr:rowOff>116417</xdr:rowOff>
    </xdr:to>
    <xdr:sp macro="" textlink="">
      <xdr:nvSpPr>
        <xdr:cNvPr id="2" name="Line Callout 1 1"/>
        <xdr:cNvSpPr/>
      </xdr:nvSpPr>
      <xdr:spPr bwMode="auto">
        <a:xfrm>
          <a:off x="14795499" y="338664"/>
          <a:ext cx="2370668" cy="1333503"/>
        </a:xfrm>
        <a:prstGeom prst="borderCallout1">
          <a:avLst>
            <a:gd name="adj1" fmla="val 18750"/>
            <a:gd name="adj2" fmla="val -8333"/>
            <a:gd name="adj3" fmla="val 57693"/>
            <a:gd name="adj4" fmla="val -58841"/>
          </a:avLst>
        </a:prstGeom>
        <a:ln>
          <a:headEnd type="none" w="med" len="med"/>
          <a:tailEnd type="none" w="med" len="med"/>
        </a:ln>
        <a:extLst/>
      </xdr:spPr>
      <xdr:style>
        <a:lnRef idx="1">
          <a:schemeClr val="accent1"/>
        </a:lnRef>
        <a:fillRef idx="2">
          <a:schemeClr val="accent1"/>
        </a:fillRef>
        <a:effectRef idx="1">
          <a:schemeClr val="accent1"/>
        </a:effectRef>
        <a:fontRef idx="minor">
          <a:schemeClr val="dk1"/>
        </a:fontRef>
      </xdr:style>
      <xdr:txBody>
        <a:bodyPr vertOverflow="clip" horzOverflow="clip" wrap="square" lIns="18288" tIns="0" rIns="0" bIns="0" rtlCol="0" anchor="t" upright="1"/>
        <a:lstStyle/>
        <a:p>
          <a:pPr algn="l"/>
          <a:r>
            <a:rPr lang="en-AU" sz="1100"/>
            <a:t>Note: When you hit the "Run</a:t>
          </a:r>
          <a:r>
            <a:rPr lang="en-AU" sz="1100" baseline="0"/>
            <a:t> Simulator" button it feels as if there is nothing happening. Watch the current day. If this is ticking then excel is working. Once the raw materials are available (which depends on the raw material lead time)  then the factory will start producing.</a:t>
          </a:r>
          <a:endParaRPr lang="en-AU" sz="1100"/>
        </a:p>
      </xdr:txBody>
    </xdr:sp>
    <xdr:clientData/>
  </xdr:twoCellAnchor>
  <xdr:twoCellAnchor>
    <xdr:from>
      <xdr:col>13</xdr:col>
      <xdr:colOff>42333</xdr:colOff>
      <xdr:row>7</xdr:row>
      <xdr:rowOff>41275</xdr:rowOff>
    </xdr:from>
    <xdr:to>
      <xdr:col>17</xdr:col>
      <xdr:colOff>275166</xdr:colOff>
      <xdr:row>23</xdr:row>
      <xdr:rowOff>264585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592667</xdr:colOff>
      <xdr:row>7</xdr:row>
      <xdr:rowOff>21167</xdr:rowOff>
    </xdr:from>
    <xdr:to>
      <xdr:col>2</xdr:col>
      <xdr:colOff>825501</xdr:colOff>
      <xdr:row>7</xdr:row>
      <xdr:rowOff>232834</xdr:rowOff>
    </xdr:to>
    <xdr:sp macro="" textlink="">
      <xdr:nvSpPr>
        <xdr:cNvPr id="3" name="Oval 2"/>
        <xdr:cNvSpPr>
          <a:spLocks/>
        </xdr:cNvSpPr>
      </xdr:nvSpPr>
      <xdr:spPr bwMode="auto">
        <a:xfrm>
          <a:off x="2709334" y="1820334"/>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2</xdr:col>
      <xdr:colOff>571500</xdr:colOff>
      <xdr:row>25</xdr:row>
      <xdr:rowOff>10583</xdr:rowOff>
    </xdr:from>
    <xdr:to>
      <xdr:col>2</xdr:col>
      <xdr:colOff>804334</xdr:colOff>
      <xdr:row>25</xdr:row>
      <xdr:rowOff>222250</xdr:rowOff>
    </xdr:to>
    <xdr:sp macro="" textlink="">
      <xdr:nvSpPr>
        <xdr:cNvPr id="11" name="Oval 10"/>
        <xdr:cNvSpPr>
          <a:spLocks/>
        </xdr:cNvSpPr>
      </xdr:nvSpPr>
      <xdr:spPr bwMode="auto">
        <a:xfrm>
          <a:off x="2688167" y="6360583"/>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2</xdr:col>
      <xdr:colOff>582083</xdr:colOff>
      <xdr:row>8</xdr:row>
      <xdr:rowOff>21167</xdr:rowOff>
    </xdr:from>
    <xdr:to>
      <xdr:col>2</xdr:col>
      <xdr:colOff>814917</xdr:colOff>
      <xdr:row>8</xdr:row>
      <xdr:rowOff>232834</xdr:rowOff>
    </xdr:to>
    <xdr:sp macro="" textlink="">
      <xdr:nvSpPr>
        <xdr:cNvPr id="12" name="Oval 11"/>
        <xdr:cNvSpPr>
          <a:spLocks/>
        </xdr:cNvSpPr>
      </xdr:nvSpPr>
      <xdr:spPr bwMode="auto">
        <a:xfrm>
          <a:off x="2698750" y="2063750"/>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5</xdr:col>
      <xdr:colOff>529167</xdr:colOff>
      <xdr:row>8</xdr:row>
      <xdr:rowOff>21167</xdr:rowOff>
    </xdr:from>
    <xdr:to>
      <xdr:col>5</xdr:col>
      <xdr:colOff>762001</xdr:colOff>
      <xdr:row>8</xdr:row>
      <xdr:rowOff>232834</xdr:rowOff>
    </xdr:to>
    <xdr:sp macro="" textlink="">
      <xdr:nvSpPr>
        <xdr:cNvPr id="13" name="Oval 12"/>
        <xdr:cNvSpPr>
          <a:spLocks/>
        </xdr:cNvSpPr>
      </xdr:nvSpPr>
      <xdr:spPr bwMode="auto">
        <a:xfrm>
          <a:off x="6096000" y="2063750"/>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8</xdr:col>
      <xdr:colOff>677333</xdr:colOff>
      <xdr:row>8</xdr:row>
      <xdr:rowOff>10584</xdr:rowOff>
    </xdr:from>
    <xdr:to>
      <xdr:col>8</xdr:col>
      <xdr:colOff>910167</xdr:colOff>
      <xdr:row>8</xdr:row>
      <xdr:rowOff>222251</xdr:rowOff>
    </xdr:to>
    <xdr:sp macro="" textlink="">
      <xdr:nvSpPr>
        <xdr:cNvPr id="14" name="Oval 13"/>
        <xdr:cNvSpPr>
          <a:spLocks/>
        </xdr:cNvSpPr>
      </xdr:nvSpPr>
      <xdr:spPr bwMode="auto">
        <a:xfrm>
          <a:off x="9609666" y="2053167"/>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2</xdr:col>
      <xdr:colOff>613831</xdr:colOff>
      <xdr:row>17</xdr:row>
      <xdr:rowOff>21166</xdr:rowOff>
    </xdr:from>
    <xdr:to>
      <xdr:col>2</xdr:col>
      <xdr:colOff>846665</xdr:colOff>
      <xdr:row>17</xdr:row>
      <xdr:rowOff>232833</xdr:rowOff>
    </xdr:to>
    <xdr:sp macro="" textlink="">
      <xdr:nvSpPr>
        <xdr:cNvPr id="15" name="Oval 14"/>
        <xdr:cNvSpPr>
          <a:spLocks/>
        </xdr:cNvSpPr>
      </xdr:nvSpPr>
      <xdr:spPr bwMode="auto">
        <a:xfrm>
          <a:off x="2730498" y="4254499"/>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5</xdr:col>
      <xdr:colOff>550334</xdr:colOff>
      <xdr:row>17</xdr:row>
      <xdr:rowOff>10584</xdr:rowOff>
    </xdr:from>
    <xdr:to>
      <xdr:col>5</xdr:col>
      <xdr:colOff>783168</xdr:colOff>
      <xdr:row>17</xdr:row>
      <xdr:rowOff>222251</xdr:rowOff>
    </xdr:to>
    <xdr:sp macro="" textlink="">
      <xdr:nvSpPr>
        <xdr:cNvPr id="16" name="Oval 15"/>
        <xdr:cNvSpPr>
          <a:spLocks/>
        </xdr:cNvSpPr>
      </xdr:nvSpPr>
      <xdr:spPr bwMode="auto">
        <a:xfrm>
          <a:off x="6117167" y="4243917"/>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8</xdr:col>
      <xdr:colOff>687916</xdr:colOff>
      <xdr:row>17</xdr:row>
      <xdr:rowOff>10583</xdr:rowOff>
    </xdr:from>
    <xdr:to>
      <xdr:col>8</xdr:col>
      <xdr:colOff>920750</xdr:colOff>
      <xdr:row>17</xdr:row>
      <xdr:rowOff>222250</xdr:rowOff>
    </xdr:to>
    <xdr:sp macro="" textlink="">
      <xdr:nvSpPr>
        <xdr:cNvPr id="17" name="Oval 16"/>
        <xdr:cNvSpPr>
          <a:spLocks/>
        </xdr:cNvSpPr>
      </xdr:nvSpPr>
      <xdr:spPr bwMode="auto">
        <a:xfrm>
          <a:off x="9620249" y="4243916"/>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2</xdr:col>
      <xdr:colOff>560917</xdr:colOff>
      <xdr:row>26</xdr:row>
      <xdr:rowOff>21167</xdr:rowOff>
    </xdr:from>
    <xdr:to>
      <xdr:col>2</xdr:col>
      <xdr:colOff>793751</xdr:colOff>
      <xdr:row>26</xdr:row>
      <xdr:rowOff>232834</xdr:rowOff>
    </xdr:to>
    <xdr:sp macro="" textlink="">
      <xdr:nvSpPr>
        <xdr:cNvPr id="18" name="Oval 17"/>
        <xdr:cNvSpPr>
          <a:spLocks/>
        </xdr:cNvSpPr>
      </xdr:nvSpPr>
      <xdr:spPr bwMode="auto">
        <a:xfrm>
          <a:off x="2677584" y="6614584"/>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5</xdr:col>
      <xdr:colOff>571500</xdr:colOff>
      <xdr:row>26</xdr:row>
      <xdr:rowOff>21167</xdr:rowOff>
    </xdr:from>
    <xdr:to>
      <xdr:col>5</xdr:col>
      <xdr:colOff>804334</xdr:colOff>
      <xdr:row>26</xdr:row>
      <xdr:rowOff>232834</xdr:rowOff>
    </xdr:to>
    <xdr:sp macro="" textlink="">
      <xdr:nvSpPr>
        <xdr:cNvPr id="19" name="Oval 18"/>
        <xdr:cNvSpPr>
          <a:spLocks/>
        </xdr:cNvSpPr>
      </xdr:nvSpPr>
      <xdr:spPr bwMode="auto">
        <a:xfrm>
          <a:off x="6138333" y="6614584"/>
          <a:ext cx="232834" cy="211667"/>
        </a:xfrm>
        <a:prstGeom prst="ellipse">
          <a:avLst/>
        </a:prstGeom>
        <a:ln>
          <a:headEnd type="none" w="med" len="med"/>
          <a:tailEnd type="none" w="med" len="med"/>
        </a:ln>
        <a:extLst/>
      </xdr:spPr>
      <xdr:style>
        <a:lnRef idx="0">
          <a:schemeClr val="accent2"/>
        </a:lnRef>
        <a:fillRef idx="3">
          <a:schemeClr val="accent2"/>
        </a:fillRef>
        <a:effectRef idx="3">
          <a:schemeClr val="accent2"/>
        </a:effectRef>
        <a:fontRef idx="minor">
          <a:schemeClr val="lt1"/>
        </a:fontRef>
      </xdr:style>
      <xdr:txBody>
        <a:bodyPr vertOverflow="clip" horzOverflow="clip" wrap="square" lIns="18288" tIns="0" rIns="0" bIns="0" rtlCol="0" anchor="t" upright="1"/>
        <a:lstStyle/>
        <a:p>
          <a:pPr algn="l"/>
          <a:endParaRPr lang="en-AU" sz="1100"/>
        </a:p>
      </xdr:txBody>
    </xdr:sp>
    <xdr:clientData fLocksWithSheet="0"/>
  </xdr:twoCellAnchor>
  <xdr:twoCellAnchor>
    <xdr:from>
      <xdr:col>8</xdr:col>
      <xdr:colOff>439208</xdr:colOff>
      <xdr:row>27</xdr:row>
      <xdr:rowOff>200025</xdr:rowOff>
    </xdr:from>
    <xdr:to>
      <xdr:col>12</xdr:col>
      <xdr:colOff>132291</xdr:colOff>
      <xdr:row>44</xdr:row>
      <xdr:rowOff>75141</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1344083</xdr:colOff>
      <xdr:row>44</xdr:row>
      <xdr:rowOff>105832</xdr:rowOff>
    </xdr:from>
    <xdr:to>
      <xdr:col>2</xdr:col>
      <xdr:colOff>444499</xdr:colOff>
      <xdr:row>45</xdr:row>
      <xdr:rowOff>126999</xdr:rowOff>
    </xdr:to>
    <xdr:sp macro="" textlink="">
      <xdr:nvSpPr>
        <xdr:cNvPr id="4" name="Rectangle 3"/>
        <xdr:cNvSpPr/>
      </xdr:nvSpPr>
      <xdr:spPr bwMode="auto">
        <a:xfrm>
          <a:off x="1672166" y="9810749"/>
          <a:ext cx="889000" cy="179917"/>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en-AU" sz="1100"/>
            <a:t>Profit On Sales</a:t>
          </a:r>
        </a:p>
      </xdr:txBody>
    </xdr:sp>
    <xdr:clientData/>
  </xdr:twoCellAnchor>
  <xdr:twoCellAnchor>
    <xdr:from>
      <xdr:col>5</xdr:col>
      <xdr:colOff>920750</xdr:colOff>
      <xdr:row>44</xdr:row>
      <xdr:rowOff>116416</xdr:rowOff>
    </xdr:from>
    <xdr:to>
      <xdr:col>7</xdr:col>
      <xdr:colOff>751418</xdr:colOff>
      <xdr:row>45</xdr:row>
      <xdr:rowOff>137583</xdr:rowOff>
    </xdr:to>
    <xdr:sp macro="" textlink="">
      <xdr:nvSpPr>
        <xdr:cNvPr id="20" name="Rectangle 19"/>
        <xdr:cNvSpPr/>
      </xdr:nvSpPr>
      <xdr:spPr bwMode="auto">
        <a:xfrm>
          <a:off x="6487583" y="9821333"/>
          <a:ext cx="1449918" cy="179917"/>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en-AU" sz="1100"/>
            <a:t>Cash</a:t>
          </a:r>
          <a:r>
            <a:rPr lang="en-AU" sz="1100" baseline="0"/>
            <a:t> in current  account</a:t>
          </a:r>
          <a:endParaRPr lang="en-AU" sz="1100"/>
        </a:p>
      </xdr:txBody>
    </xdr:sp>
    <xdr:clientData/>
  </xdr:twoCellAnchor>
  <xdr:twoCellAnchor>
    <xdr:from>
      <xdr:col>9</xdr:col>
      <xdr:colOff>148166</xdr:colOff>
      <xdr:row>44</xdr:row>
      <xdr:rowOff>95249</xdr:rowOff>
    </xdr:from>
    <xdr:to>
      <xdr:col>11</xdr:col>
      <xdr:colOff>63501</xdr:colOff>
      <xdr:row>45</xdr:row>
      <xdr:rowOff>127000</xdr:rowOff>
    </xdr:to>
    <xdr:sp macro="" textlink="">
      <xdr:nvSpPr>
        <xdr:cNvPr id="21" name="Rectangle 20"/>
        <xdr:cNvSpPr/>
      </xdr:nvSpPr>
      <xdr:spPr bwMode="auto">
        <a:xfrm>
          <a:off x="10583333" y="9800166"/>
          <a:ext cx="2095501" cy="190501"/>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en-AU" sz="1100"/>
            <a:t>Distribution Warehouse Stock</a:t>
          </a:r>
          <a:r>
            <a:rPr lang="en-AU" sz="1100" baseline="0"/>
            <a:t> Level</a:t>
          </a:r>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irected$/sthiyaga/My%20Documents/Documents/Costing/Experimental%20-%20Costing%20Labour%20Hour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Manuf - Route"/>
      <sheetName val="Manuf - BOM"/>
      <sheetName val="Packaging"/>
      <sheetName val="DataSheet"/>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010"/>
  <sheetViews>
    <sheetView showGridLines="0" workbookViewId="0">
      <selection activeCell="J15" sqref="J15"/>
    </sheetView>
  </sheetViews>
  <sheetFormatPr defaultRowHeight="11.25" x14ac:dyDescent="0.2"/>
  <cols>
    <col min="1" max="1" width="3.5703125" style="5" customWidth="1"/>
    <col min="2" max="2" width="8.28515625" style="3" customWidth="1"/>
    <col min="3" max="3" width="7.5703125" style="3" customWidth="1"/>
    <col min="4" max="4" width="15.140625" style="4" customWidth="1"/>
    <col min="5" max="5" width="9.140625" style="4"/>
    <col min="6" max="6" width="9.140625" style="5"/>
    <col min="7" max="7" width="5.140625" style="5" customWidth="1"/>
    <col min="8" max="8" width="9.140625" style="5"/>
    <col min="9" max="10" width="7.42578125" style="5" customWidth="1"/>
    <col min="11" max="11" width="9.140625" style="5"/>
    <col min="12" max="12" width="9.140625" style="4"/>
    <col min="13" max="16384" width="9.140625" style="5"/>
  </cols>
  <sheetData>
    <row r="1" spans="2:13" ht="12" thickBot="1" x14ac:dyDescent="0.25"/>
    <row r="2" spans="2:13" ht="21" thickBot="1" x14ac:dyDescent="0.35">
      <c r="B2" s="636" t="s">
        <v>87</v>
      </c>
      <c r="C2" s="637"/>
      <c r="D2" s="637"/>
      <c r="E2" s="637"/>
      <c r="F2" s="637"/>
      <c r="G2" s="638"/>
    </row>
    <row r="3" spans="2:13" x14ac:dyDescent="0.2">
      <c r="B3" s="166" t="s">
        <v>496</v>
      </c>
      <c r="C3" s="167" t="s">
        <v>497</v>
      </c>
      <c r="D3" s="167" t="s">
        <v>498</v>
      </c>
      <c r="E3" s="167"/>
      <c r="F3" s="167"/>
      <c r="G3" s="168"/>
    </row>
    <row r="4" spans="2:13" x14ac:dyDescent="0.2">
      <c r="B4" s="39" t="s">
        <v>499</v>
      </c>
      <c r="C4" s="160">
        <f>IF('Manuf - BOM'!C18=0,0,'Manuf - BOM'!P33+(DataSheet!E2+(('Manuf - BOM'!C18+'Manuf - BOM'!C26)*DataSheet!E3)+(('Manuf - BOM'!M18+'Manuf - BOM'!M26+'Manuf - BOM'!D18-'Manuf - BOM'!C18+'Manuf - BOM'!D26-'Manuf - BOM'!C26-'Manuf - BOM'!P17-'Manuf - BOM'!P25)*DataSheet!E4))/60)</f>
        <v>5.3</v>
      </c>
      <c r="D4" s="8" t="s">
        <v>4</v>
      </c>
      <c r="E4" s="11" t="str">
        <f>'Manuf - BOM'!C18+'Manuf - BOM'!C26-'Manuf - BOM'!P17-'Manuf - BOM'!P25 &amp; " unique and " &amp; 'Manuf - BOM'!D18+'Manuf - BOM'!M18+'Manuf - BOM'!M26+'Manuf - BOM'!D26-'Manuf - BOM'!C26-'Manuf - BOM'!C18 &amp; " repeat"</f>
        <v>12 unique and 5 repeat</v>
      </c>
      <c r="F4" s="9"/>
      <c r="G4" s="10"/>
      <c r="H4" s="4"/>
    </row>
    <row r="5" spans="2:13" x14ac:dyDescent="0.2">
      <c r="B5" s="40">
        <f>'Manuf - BOM'!P34+SUM(F6:F7)+G5</f>
        <v>2.6</v>
      </c>
      <c r="C5" s="161">
        <f>B5</f>
        <v>2.6</v>
      </c>
      <c r="D5" s="17" t="s">
        <v>5</v>
      </c>
      <c r="E5" s="18" t="str">
        <f>'Manuf - BOM'!M4 &amp; " mixes in P" &amp; 'Manuf - BOM'!E33</f>
        <v>2 mixes in P250</v>
      </c>
      <c r="F5" s="19"/>
      <c r="G5" s="20">
        <f>IF('Manuf - BOM'!M4&gt;0,('Manuf - BOM'!F33+60*'Manuf - BOM'!M4)/60,0)</f>
        <v>2.6</v>
      </c>
      <c r="H5" s="6"/>
      <c r="I5" s="6"/>
      <c r="J5" s="6"/>
      <c r="K5" s="6"/>
      <c r="L5" s="6"/>
      <c r="M5" s="6"/>
    </row>
    <row r="6" spans="2:13" x14ac:dyDescent="0.2">
      <c r="B6" s="41"/>
      <c r="C6" s="8"/>
      <c r="D6" s="13" t="s">
        <v>37</v>
      </c>
      <c r="E6" s="43" t="s">
        <v>42</v>
      </c>
      <c r="F6" s="14">
        <f>IF('Manuf - Route'!E6="Yes",(DataSheet!$E$12+(DataSheet!$E$13*'Manuf - BOM'!$N$17*'Manuf - BOM'!$M$4))/60,0)</f>
        <v>0</v>
      </c>
      <c r="G6" s="15"/>
      <c r="H6" s="4"/>
      <c r="I6" s="4"/>
      <c r="J6" s="4"/>
      <c r="K6" s="4"/>
      <c r="M6" s="4"/>
    </row>
    <row r="7" spans="2:13" x14ac:dyDescent="0.2">
      <c r="B7" s="42"/>
      <c r="C7" s="162"/>
      <c r="D7" s="21" t="s">
        <v>45</v>
      </c>
      <c r="E7" s="44" t="s">
        <v>42</v>
      </c>
      <c r="F7" s="22">
        <f>IF(E7="Yes",(DataSheet!$E$7+(DataSheet!$E$8*'Manuf - BOM'!$N$17*'Manuf - BOM'!$M$4))/60,0)</f>
        <v>0</v>
      </c>
      <c r="G7" s="23"/>
      <c r="H7" s="4"/>
      <c r="K7" s="7"/>
      <c r="M7" s="4"/>
    </row>
    <row r="8" spans="2:13" x14ac:dyDescent="0.2">
      <c r="B8" s="40">
        <f>'Manuf - BOM'!P35+SUM(F9:F11)+G8</f>
        <v>4.7</v>
      </c>
      <c r="C8" s="161">
        <f>B8</f>
        <v>4.7</v>
      </c>
      <c r="D8" s="17" t="s">
        <v>493</v>
      </c>
      <c r="E8" s="18" t="str">
        <f>IF(E13="no", IF('Manuf - BOM'!E33=250, 'Manuf - BOM'!M4 &amp; " mixes in " &amp; "T5", 'Manuf - BOM'!M4 &amp; " mixes in " &amp; "T6"), "")</f>
        <v>2 mixes in T5</v>
      </c>
      <c r="F8" s="19"/>
      <c r="G8" s="20">
        <f>IF(OR(E9="Yes", E10="Yes", E11="Yes"), DataSheet!E9/60, 0)</f>
        <v>1</v>
      </c>
      <c r="H8" s="6"/>
      <c r="I8" s="6"/>
      <c r="J8" s="6"/>
      <c r="K8" s="6"/>
      <c r="L8" s="6"/>
      <c r="M8" s="6"/>
    </row>
    <row r="9" spans="2:13" x14ac:dyDescent="0.2">
      <c r="B9" s="41"/>
      <c r="C9" s="8"/>
      <c r="D9" s="13" t="s">
        <v>39</v>
      </c>
      <c r="E9" s="43" t="s">
        <v>42</v>
      </c>
      <c r="F9" s="14">
        <f>IF(E9="Yes",(DataSheet!E7+(DataSheet!E8*'Manuf - BOM'!$N$17*'Manuf - BOM'!$M$4))/60,0)</f>
        <v>0</v>
      </c>
      <c r="G9" s="16"/>
      <c r="H9" s="4"/>
      <c r="K9" s="7"/>
      <c r="M9" s="4"/>
    </row>
    <row r="10" spans="2:13" x14ac:dyDescent="0.2">
      <c r="B10" s="41"/>
      <c r="C10" s="8"/>
      <c r="D10" s="13" t="s">
        <v>38</v>
      </c>
      <c r="E10" s="43" t="s">
        <v>41</v>
      </c>
      <c r="F10" s="14">
        <f>IF(E10="Yes",(DataSheet!E10+(DataSheet!E11*'Manuf - BOM'!$M$4))/60,0)</f>
        <v>2</v>
      </c>
      <c r="G10" s="16"/>
      <c r="H10" s="4"/>
      <c r="K10" s="7"/>
      <c r="M10" s="4"/>
    </row>
    <row r="11" spans="2:13" x14ac:dyDescent="0.2">
      <c r="B11" s="42"/>
      <c r="C11" s="162"/>
      <c r="D11" s="21" t="s">
        <v>45</v>
      </c>
      <c r="E11" s="44" t="s">
        <v>41</v>
      </c>
      <c r="F11" s="22">
        <f>IF(E11="Yes",(DataSheet!$E$7+(DataSheet!$E$8*'Manuf - BOM'!$N$17*'Manuf - BOM'!$M$4))/60,0)</f>
        <v>1.7</v>
      </c>
      <c r="G11" s="23"/>
      <c r="H11" s="4"/>
      <c r="K11" s="7"/>
      <c r="M11" s="4"/>
    </row>
    <row r="12" spans="2:13" x14ac:dyDescent="0.2">
      <c r="B12" s="39">
        <f>'Manuf - BOM'!P36+SUM(F13:F15)+E14</f>
        <v>0</v>
      </c>
      <c r="C12" s="160">
        <f>'Manuf - BOM'!P36+SUM(F13:F15)</f>
        <v>0</v>
      </c>
      <c r="D12" s="8" t="s">
        <v>8</v>
      </c>
      <c r="E12" s="9"/>
      <c r="F12" s="12"/>
      <c r="G12" s="174"/>
      <c r="L12" s="5"/>
      <c r="M12" s="4"/>
    </row>
    <row r="13" spans="2:13" x14ac:dyDescent="0.2">
      <c r="B13" s="41"/>
      <c r="C13" s="8"/>
      <c r="D13" s="13" t="s">
        <v>49</v>
      </c>
      <c r="E13" s="43" t="s">
        <v>42</v>
      </c>
      <c r="F13" s="14">
        <f>IF(E13="Yes",(DataSheet!E14+(DataSheet!E15*'Manuf - BOM'!$N$17*'Manuf - BOM'!$M$4))/60,0)</f>
        <v>0</v>
      </c>
      <c r="G13" s="16"/>
      <c r="K13" s="7"/>
      <c r="M13" s="4"/>
    </row>
    <row r="14" spans="2:13" x14ac:dyDescent="0.2">
      <c r="B14" s="41"/>
      <c r="C14" s="8"/>
      <c r="D14" s="13" t="s">
        <v>6599</v>
      </c>
      <c r="E14" s="43"/>
      <c r="F14" s="14"/>
      <c r="G14" s="16"/>
      <c r="K14" s="7"/>
      <c r="M14" s="4"/>
    </row>
    <row r="15" spans="2:13" x14ac:dyDescent="0.2">
      <c r="B15" s="41"/>
      <c r="C15" s="8"/>
      <c r="D15" s="13" t="s">
        <v>45</v>
      </c>
      <c r="E15" s="43" t="s">
        <v>42</v>
      </c>
      <c r="F15" s="14">
        <f>IF(E15="Yes",(DataSheet!$E$7+(DataSheet!$E$8*'Manuf - BOM'!$N$17*'Manuf - BOM'!$M$4))/60,0)</f>
        <v>0</v>
      </c>
      <c r="G15" s="16"/>
      <c r="K15" s="7"/>
    </row>
    <row r="16" spans="2:13" x14ac:dyDescent="0.2">
      <c r="B16" s="40">
        <f>'Manuf - BOM'!P37+SUM(F17:F18)</f>
        <v>3.3</v>
      </c>
      <c r="C16" s="161">
        <f>B16</f>
        <v>3.3</v>
      </c>
      <c r="D16" s="17" t="s">
        <v>6</v>
      </c>
      <c r="E16" s="18" t="str">
        <f>'Manuf - BOM'!E42 &amp; "L IBC"</f>
        <v>1800L IBC</v>
      </c>
      <c r="F16" s="19"/>
      <c r="G16" s="24"/>
      <c r="K16" s="7"/>
    </row>
    <row r="17" spans="2:12" x14ac:dyDescent="0.2">
      <c r="B17" s="41"/>
      <c r="C17" s="8"/>
      <c r="D17" s="13" t="s">
        <v>37</v>
      </c>
      <c r="E17" s="43" t="s">
        <v>41</v>
      </c>
      <c r="F17" s="14">
        <f>IF(E17="Yes",(DataSheet!$E$12+(DataSheet!$E$13*('Manuf - BOM'!K17-('Manuf - BOM'!$N$17*'Manuf - BOM'!$M$4))))/60,0)</f>
        <v>0.6</v>
      </c>
      <c r="G17" s="16"/>
      <c r="K17" s="7"/>
    </row>
    <row r="18" spans="2:12" x14ac:dyDescent="0.2">
      <c r="B18" s="42"/>
      <c r="C18" s="162"/>
      <c r="D18" s="21" t="s">
        <v>6</v>
      </c>
      <c r="E18" s="44" t="s">
        <v>41</v>
      </c>
      <c r="F18" s="22">
        <f>IF(E18= "yes",(DataSheet!E16+(COUNTA('Manuf - BOM'!C5:C15)-COUNTA('Manuf - BOM'!M5:M15))*DataSheet!E17+('Manuf - BOM'!K17-('Manuf - BOM'!N17*'Manuf - BOM'!M4))*DataSheet!E18)/60,0)</f>
        <v>2.7</v>
      </c>
      <c r="G18" s="23"/>
      <c r="K18" s="7"/>
    </row>
    <row r="19" spans="2:12" x14ac:dyDescent="0.2">
      <c r="B19" s="39">
        <f>IF('Manuf - BOM'!I28=0,0,'Manuf - BOM'!P38+(DataSheet!E19+('Manuf - BOM'!I28/F19*60))/60)</f>
        <v>5.2</v>
      </c>
      <c r="C19" s="160">
        <f>IF(B19=0, 0, (B19-7)*2/3+7)</f>
        <v>5.8</v>
      </c>
      <c r="D19" s="8" t="s">
        <v>7</v>
      </c>
      <c r="E19" s="43" t="s">
        <v>60</v>
      </c>
      <c r="F19" s="47">
        <f>VLOOKUP(E19,D1002:E1008,2,FALSE)</f>
        <v>90000</v>
      </c>
      <c r="G19" s="16"/>
      <c r="K19" s="7"/>
      <c r="L19" s="5"/>
    </row>
    <row r="20" spans="2:12" ht="12" thickBot="1" x14ac:dyDescent="0.25">
      <c r="B20" s="40">
        <f>IF('Manuf - BOM'!K25=0,0,'Manuf - BOM'!P39+(SUM('Manuf - BOM'!K20:K23)*1000/'Manuf - BOM'!H33+DataSheet!E21*'Manuf - BOM'!M19+DataSheet!E20)/60)</f>
        <v>4.3</v>
      </c>
      <c r="C20" s="161">
        <f>B20</f>
        <v>4.3</v>
      </c>
      <c r="D20" s="17" t="s">
        <v>9</v>
      </c>
      <c r="E20" s="18" t="str">
        <f>IF('Manuf - BOM'!M19&gt;0,'Manuf - BOM'!M19 &amp; " pans in " &amp;'Manuf - BOM'!I33 &amp; ", " &amp; G20 &amp; "% gain","")</f>
        <v>1 pans in 60", 3.28% gain</v>
      </c>
      <c r="F20" s="33"/>
      <c r="G20" s="34">
        <f>'Manuf - BOM'!I25/'Manuf - BOM'!I17*100</f>
        <v>3.28</v>
      </c>
    </row>
    <row r="21" spans="2:12" ht="5.25" customHeight="1" x14ac:dyDescent="0.2">
      <c r="B21" s="35"/>
      <c r="C21" s="163"/>
      <c r="D21" s="36"/>
      <c r="E21" s="36"/>
      <c r="F21" s="36"/>
      <c r="G21" s="37"/>
    </row>
    <row r="22" spans="2:12" x14ac:dyDescent="0.2">
      <c r="B22" s="45">
        <f>SUM(B4:B20)</f>
        <v>20.100000000000001</v>
      </c>
      <c r="C22" s="164">
        <f>SUM(C4:C20)</f>
        <v>26</v>
      </c>
      <c r="D22" s="46" t="s">
        <v>88</v>
      </c>
      <c r="E22" s="26"/>
      <c r="F22" s="26"/>
      <c r="G22" s="27"/>
    </row>
    <row r="23" spans="2:12" ht="6.75" customHeight="1" x14ac:dyDescent="0.2">
      <c r="B23" s="25"/>
      <c r="C23" s="28"/>
      <c r="D23" s="28"/>
      <c r="E23" s="29"/>
      <c r="F23" s="29"/>
      <c r="G23" s="27"/>
    </row>
    <row r="24" spans="2:12" x14ac:dyDescent="0.2">
      <c r="B24" s="639" t="str">
        <f>B25 &amp; " batches PA @ " &amp;'Manuf - BOM'!K17+'Manuf - BOM'!K25 &amp; "kg / " &amp; 'Manuf - BOM'!I28 &amp; " doses per batch"</f>
        <v>4.4 batches PA @ 107.082kg / 324000 doses per batch</v>
      </c>
      <c r="C24" s="640"/>
      <c r="D24" s="640"/>
      <c r="E24" s="640"/>
      <c r="F24" s="640"/>
      <c r="G24" s="641"/>
    </row>
    <row r="25" spans="2:12" ht="5.25" customHeight="1" thickBot="1" x14ac:dyDescent="0.25">
      <c r="B25" s="38">
        <f>IF('Manuf - BOM'!I28=0,0,Packaging!R5/'Manuf - BOM'!I28)</f>
        <v>4.4000000000000004</v>
      </c>
      <c r="C25" s="165"/>
      <c r="D25" s="30"/>
      <c r="E25" s="30"/>
      <c r="F25" s="31"/>
      <c r="G25" s="32"/>
    </row>
    <row r="27" spans="2:12" ht="12" thickBot="1" x14ac:dyDescent="0.25"/>
    <row r="28" spans="2:12" ht="21" thickBot="1" x14ac:dyDescent="0.35">
      <c r="B28" s="636" t="s">
        <v>6600</v>
      </c>
      <c r="C28" s="637"/>
      <c r="D28" s="637"/>
      <c r="E28" s="637"/>
      <c r="F28" s="637"/>
      <c r="G28" s="638"/>
    </row>
    <row r="29" spans="2:12" x14ac:dyDescent="0.2">
      <c r="B29" s="166" t="s">
        <v>496</v>
      </c>
      <c r="C29" s="167" t="s">
        <v>497</v>
      </c>
      <c r="D29" s="167" t="s">
        <v>498</v>
      </c>
      <c r="E29" s="167"/>
      <c r="F29" s="167"/>
      <c r="G29" s="168"/>
    </row>
    <row r="30" spans="2:12" ht="12" thickBot="1" x14ac:dyDescent="0.25">
      <c r="B30" s="372" t="s">
        <v>499</v>
      </c>
      <c r="C30" s="377">
        <v>23</v>
      </c>
      <c r="D30" s="373" t="s">
        <v>6601</v>
      </c>
      <c r="E30" s="374"/>
      <c r="F30" s="375"/>
      <c r="G30" s="376"/>
    </row>
    <row r="1001" spans="1:5" x14ac:dyDescent="0.2">
      <c r="A1001" s="5" t="s">
        <v>41</v>
      </c>
      <c r="B1001" s="3">
        <v>1</v>
      </c>
      <c r="D1001" s="4" t="s">
        <v>54</v>
      </c>
      <c r="E1001" s="4" t="s">
        <v>55</v>
      </c>
    </row>
    <row r="1002" spans="1:5" x14ac:dyDescent="0.2">
      <c r="A1002" s="5" t="s">
        <v>42</v>
      </c>
      <c r="B1002" s="3">
        <v>2</v>
      </c>
      <c r="D1002" s="4" t="s">
        <v>57</v>
      </c>
      <c r="E1002" s="4">
        <v>25000</v>
      </c>
    </row>
    <row r="1003" spans="1:5" x14ac:dyDescent="0.2">
      <c r="B1003" s="3">
        <v>3</v>
      </c>
      <c r="D1003" s="4" t="s">
        <v>56</v>
      </c>
      <c r="E1003" s="4">
        <v>25000</v>
      </c>
    </row>
    <row r="1004" spans="1:5" x14ac:dyDescent="0.2">
      <c r="B1004" s="3">
        <v>4</v>
      </c>
      <c r="D1004" s="4" t="s">
        <v>58</v>
      </c>
      <c r="E1004" s="4">
        <v>30000</v>
      </c>
    </row>
    <row r="1005" spans="1:5" x14ac:dyDescent="0.2">
      <c r="B1005" s="3">
        <v>5</v>
      </c>
      <c r="D1005" s="4" t="s">
        <v>59</v>
      </c>
      <c r="E1005" s="4">
        <v>40000</v>
      </c>
    </row>
    <row r="1006" spans="1:5" x14ac:dyDescent="0.2">
      <c r="B1006" s="3">
        <v>6</v>
      </c>
      <c r="D1006" s="4" t="s">
        <v>60</v>
      </c>
      <c r="E1006" s="4">
        <v>90000</v>
      </c>
    </row>
    <row r="1007" spans="1:5" x14ac:dyDescent="0.2">
      <c r="B1007" s="3">
        <v>7</v>
      </c>
      <c r="D1007" s="4" t="s">
        <v>484</v>
      </c>
      <c r="E1007" s="4">
        <v>1200</v>
      </c>
    </row>
    <row r="1008" spans="1:5" x14ac:dyDescent="0.2">
      <c r="B1008" s="3">
        <v>8</v>
      </c>
      <c r="D1008" s="4" t="s">
        <v>6645</v>
      </c>
      <c r="E1008" s="4">
        <v>70000</v>
      </c>
    </row>
    <row r="1009" spans="2:2" x14ac:dyDescent="0.2">
      <c r="B1009" s="3">
        <v>9</v>
      </c>
    </row>
    <row r="1010" spans="2:2" x14ac:dyDescent="0.2">
      <c r="B1010" s="3">
        <v>10</v>
      </c>
    </row>
  </sheetData>
  <sheetProtection selectLockedCells="1"/>
  <mergeCells count="3">
    <mergeCell ref="B2:G2"/>
    <mergeCell ref="B24:G24"/>
    <mergeCell ref="B28:G28"/>
  </mergeCells>
  <phoneticPr fontId="2" type="noConversion"/>
  <conditionalFormatting sqref="D4:D5 D12 D16 D19:D20">
    <cfRule type="expression" dxfId="23" priority="7" stopIfTrue="1">
      <formula>B4&lt;0.01</formula>
    </cfRule>
  </conditionalFormatting>
  <conditionalFormatting sqref="D6 D13:D15 D17:D18 D9:D11">
    <cfRule type="expression" dxfId="22" priority="8" stopIfTrue="1">
      <formula>E6="No"</formula>
    </cfRule>
  </conditionalFormatting>
  <conditionalFormatting sqref="B4:C5 B12:C12 B16:C16 B19:C20 B22:C22">
    <cfRule type="cellIs" dxfId="21" priority="9" stopIfTrue="1" operator="lessThanOrEqual">
      <formula>0.01</formula>
    </cfRule>
  </conditionalFormatting>
  <conditionalFormatting sqref="D8">
    <cfRule type="expression" dxfId="20" priority="5" stopIfTrue="1">
      <formula>B8&lt;0.01</formula>
    </cfRule>
  </conditionalFormatting>
  <conditionalFormatting sqref="B8:C8">
    <cfRule type="cellIs" dxfId="19" priority="6" stopIfTrue="1" operator="lessThanOrEqual">
      <formula>0.01</formula>
    </cfRule>
  </conditionalFormatting>
  <conditionalFormatting sqref="D7">
    <cfRule type="expression" dxfId="18" priority="4" stopIfTrue="1">
      <formula>E7="No"</formula>
    </cfRule>
  </conditionalFormatting>
  <conditionalFormatting sqref="D30">
    <cfRule type="expression" dxfId="17" priority="2" stopIfTrue="1">
      <formula>B30&lt;0.01</formula>
    </cfRule>
  </conditionalFormatting>
  <conditionalFormatting sqref="B30:C30">
    <cfRule type="cellIs" dxfId="16" priority="3" stopIfTrue="1" operator="lessThanOrEqual">
      <formula>0.01</formula>
    </cfRule>
  </conditionalFormatting>
  <conditionalFormatting sqref="D14">
    <cfRule type="expression" dxfId="15" priority="1" stopIfTrue="1">
      <formula>E14=""</formula>
    </cfRule>
  </conditionalFormatting>
  <dataValidations count="3">
    <dataValidation type="list" showInputMessage="1" showErrorMessage="1" sqref="E17:E18 E9:E11 E6:E7 E13 E15">
      <formula1>$A$1001:$A$1002</formula1>
    </dataValidation>
    <dataValidation type="list" allowBlank="1" showInputMessage="1" showErrorMessage="1" sqref="E19">
      <formula1>$D$1002:$D$1008</formula1>
    </dataValidation>
    <dataValidation type="list" showInputMessage="1" showErrorMessage="1" sqref="E14">
      <formula1>$B$1001:$B$1010</formula1>
    </dataValidation>
  </dataValidations>
  <pageMargins left="0.75" right="0.75" top="1" bottom="1" header="0.5" footer="0.5"/>
  <pageSetup paperSize="9" orientation="portrait"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F47"/>
  <sheetViews>
    <sheetView showGridLines="0" zoomScaleNormal="100" workbookViewId="0">
      <selection activeCell="B13" sqref="B13"/>
    </sheetView>
  </sheetViews>
  <sheetFormatPr defaultRowHeight="11.25" x14ac:dyDescent="0.2"/>
  <cols>
    <col min="1" max="1" width="3.28515625" style="50" customWidth="1"/>
    <col min="2" max="2" width="18.85546875" style="50" customWidth="1"/>
    <col min="3" max="3" width="7.5703125" style="50" customWidth="1"/>
    <col min="4" max="4" width="9.140625" style="50"/>
    <col min="5" max="5" width="4.42578125" style="50" customWidth="1"/>
    <col min="6" max="6" width="4" style="50" customWidth="1"/>
    <col min="7" max="7" width="3.7109375" style="50" customWidth="1"/>
    <col min="8" max="8" width="4.5703125" style="50" customWidth="1"/>
    <col min="9" max="9" width="8.140625" style="50" customWidth="1"/>
    <col min="10" max="10" width="6.85546875" style="51" hidden="1" customWidth="1"/>
    <col min="11" max="11" width="9.5703125" style="50" customWidth="1"/>
    <col min="12" max="12" width="5.28515625" style="51" hidden="1" customWidth="1"/>
    <col min="13" max="13" width="5.85546875" style="52" customWidth="1"/>
    <col min="14" max="14" width="9.42578125" style="50" customWidth="1"/>
    <col min="15" max="15" width="3.7109375" style="50" hidden="1" customWidth="1"/>
    <col min="16" max="16" width="5.140625" style="50" customWidth="1"/>
    <col min="17" max="17" width="3.42578125" style="50" hidden="1" customWidth="1"/>
    <col min="18" max="18" width="38.85546875" style="50" customWidth="1"/>
    <col min="19" max="16384" width="9.140625" style="50"/>
  </cols>
  <sheetData>
    <row r="1" spans="2:188" ht="12" thickBot="1" x14ac:dyDescent="0.25">
      <c r="FT1" s="52">
        <v>5</v>
      </c>
      <c r="FU1" s="52"/>
      <c r="FV1" s="52"/>
      <c r="FW1" s="159" t="s">
        <v>478</v>
      </c>
      <c r="FX1" s="159" t="s">
        <v>479</v>
      </c>
      <c r="FY1" s="159" t="s">
        <v>480</v>
      </c>
      <c r="FZ1" s="159" t="s">
        <v>481</v>
      </c>
      <c r="GA1" s="52" t="s">
        <v>495</v>
      </c>
      <c r="GB1" s="52" t="s">
        <v>12</v>
      </c>
      <c r="GC1" s="52"/>
      <c r="GD1" s="52"/>
      <c r="GE1" s="159" t="s">
        <v>476</v>
      </c>
      <c r="GF1" s="159" t="s">
        <v>477</v>
      </c>
    </row>
    <row r="2" spans="2:188" ht="10.5" customHeight="1" x14ac:dyDescent="0.2">
      <c r="B2" s="651" t="s">
        <v>0</v>
      </c>
      <c r="C2" s="647" t="s">
        <v>1</v>
      </c>
      <c r="D2" s="647" t="s">
        <v>10</v>
      </c>
      <c r="E2" s="655" t="s">
        <v>21</v>
      </c>
      <c r="F2" s="655"/>
      <c r="G2" s="655"/>
      <c r="H2" s="655"/>
      <c r="I2" s="53" t="s">
        <v>102</v>
      </c>
      <c r="J2" s="54"/>
      <c r="K2" s="647" t="s">
        <v>23</v>
      </c>
      <c r="L2" s="54"/>
      <c r="M2" s="647" t="s">
        <v>2</v>
      </c>
      <c r="N2" s="647" t="s">
        <v>28</v>
      </c>
      <c r="O2" s="55"/>
      <c r="P2" s="649" t="s">
        <v>99</v>
      </c>
      <c r="Q2" s="56"/>
      <c r="R2" s="645" t="s">
        <v>104</v>
      </c>
      <c r="FT2" s="52">
        <v>30</v>
      </c>
      <c r="FU2" s="52"/>
      <c r="FV2" s="52"/>
      <c r="FW2" s="52" t="s">
        <v>61</v>
      </c>
      <c r="FX2" s="52">
        <v>10</v>
      </c>
      <c r="FY2" s="52">
        <v>0.9</v>
      </c>
      <c r="FZ2" s="52">
        <v>1.1000000000000001</v>
      </c>
      <c r="GA2" s="52">
        <v>15</v>
      </c>
      <c r="GB2" s="52" t="s">
        <v>112</v>
      </c>
      <c r="GC2" s="52"/>
      <c r="GD2" s="52"/>
      <c r="GE2" s="52">
        <v>25</v>
      </c>
      <c r="GF2" s="52">
        <v>0</v>
      </c>
    </row>
    <row r="3" spans="2:188" ht="23.25" customHeight="1" thickBot="1" x14ac:dyDescent="0.25">
      <c r="B3" s="652"/>
      <c r="C3" s="648"/>
      <c r="D3" s="648"/>
      <c r="E3" s="58" t="s">
        <v>96</v>
      </c>
      <c r="F3" s="58" t="s">
        <v>97</v>
      </c>
      <c r="G3" s="58" t="s">
        <v>11</v>
      </c>
      <c r="H3" s="58" t="s">
        <v>98</v>
      </c>
      <c r="I3" s="57" t="s">
        <v>22</v>
      </c>
      <c r="J3" s="58" t="s">
        <v>24</v>
      </c>
      <c r="K3" s="648"/>
      <c r="L3" s="58" t="s">
        <v>27</v>
      </c>
      <c r="M3" s="648"/>
      <c r="N3" s="648"/>
      <c r="O3" s="58" t="s">
        <v>27</v>
      </c>
      <c r="P3" s="650"/>
      <c r="Q3" s="59"/>
      <c r="R3" s="646"/>
      <c r="FT3" s="52">
        <v>50</v>
      </c>
      <c r="FU3" s="52"/>
      <c r="FV3" s="52"/>
      <c r="FW3" s="52" t="s">
        <v>62</v>
      </c>
      <c r="FX3" s="52">
        <v>100</v>
      </c>
      <c r="FY3" s="52">
        <v>0.9</v>
      </c>
      <c r="FZ3" s="52">
        <v>1.1000000000000001</v>
      </c>
      <c r="GA3" s="52">
        <v>150</v>
      </c>
      <c r="GB3" s="52"/>
      <c r="GC3" s="52"/>
      <c r="GD3" s="52"/>
      <c r="GE3" s="52">
        <v>250</v>
      </c>
      <c r="GF3" s="52">
        <v>180</v>
      </c>
    </row>
    <row r="4" spans="2:188" ht="12" thickBot="1" x14ac:dyDescent="0.25">
      <c r="B4" s="60" t="s">
        <v>13</v>
      </c>
      <c r="C4" s="61"/>
      <c r="D4" s="62"/>
      <c r="E4" s="63"/>
      <c r="F4" s="63"/>
      <c r="G4" s="63"/>
      <c r="H4" s="63"/>
      <c r="I4" s="62"/>
      <c r="J4" s="63"/>
      <c r="K4" s="61"/>
      <c r="L4" s="63"/>
      <c r="M4" s="150">
        <f>IF(E33=250, ROUNDUP(SUM(K5:K9)/79,0), ROUNDUP(SUM(K5:K9)/120,0))</f>
        <v>2</v>
      </c>
      <c r="N4" s="62"/>
      <c r="O4" s="63"/>
      <c r="P4" s="64"/>
      <c r="Q4" s="65"/>
      <c r="R4" s="66"/>
      <c r="FT4" s="52">
        <v>100</v>
      </c>
      <c r="FU4" s="52"/>
      <c r="FV4" s="52"/>
      <c r="FW4" s="52" t="s">
        <v>63</v>
      </c>
      <c r="FX4" s="52">
        <v>300</v>
      </c>
      <c r="FY4" s="52">
        <v>0.9</v>
      </c>
      <c r="FZ4" s="52">
        <v>1.1000000000000001</v>
      </c>
      <c r="GA4" s="52">
        <v>300</v>
      </c>
      <c r="GB4" s="52"/>
      <c r="GC4" s="52"/>
      <c r="GD4" s="52"/>
      <c r="GE4" s="52">
        <v>400</v>
      </c>
      <c r="GF4" s="52">
        <v>180</v>
      </c>
    </row>
    <row r="5" spans="2:188" ht="12" thickTop="1" x14ac:dyDescent="0.2">
      <c r="B5" s="139" t="str">
        <f>VLOOKUP(C5,DataSheet!$A$2:$B$778,2,FALSE)</f>
        <v>IBUPROFEN BP 40UM (IAT)(HERRON</v>
      </c>
      <c r="C5" s="371" t="s">
        <v>212</v>
      </c>
      <c r="D5" s="138">
        <v>200</v>
      </c>
      <c r="E5" s="144">
        <v>100</v>
      </c>
      <c r="F5" s="144">
        <v>0</v>
      </c>
      <c r="G5" s="144">
        <v>0</v>
      </c>
      <c r="H5" s="145"/>
      <c r="I5" s="67">
        <f>D5/(E5/100)*(100+F5)/100*(100+G5)/100</f>
        <v>200</v>
      </c>
      <c r="J5" s="68">
        <f>IF(H5="Y",I5,I5-(I5/((100+G5)/100)))</f>
        <v>0</v>
      </c>
      <c r="K5" s="69">
        <f t="shared" ref="K5:K15" si="0">I5*$I$28/1000000</f>
        <v>64.8</v>
      </c>
      <c r="L5" s="68">
        <f t="shared" ref="L5:L15" si="1">$I$28*J5/1000000</f>
        <v>0</v>
      </c>
      <c r="M5" s="148">
        <f>M4</f>
        <v>2</v>
      </c>
      <c r="N5" s="70">
        <f>IF(M5&gt;0,K5/M5,"")</f>
        <v>32.4</v>
      </c>
      <c r="O5" s="71">
        <f>IF(M5&gt;0,L5/M5,0)</f>
        <v>0</v>
      </c>
      <c r="P5" s="145"/>
      <c r="Q5" s="151" t="str">
        <f>IF(M5&gt;0,IF(P5="Y",M5-1,""),"")</f>
        <v/>
      </c>
      <c r="R5" s="152"/>
      <c r="FT5" s="52">
        <v>220</v>
      </c>
      <c r="FU5" s="52"/>
      <c r="FV5" s="52"/>
      <c r="FW5" s="52"/>
      <c r="FX5" s="52"/>
      <c r="FY5" s="52"/>
      <c r="FZ5" s="52"/>
      <c r="GA5" s="52"/>
      <c r="GB5" s="52"/>
      <c r="GC5" s="52"/>
      <c r="GD5" s="52"/>
      <c r="GE5" s="52"/>
      <c r="GF5" s="52"/>
    </row>
    <row r="6" spans="2:188" x14ac:dyDescent="0.2">
      <c r="B6" s="139" t="str">
        <f>VLOOKUP(C6,DataSheet!$A$2:$B$778,2,FALSE)</f>
        <v xml:space="preserve">LACTOSE (100 MESH)            </v>
      </c>
      <c r="C6" s="140" t="s">
        <v>3</v>
      </c>
      <c r="D6" s="141">
        <v>40</v>
      </c>
      <c r="E6" s="146">
        <v>100</v>
      </c>
      <c r="F6" s="146">
        <v>0</v>
      </c>
      <c r="G6" s="146">
        <v>0</v>
      </c>
      <c r="H6" s="147"/>
      <c r="I6" s="73">
        <f t="shared" ref="I6:I15" si="2">D6/(E6/100)*(100+F6)/100*(100+G6)/100</f>
        <v>40</v>
      </c>
      <c r="J6" s="68">
        <f t="shared" ref="J6:J15" si="3">IF(H6="Y",I6,I6-(I6/((100+G6)/100)))</f>
        <v>0</v>
      </c>
      <c r="K6" s="74">
        <f t="shared" si="0"/>
        <v>12.96</v>
      </c>
      <c r="L6" s="68">
        <f t="shared" si="1"/>
        <v>0</v>
      </c>
      <c r="M6" s="149">
        <f>M4</f>
        <v>2</v>
      </c>
      <c r="N6" s="75">
        <f t="shared" ref="N6:N15" si="4">IF(M6&gt;0,K6/M6,"")</f>
        <v>6.48</v>
      </c>
      <c r="O6" s="76">
        <f t="shared" ref="O6:O15" si="5">IF(M6&gt;0,L6/M6,0)</f>
        <v>0</v>
      </c>
      <c r="P6" s="147"/>
      <c r="Q6" s="151" t="str">
        <f t="shared" ref="Q6:Q15" si="6">IF(M6&gt;0,IF(P6="Y",M6-1,""),"")</f>
        <v/>
      </c>
      <c r="R6" s="153"/>
      <c r="FT6" s="52">
        <v>750</v>
      </c>
      <c r="FU6" s="52"/>
      <c r="FV6" s="52"/>
      <c r="FW6" s="52"/>
      <c r="FX6" s="52"/>
      <c r="FY6" s="52"/>
      <c r="FZ6" s="52"/>
      <c r="GA6" s="52"/>
      <c r="GB6" s="52"/>
      <c r="GC6" s="52"/>
      <c r="GD6" s="52"/>
      <c r="GE6" s="52"/>
      <c r="GF6" s="52"/>
    </row>
    <row r="7" spans="2:188" x14ac:dyDescent="0.2">
      <c r="B7" s="139" t="str">
        <f>VLOOKUP(C7,DataSheet!$A$2:$B$778,2,FALSE)</f>
        <v xml:space="preserve">POVIDONE (K29-32)             </v>
      </c>
      <c r="C7" s="140" t="s">
        <v>275</v>
      </c>
      <c r="D7" s="141">
        <v>6.5</v>
      </c>
      <c r="E7" s="146">
        <v>100</v>
      </c>
      <c r="F7" s="146">
        <v>0</v>
      </c>
      <c r="G7" s="146">
        <v>0</v>
      </c>
      <c r="H7" s="147"/>
      <c r="I7" s="73">
        <f t="shared" si="2"/>
        <v>6.5</v>
      </c>
      <c r="J7" s="68">
        <f t="shared" si="3"/>
        <v>0</v>
      </c>
      <c r="K7" s="74">
        <f t="shared" si="0"/>
        <v>2.1059999999999999</v>
      </c>
      <c r="L7" s="68">
        <f t="shared" si="1"/>
        <v>0</v>
      </c>
      <c r="M7" s="149">
        <f>M4</f>
        <v>2</v>
      </c>
      <c r="N7" s="75">
        <f t="shared" si="4"/>
        <v>1.0529999999999999</v>
      </c>
      <c r="O7" s="76">
        <f t="shared" si="5"/>
        <v>0</v>
      </c>
      <c r="P7" s="147"/>
      <c r="Q7" s="151" t="str">
        <f t="shared" si="6"/>
        <v/>
      </c>
      <c r="R7" s="153"/>
      <c r="FT7" s="52">
        <v>1500</v>
      </c>
      <c r="FU7" s="52"/>
      <c r="FV7" s="52"/>
      <c r="FW7" s="52"/>
      <c r="FX7" s="52"/>
      <c r="FY7" s="52"/>
      <c r="FZ7" s="52"/>
      <c r="GA7" s="52"/>
      <c r="GB7" s="52"/>
      <c r="GC7" s="52"/>
      <c r="GD7" s="52"/>
      <c r="GE7" s="52"/>
      <c r="GF7" s="52"/>
    </row>
    <row r="8" spans="2:188" x14ac:dyDescent="0.2">
      <c r="B8" s="139" t="str">
        <f>VLOOKUP(C8,DataSheet!$A$2:$B$778,2,FALSE)</f>
        <v xml:space="preserve">STARCH MAIZE                  </v>
      </c>
      <c r="C8" s="140" t="s">
        <v>310</v>
      </c>
      <c r="D8" s="141">
        <v>10</v>
      </c>
      <c r="E8" s="146">
        <v>100</v>
      </c>
      <c r="F8" s="146">
        <v>0</v>
      </c>
      <c r="G8" s="146">
        <v>0</v>
      </c>
      <c r="H8" s="147"/>
      <c r="I8" s="73">
        <f t="shared" si="2"/>
        <v>10</v>
      </c>
      <c r="J8" s="68">
        <f t="shared" si="3"/>
        <v>0</v>
      </c>
      <c r="K8" s="74">
        <f t="shared" si="0"/>
        <v>3.24</v>
      </c>
      <c r="L8" s="68">
        <f t="shared" si="1"/>
        <v>0</v>
      </c>
      <c r="M8" s="149">
        <f>M4</f>
        <v>2</v>
      </c>
      <c r="N8" s="75">
        <f t="shared" si="4"/>
        <v>1.62</v>
      </c>
      <c r="O8" s="76">
        <f t="shared" si="5"/>
        <v>0</v>
      </c>
      <c r="P8" s="147"/>
      <c r="Q8" s="151" t="str">
        <f t="shared" si="6"/>
        <v/>
      </c>
      <c r="R8" s="153"/>
      <c r="FT8" s="52">
        <v>1800</v>
      </c>
    </row>
    <row r="9" spans="2:188" x14ac:dyDescent="0.2">
      <c r="B9" s="139" t="str">
        <f>VLOOKUP(C9,DataSheet!$A$2:$B$778,2,FALSE)</f>
        <v xml:space="preserve">ETHANOL (DENATURED)           </v>
      </c>
      <c r="C9" s="140" t="s">
        <v>177</v>
      </c>
      <c r="D9" s="141">
        <v>11.01</v>
      </c>
      <c r="E9" s="146">
        <v>100</v>
      </c>
      <c r="F9" s="146">
        <v>0</v>
      </c>
      <c r="G9" s="146">
        <v>0</v>
      </c>
      <c r="H9" s="147" t="s">
        <v>12</v>
      </c>
      <c r="I9" s="73">
        <f t="shared" si="2"/>
        <v>11.01</v>
      </c>
      <c r="J9" s="68">
        <f t="shared" si="3"/>
        <v>11.01</v>
      </c>
      <c r="K9" s="74">
        <f t="shared" si="0"/>
        <v>3.5670000000000002</v>
      </c>
      <c r="L9" s="68">
        <f t="shared" si="1"/>
        <v>3.5670000000000002</v>
      </c>
      <c r="M9" s="149">
        <f>M4</f>
        <v>2</v>
      </c>
      <c r="N9" s="75">
        <f t="shared" si="4"/>
        <v>1.784</v>
      </c>
      <c r="O9" s="76">
        <f t="shared" si="5"/>
        <v>1.784</v>
      </c>
      <c r="P9" s="147"/>
      <c r="Q9" s="151" t="str">
        <f t="shared" si="6"/>
        <v/>
      </c>
      <c r="R9" s="153"/>
      <c r="FT9" s="52"/>
    </row>
    <row r="10" spans="2:188" x14ac:dyDescent="0.2">
      <c r="B10" s="139" t="str">
        <f>VLOOKUP(C10,DataSheet!$A$2:$B$778,2,FALSE)</f>
        <v xml:space="preserve">SILICON DIOXIDE (AEROSIL)     </v>
      </c>
      <c r="C10" s="140" t="s">
        <v>297</v>
      </c>
      <c r="D10" s="141">
        <v>1</v>
      </c>
      <c r="E10" s="146">
        <v>100</v>
      </c>
      <c r="F10" s="146">
        <v>0</v>
      </c>
      <c r="G10" s="146">
        <v>0</v>
      </c>
      <c r="H10" s="147"/>
      <c r="I10" s="73">
        <f>D10/(E10/100)*(100+F10)/100*(100+G10)/100</f>
        <v>1</v>
      </c>
      <c r="J10" s="68">
        <f>IF(H10="Y",I10,I10-(I10/((100+G10)/100)))</f>
        <v>0</v>
      </c>
      <c r="K10" s="74">
        <f t="shared" si="0"/>
        <v>0.32400000000000001</v>
      </c>
      <c r="L10" s="68">
        <f t="shared" si="1"/>
        <v>0</v>
      </c>
      <c r="M10" s="149"/>
      <c r="N10" s="75" t="str">
        <f>IF(M10&gt;0,K10/M10,"")</f>
        <v/>
      </c>
      <c r="O10" s="76">
        <f>IF(M10&gt;0,L10/M10,0)</f>
        <v>0</v>
      </c>
      <c r="P10" s="147"/>
      <c r="Q10" s="151" t="str">
        <f t="shared" si="6"/>
        <v/>
      </c>
      <c r="R10" s="153"/>
      <c r="FT10" s="52"/>
    </row>
    <row r="11" spans="2:188" x14ac:dyDescent="0.2">
      <c r="B11" s="139" t="str">
        <f>VLOOKUP(C11,DataSheet!$A$2:$B$778,2,FALSE)</f>
        <v>CELLULOSE MICROCRYST'INE PH102</v>
      </c>
      <c r="C11" s="140" t="s">
        <v>16</v>
      </c>
      <c r="D11" s="141">
        <v>44</v>
      </c>
      <c r="E11" s="146">
        <v>100</v>
      </c>
      <c r="F11" s="146">
        <v>0</v>
      </c>
      <c r="G11" s="146">
        <v>0</v>
      </c>
      <c r="H11" s="147"/>
      <c r="I11" s="73">
        <f>D11/(E11/100)*(100+F11)/100*(100+G11)/100</f>
        <v>44</v>
      </c>
      <c r="J11" s="68">
        <f>IF(H11="Y",I11,I11-(I11/((100+G11)/100)))</f>
        <v>0</v>
      </c>
      <c r="K11" s="74">
        <f t="shared" si="0"/>
        <v>14.256</v>
      </c>
      <c r="L11" s="68">
        <f t="shared" si="1"/>
        <v>0</v>
      </c>
      <c r="M11" s="149"/>
      <c r="N11" s="75" t="str">
        <f>IF(M11&gt;0,K11/M11,"")</f>
        <v/>
      </c>
      <c r="O11" s="76">
        <f>IF(M11&gt;0,L11/M11,0)</f>
        <v>0</v>
      </c>
      <c r="P11" s="147"/>
      <c r="Q11" s="151" t="str">
        <f t="shared" si="6"/>
        <v/>
      </c>
      <c r="R11" s="153"/>
      <c r="FT11" s="52"/>
    </row>
    <row r="12" spans="2:188" x14ac:dyDescent="0.2">
      <c r="B12" s="139" t="str">
        <f>VLOOKUP(C12,DataSheet!$A$2:$B$778,2,FALSE)</f>
        <v xml:space="preserve">SODIUM STARCH GLYCOLLATE      </v>
      </c>
      <c r="C12" s="140" t="s">
        <v>17</v>
      </c>
      <c r="D12" s="141">
        <v>15</v>
      </c>
      <c r="E12" s="146">
        <v>100</v>
      </c>
      <c r="F12" s="146">
        <v>0</v>
      </c>
      <c r="G12" s="146">
        <v>0</v>
      </c>
      <c r="H12" s="147"/>
      <c r="I12" s="73">
        <f>D12/(E12/100)*(100+F12)/100*(100+G12)/100</f>
        <v>15</v>
      </c>
      <c r="J12" s="68">
        <f>IF(H12="Y",I12,I12-(I12/((100+G12)/100)))</f>
        <v>0</v>
      </c>
      <c r="K12" s="74">
        <f t="shared" si="0"/>
        <v>4.8600000000000003</v>
      </c>
      <c r="L12" s="68">
        <f t="shared" si="1"/>
        <v>0</v>
      </c>
      <c r="M12" s="149"/>
      <c r="N12" s="75" t="str">
        <f>IF(M12&gt;0,K12/M12,"")</f>
        <v/>
      </c>
      <c r="O12" s="76">
        <f>IF(M12&gt;0,L12/M12,0)</f>
        <v>0</v>
      </c>
      <c r="P12" s="147"/>
      <c r="Q12" s="151" t="str">
        <f t="shared" si="6"/>
        <v/>
      </c>
      <c r="R12" s="153"/>
      <c r="FT12" s="52"/>
    </row>
    <row r="13" spans="2:188" x14ac:dyDescent="0.2">
      <c r="B13" s="139" t="str">
        <f>VLOOKUP(C13,DataSheet!$A$2:$B$778,2,FALSE)</f>
        <v xml:space="preserve">CALCIUM STEARATE              </v>
      </c>
      <c r="C13" s="140" t="s">
        <v>134</v>
      </c>
      <c r="D13" s="141">
        <v>3.5</v>
      </c>
      <c r="E13" s="146">
        <v>100</v>
      </c>
      <c r="F13" s="146">
        <v>0</v>
      </c>
      <c r="G13" s="146">
        <v>0</v>
      </c>
      <c r="H13" s="147"/>
      <c r="I13" s="73">
        <f>D13/(E13/100)*(100+F13)/100*(100+G13)/100</f>
        <v>3.5</v>
      </c>
      <c r="J13" s="68">
        <f>IF(H13="Y",I13,I13-(I13/((100+G13)/100)))</f>
        <v>0</v>
      </c>
      <c r="K13" s="74">
        <f t="shared" si="0"/>
        <v>1.1339999999999999</v>
      </c>
      <c r="L13" s="68">
        <f t="shared" si="1"/>
        <v>0</v>
      </c>
      <c r="M13" s="149"/>
      <c r="N13" s="75" t="str">
        <f>IF(M13&gt;0,K13/M13,"")</f>
        <v/>
      </c>
      <c r="O13" s="76">
        <f>IF(M13&gt;0,L13/M13,0)</f>
        <v>0</v>
      </c>
      <c r="P13" s="147"/>
      <c r="Q13" s="151" t="str">
        <f t="shared" si="6"/>
        <v/>
      </c>
      <c r="R13" s="153"/>
    </row>
    <row r="14" spans="2:188" x14ac:dyDescent="0.2">
      <c r="B14" s="139" t="e">
        <f>VLOOKUP(C14,DataSheet!$A$2:$B$778,2,FALSE)</f>
        <v>#N/A</v>
      </c>
      <c r="C14" s="140"/>
      <c r="D14" s="141"/>
      <c r="E14" s="146">
        <v>100</v>
      </c>
      <c r="F14" s="146">
        <v>0</v>
      </c>
      <c r="G14" s="146">
        <v>0</v>
      </c>
      <c r="H14" s="147"/>
      <c r="I14" s="73">
        <f t="shared" si="2"/>
        <v>0</v>
      </c>
      <c r="J14" s="68">
        <f t="shared" si="3"/>
        <v>0</v>
      </c>
      <c r="K14" s="74">
        <f t="shared" si="0"/>
        <v>0</v>
      </c>
      <c r="L14" s="68">
        <f t="shared" si="1"/>
        <v>0</v>
      </c>
      <c r="M14" s="149"/>
      <c r="N14" s="75" t="str">
        <f t="shared" si="4"/>
        <v/>
      </c>
      <c r="O14" s="76">
        <f t="shared" si="5"/>
        <v>0</v>
      </c>
      <c r="P14" s="147"/>
      <c r="Q14" s="151" t="str">
        <f t="shared" si="6"/>
        <v/>
      </c>
      <c r="R14" s="153"/>
    </row>
    <row r="15" spans="2:188" ht="12" thickBot="1" x14ac:dyDescent="0.25">
      <c r="B15" s="139" t="e">
        <f>VLOOKUP(C15,DataSheet!$A$2:$B$778,2,FALSE)</f>
        <v>#N/A</v>
      </c>
      <c r="C15" s="142"/>
      <c r="D15" s="141"/>
      <c r="E15" s="146">
        <v>100</v>
      </c>
      <c r="F15" s="146">
        <v>0</v>
      </c>
      <c r="G15" s="146">
        <v>0</v>
      </c>
      <c r="H15" s="147"/>
      <c r="I15" s="73">
        <f t="shared" si="2"/>
        <v>0</v>
      </c>
      <c r="J15" s="68">
        <f t="shared" si="3"/>
        <v>0</v>
      </c>
      <c r="K15" s="77">
        <f t="shared" si="0"/>
        <v>0</v>
      </c>
      <c r="L15" s="68">
        <f t="shared" si="1"/>
        <v>0</v>
      </c>
      <c r="M15" s="149"/>
      <c r="N15" s="75" t="str">
        <f t="shared" si="4"/>
        <v/>
      </c>
      <c r="O15" s="76">
        <f t="shared" si="5"/>
        <v>0</v>
      </c>
      <c r="P15" s="147"/>
      <c r="Q15" s="151" t="str">
        <f t="shared" si="6"/>
        <v/>
      </c>
      <c r="R15" s="154"/>
    </row>
    <row r="16" spans="2:188" ht="12" thickTop="1" x14ac:dyDescent="0.2">
      <c r="B16" s="78"/>
      <c r="C16" s="79"/>
      <c r="D16" s="49"/>
      <c r="E16" s="80"/>
      <c r="F16" s="80"/>
      <c r="G16" s="80"/>
      <c r="H16" s="80"/>
      <c r="I16" s="49"/>
      <c r="J16" s="72"/>
      <c r="K16" s="49"/>
      <c r="L16" s="72"/>
      <c r="M16" s="49"/>
      <c r="N16" s="81"/>
      <c r="O16" s="81"/>
      <c r="P16" s="82"/>
      <c r="Q16" s="82"/>
      <c r="R16" s="83"/>
    </row>
    <row r="17" spans="2:18" x14ac:dyDescent="0.2">
      <c r="B17" s="78"/>
      <c r="C17" s="79"/>
      <c r="D17" s="49"/>
      <c r="E17" s="80"/>
      <c r="F17" s="80"/>
      <c r="G17" s="80"/>
      <c r="H17" s="84" t="s">
        <v>20</v>
      </c>
      <c r="I17" s="81">
        <f>SUM(I5:I16)-J17</f>
        <v>320</v>
      </c>
      <c r="J17" s="68">
        <f>SUM(J5:J16)</f>
        <v>11.01</v>
      </c>
      <c r="K17" s="81">
        <f>SUM(K5:K16)-L17</f>
        <v>103.68</v>
      </c>
      <c r="L17" s="68">
        <f>SUM(L5:L16)</f>
        <v>3.5670000000000002</v>
      </c>
      <c r="M17" s="49"/>
      <c r="N17" s="81">
        <f>SUM(N5:N15)-O17</f>
        <v>41.552999999999997</v>
      </c>
      <c r="O17" s="68">
        <f>SUM(O5:O16)</f>
        <v>1.784</v>
      </c>
      <c r="P17" s="85">
        <f>COUNTA(P5:P15)</f>
        <v>0</v>
      </c>
      <c r="Q17" s="82"/>
      <c r="R17" s="83"/>
    </row>
    <row r="18" spans="2:18" ht="12" thickBot="1" x14ac:dyDescent="0.25">
      <c r="B18" s="86" t="s">
        <v>32</v>
      </c>
      <c r="C18" s="87">
        <f t="array" ref="C18">SUM(IF(FREQUENCY(IF(LEN(C5:C15)&gt;0,MATCH(C5:C15,C5:C15,0),""),IF(LEN(C5:C15)&gt;0,MATCH(C5:C15,C5:C15,0),""))&gt;0,1))</f>
        <v>9</v>
      </c>
      <c r="D18" s="87">
        <f>COUNTA(C5:C15)</f>
        <v>9</v>
      </c>
      <c r="E18" s="88"/>
      <c r="F18" s="88"/>
      <c r="G18" s="88"/>
      <c r="H18" s="88"/>
      <c r="I18" s="87"/>
      <c r="J18" s="88"/>
      <c r="K18" s="87"/>
      <c r="L18" s="88" t="s">
        <v>33</v>
      </c>
      <c r="M18" s="87">
        <f>SUM(M5:M17)-COUNTA(M5:M17)-SUM(Q5:Q16)</f>
        <v>5</v>
      </c>
      <c r="N18" s="89"/>
      <c r="O18" s="89"/>
      <c r="P18" s="82"/>
      <c r="Q18" s="82"/>
      <c r="R18" s="83"/>
    </row>
    <row r="19" spans="2:18" ht="12" thickBot="1" x14ac:dyDescent="0.25">
      <c r="B19" s="90" t="s">
        <v>9</v>
      </c>
      <c r="C19" s="91"/>
      <c r="D19" s="92"/>
      <c r="E19" s="93"/>
      <c r="F19" s="93"/>
      <c r="G19" s="93"/>
      <c r="H19" s="93"/>
      <c r="I19" s="92"/>
      <c r="J19" s="94"/>
      <c r="K19" s="95"/>
      <c r="L19" s="94"/>
      <c r="M19" s="502">
        <f>IF(I33="60""",ROUNDUP(K27/300,0),ROUNDUP(K27/100,0))</f>
        <v>1</v>
      </c>
      <c r="N19" s="92"/>
      <c r="O19" s="94"/>
      <c r="P19" s="63"/>
      <c r="Q19" s="65"/>
      <c r="R19" s="66"/>
    </row>
    <row r="20" spans="2:18" ht="12" thickTop="1" x14ac:dyDescent="0.2">
      <c r="B20" s="139" t="str">
        <f>VLOOKUP(C20,DataSheet!$A$2:$B$778,2,FALSE)</f>
        <v>PURIFIED WATER BP</v>
      </c>
      <c r="C20" s="137" t="s">
        <v>15</v>
      </c>
      <c r="D20" s="138">
        <v>98.75</v>
      </c>
      <c r="E20" s="144">
        <v>100</v>
      </c>
      <c r="F20" s="144">
        <v>0</v>
      </c>
      <c r="G20" s="144">
        <v>0</v>
      </c>
      <c r="H20" s="145" t="s">
        <v>12</v>
      </c>
      <c r="I20" s="67">
        <f>D20/(E20/100)*(100+F20)/100*(100+G20)/100</f>
        <v>98.75</v>
      </c>
      <c r="J20" s="68">
        <f>IF(H20="Y",I20,I20-(I20/((100+G20)/100)))</f>
        <v>98.75</v>
      </c>
      <c r="K20" s="69">
        <f>I20*$I$28/1000000</f>
        <v>31.995000000000001</v>
      </c>
      <c r="L20" s="68">
        <f>$I$28*J20/1000000</f>
        <v>31.995000000000001</v>
      </c>
      <c r="M20" s="148">
        <f>M19</f>
        <v>1</v>
      </c>
      <c r="N20" s="70">
        <f>IF(M20&gt;0,K20/M20,"")</f>
        <v>31.995000000000001</v>
      </c>
      <c r="O20" s="71">
        <f>IF(M20&gt;0,L20/M20,0)</f>
        <v>31.995000000000001</v>
      </c>
      <c r="P20" s="145"/>
      <c r="Q20" s="151" t="str">
        <f>IF(M20&gt;0,IF(P20="Y",M20-1,""),"")</f>
        <v/>
      </c>
      <c r="R20" s="152"/>
    </row>
    <row r="21" spans="2:18" x14ac:dyDescent="0.2">
      <c r="B21" s="139" t="str">
        <f>VLOOKUP(C21,DataSheet!$A$2:$B$778,2,FALSE)</f>
        <v xml:space="preserve">OPADRY OY-LS-58900 WHITE      </v>
      </c>
      <c r="C21" s="140" t="s">
        <v>253</v>
      </c>
      <c r="D21" s="141">
        <v>10.4</v>
      </c>
      <c r="E21" s="146">
        <v>100</v>
      </c>
      <c r="F21" s="146">
        <v>0</v>
      </c>
      <c r="G21" s="146">
        <v>5</v>
      </c>
      <c r="H21" s="147"/>
      <c r="I21" s="73">
        <f>D21/(E21/100)*(100+F21)/100*(100+G21)/100</f>
        <v>10.92</v>
      </c>
      <c r="J21" s="68">
        <f>IF(H21="Y",I21,I21-(I21/((100+G21)/100)))</f>
        <v>0.52</v>
      </c>
      <c r="K21" s="74">
        <f>I21*$I$28/1000000</f>
        <v>3.5379999999999998</v>
      </c>
      <c r="L21" s="68">
        <f>$I$28*J21/1000000</f>
        <v>0.16800000000000001</v>
      </c>
      <c r="M21" s="149">
        <f>M19</f>
        <v>1</v>
      </c>
      <c r="N21" s="75">
        <f>IF(M21&gt;0,K21/M21,"")</f>
        <v>3.5379999999999998</v>
      </c>
      <c r="O21" s="76">
        <f>IF(M21&gt;0,L21/M21,0)</f>
        <v>0.16800000000000001</v>
      </c>
      <c r="P21" s="147"/>
      <c r="Q21" s="151" t="str">
        <f>IF(M21&gt;0,IF(P21="Y",M21-1,""),"")</f>
        <v/>
      </c>
      <c r="R21" s="153"/>
    </row>
    <row r="22" spans="2:18" x14ac:dyDescent="0.2">
      <c r="B22" s="139" t="str">
        <f>VLOOKUP(C22,DataSheet!$A$2:$B$778,2,FALSE)</f>
        <v xml:space="preserve">CARNAUBA WAX B.P/E.P          </v>
      </c>
      <c r="C22" s="140" t="s">
        <v>1619</v>
      </c>
      <c r="D22" s="141">
        <v>0.1</v>
      </c>
      <c r="E22" s="146">
        <v>100</v>
      </c>
      <c r="F22" s="146">
        <v>0</v>
      </c>
      <c r="G22" s="146">
        <v>0</v>
      </c>
      <c r="H22" s="147"/>
      <c r="I22" s="73">
        <f>D22/(E22/100)*(100+F22)/100*(100+G22)/100</f>
        <v>0.1</v>
      </c>
      <c r="J22" s="68">
        <f>IF(H22="Y",I22,I22-(I22/((100+G22)/100)))</f>
        <v>0</v>
      </c>
      <c r="K22" s="74">
        <f>I22*$I$28/1000000</f>
        <v>3.2000000000000001E-2</v>
      </c>
      <c r="L22" s="68">
        <f>$I$28*J22/1000000</f>
        <v>0</v>
      </c>
      <c r="M22" s="149">
        <f>M19</f>
        <v>1</v>
      </c>
      <c r="N22" s="75">
        <f>IF(M22&gt;0,K22/M22,"")</f>
        <v>3.2000000000000001E-2</v>
      </c>
      <c r="O22" s="76">
        <f>IF(M22&gt;0,L22/M22,0)</f>
        <v>0</v>
      </c>
      <c r="P22" s="147"/>
      <c r="Q22" s="151" t="str">
        <f>IF(M22&gt;0,IF(P22="Y",M22-1,""),"")</f>
        <v/>
      </c>
      <c r="R22" s="153"/>
    </row>
    <row r="23" spans="2:18" ht="12" thickBot="1" x14ac:dyDescent="0.25">
      <c r="B23" s="139" t="e">
        <f>VLOOKUP(C23,DataSheet!$A$2:$B$778,2,FALSE)</f>
        <v>#N/A</v>
      </c>
      <c r="C23" s="142"/>
      <c r="D23" s="141"/>
      <c r="E23" s="146">
        <v>100</v>
      </c>
      <c r="F23" s="146">
        <v>0</v>
      </c>
      <c r="G23" s="146">
        <v>0</v>
      </c>
      <c r="H23" s="147"/>
      <c r="I23" s="73">
        <f>D23/(E23/100)*(100+F23)/100*(100+G23)/100</f>
        <v>0</v>
      </c>
      <c r="J23" s="68">
        <f>IF(H23="Y",I23,I23-(I23/((100+G23)/100)))</f>
        <v>0</v>
      </c>
      <c r="K23" s="77">
        <f>I23*$I$28/1000000</f>
        <v>0</v>
      </c>
      <c r="L23" s="68">
        <f>$I$28*J23/1000000</f>
        <v>0</v>
      </c>
      <c r="M23" s="149"/>
      <c r="N23" s="75" t="str">
        <f>IF(M23&gt;0,K23/M23,"")</f>
        <v/>
      </c>
      <c r="O23" s="76">
        <f>IF(M23&gt;0,L23/M23,0)</f>
        <v>0</v>
      </c>
      <c r="P23" s="147"/>
      <c r="Q23" s="151" t="str">
        <f>IF(M23&gt;0,IF(P23="Y",M23-1,""),"")</f>
        <v/>
      </c>
      <c r="R23" s="154"/>
    </row>
    <row r="24" spans="2:18" ht="12" thickTop="1" x14ac:dyDescent="0.2">
      <c r="B24" s="78"/>
      <c r="C24" s="79"/>
      <c r="D24" s="49"/>
      <c r="E24" s="49"/>
      <c r="F24" s="49"/>
      <c r="G24" s="49"/>
      <c r="H24" s="49"/>
      <c r="I24" s="49"/>
      <c r="J24" s="72"/>
      <c r="K24" s="49"/>
      <c r="L24" s="72"/>
      <c r="M24" s="49"/>
      <c r="N24" s="81"/>
      <c r="O24" s="81"/>
      <c r="P24" s="82"/>
      <c r="Q24" s="82"/>
      <c r="R24" s="83"/>
    </row>
    <row r="25" spans="2:18" x14ac:dyDescent="0.2">
      <c r="B25" s="78"/>
      <c r="C25" s="79"/>
      <c r="D25" s="49"/>
      <c r="E25" s="49"/>
      <c r="F25" s="49"/>
      <c r="G25" s="49"/>
      <c r="H25" s="84" t="s">
        <v>20</v>
      </c>
      <c r="I25" s="81">
        <f>SUM(I20:I24)-J25</f>
        <v>10.5</v>
      </c>
      <c r="J25" s="68">
        <f>SUM(J20:J24)</f>
        <v>99.27</v>
      </c>
      <c r="K25" s="81">
        <f>SUM(K20:K24)-L25</f>
        <v>3.4020000000000001</v>
      </c>
      <c r="L25" s="68">
        <f>SUM(L20:L24)-M25</f>
        <v>32.162999999999997</v>
      </c>
      <c r="M25" s="49"/>
      <c r="N25" s="81">
        <f>SUM(N20:N23)-O25</f>
        <v>3.4020000000000001</v>
      </c>
      <c r="O25" s="68">
        <f>SUM(O20:O24)</f>
        <v>32.162999999999997</v>
      </c>
      <c r="P25" s="85">
        <f>COUNTA(P20:P23)</f>
        <v>0</v>
      </c>
      <c r="Q25" s="82"/>
      <c r="R25" s="83"/>
    </row>
    <row r="26" spans="2:18" x14ac:dyDescent="0.2">
      <c r="B26" s="86" t="s">
        <v>32</v>
      </c>
      <c r="C26" s="87">
        <f t="array" ref="C26">SUM(IF(FREQUENCY(IF(LEN(C20:C23)&gt;0,MATCH(C20:C23,C20:C23,0),""),IF(LEN(C20:C23)&gt;0,MATCH(C20:C23,C20:C23,0),""))&gt;0,1))</f>
        <v>3</v>
      </c>
      <c r="D26" s="87">
        <f>COUNTA(C20:C23)</f>
        <v>3</v>
      </c>
      <c r="E26" s="88"/>
      <c r="F26" s="88"/>
      <c r="G26" s="88"/>
      <c r="H26" s="88"/>
      <c r="I26" s="87"/>
      <c r="J26" s="88"/>
      <c r="K26" s="87"/>
      <c r="L26" s="88" t="s">
        <v>33</v>
      </c>
      <c r="M26" s="87">
        <f>SUM(M20:M24)-COUNTA(M20:M24)-SUM(Q20:Q24)</f>
        <v>0</v>
      </c>
      <c r="N26" s="87"/>
      <c r="O26" s="87"/>
      <c r="P26" s="96"/>
      <c r="Q26" s="96"/>
      <c r="R26" s="83"/>
    </row>
    <row r="27" spans="2:18" x14ac:dyDescent="0.2">
      <c r="B27" s="78"/>
      <c r="C27" s="79"/>
      <c r="D27" s="49"/>
      <c r="E27" s="49"/>
      <c r="F27" s="49"/>
      <c r="G27" s="49"/>
      <c r="H27" s="84" t="s">
        <v>25</v>
      </c>
      <c r="I27" s="97">
        <f>I17+I25</f>
        <v>330.5</v>
      </c>
      <c r="J27" s="68">
        <f>J17+J25</f>
        <v>110.28</v>
      </c>
      <c r="K27" s="81">
        <f>K17+K25</f>
        <v>107.08199999999999</v>
      </c>
      <c r="L27" s="80"/>
      <c r="M27" s="49"/>
      <c r="N27" s="49"/>
      <c r="O27" s="49"/>
      <c r="P27" s="98"/>
      <c r="Q27" s="98"/>
      <c r="R27" s="83"/>
    </row>
    <row r="28" spans="2:18" ht="12.75" customHeight="1" thickBot="1" x14ac:dyDescent="0.25">
      <c r="B28" s="99"/>
      <c r="C28" s="100"/>
      <c r="D28" s="101"/>
      <c r="E28" s="101"/>
      <c r="F28" s="101"/>
      <c r="G28" s="101"/>
      <c r="H28" s="102" t="s">
        <v>26</v>
      </c>
      <c r="I28" s="143">
        <f>Simulator!R15</f>
        <v>324000</v>
      </c>
      <c r="J28" s="103"/>
      <c r="K28" s="103"/>
      <c r="L28" s="104"/>
      <c r="M28" s="101"/>
      <c r="N28" s="101"/>
      <c r="O28" s="101"/>
      <c r="P28" s="105"/>
      <c r="Q28" s="105"/>
      <c r="R28" s="106"/>
    </row>
    <row r="29" spans="2:18" x14ac:dyDescent="0.2">
      <c r="C29" s="107"/>
      <c r="D29" s="52"/>
      <c r="E29" s="52"/>
      <c r="F29" s="52"/>
      <c r="G29" s="52"/>
      <c r="H29" s="52"/>
      <c r="I29" s="52"/>
      <c r="J29" s="108"/>
      <c r="K29" s="52"/>
      <c r="L29" s="108"/>
      <c r="N29" s="52"/>
      <c r="O29" s="52"/>
    </row>
    <row r="31" spans="2:18" ht="12" thickBot="1" x14ac:dyDescent="0.25">
      <c r="B31" s="109"/>
    </row>
    <row r="32" spans="2:18" ht="12" thickBot="1" x14ac:dyDescent="0.25">
      <c r="C32" s="653" t="s">
        <v>100</v>
      </c>
      <c r="D32" s="654"/>
      <c r="E32" s="110" t="s">
        <v>101</v>
      </c>
      <c r="F32" s="111" t="s">
        <v>89</v>
      </c>
      <c r="H32" s="111" t="s">
        <v>495</v>
      </c>
      <c r="I32" s="112" t="s">
        <v>101</v>
      </c>
      <c r="J32" s="113"/>
      <c r="K32" s="114" t="s">
        <v>103</v>
      </c>
      <c r="N32" s="642" t="s">
        <v>475</v>
      </c>
      <c r="O32" s="643"/>
      <c r="P32" s="644"/>
    </row>
    <row r="33" spans="3:16" ht="12" thickBot="1" x14ac:dyDescent="0.25">
      <c r="C33" s="115" t="s">
        <v>30</v>
      </c>
      <c r="D33" s="116" t="s">
        <v>31</v>
      </c>
      <c r="E33" s="48">
        <v>250</v>
      </c>
      <c r="F33" s="117">
        <f>Simulator!K6*0.4*60</f>
        <v>38.4</v>
      </c>
      <c r="H33" s="117">
        <f>VLOOKUP($I$33,FW2:GA4,5)</f>
        <v>300</v>
      </c>
      <c r="I33" s="155" t="s">
        <v>63</v>
      </c>
      <c r="J33" s="118"/>
      <c r="K33" s="119" t="s">
        <v>64</v>
      </c>
      <c r="N33" s="120" t="s">
        <v>474</v>
      </c>
      <c r="O33" s="121"/>
      <c r="P33" s="156">
        <v>0</v>
      </c>
    </row>
    <row r="34" spans="3:16" x14ac:dyDescent="0.2">
      <c r="C34" s="122">
        <v>0.4</v>
      </c>
      <c r="D34" s="123">
        <f>$N$17/C34</f>
        <v>103.9</v>
      </c>
      <c r="E34" s="119" t="str">
        <f>IF($D34&lt;$E$33*DataSheet!$E$5,(IF($D34&gt;$E$33*DataSheet!$E$6,"Y","")),"")</f>
        <v>Y</v>
      </c>
      <c r="F34" s="52"/>
      <c r="G34" s="52"/>
      <c r="I34" s="124">
        <f>'Manuf - BOM'!K17/'Manuf - BOM'!M19</f>
        <v>103.7</v>
      </c>
      <c r="J34" s="125"/>
      <c r="K34" s="126">
        <f>VLOOKUP($I$33,'Manuf - BOM'!$FW$2:$FZ$4,3,FALSE)*VLOOKUP($I$33,'Manuf - BOM'!$FW$2:$FZ$4,2,FALSE)</f>
        <v>270</v>
      </c>
      <c r="N34" s="127" t="s">
        <v>5</v>
      </c>
      <c r="O34" s="128"/>
      <c r="P34" s="157">
        <v>0</v>
      </c>
    </row>
    <row r="35" spans="3:16" x14ac:dyDescent="0.2">
      <c r="C35" s="129">
        <v>0.5</v>
      </c>
      <c r="D35" s="130">
        <f>$N$17/C35</f>
        <v>83.1</v>
      </c>
      <c r="E35" s="126" t="str">
        <f>IF($D35&lt;$E$33*DataSheet!$E$5,(IF($D35&gt;$E$33*DataSheet!$E$6,"Y","")),"")</f>
        <v>Y</v>
      </c>
      <c r="F35" s="52"/>
      <c r="G35" s="52"/>
      <c r="I35" s="127"/>
      <c r="J35" s="125"/>
      <c r="K35" s="126" t="s">
        <v>65</v>
      </c>
      <c r="N35" s="127" t="s">
        <v>492</v>
      </c>
      <c r="O35" s="128"/>
      <c r="P35" s="157">
        <v>0</v>
      </c>
    </row>
    <row r="36" spans="3:16" ht="12" thickBot="1" x14ac:dyDescent="0.25">
      <c r="C36" s="129">
        <v>0.6</v>
      </c>
      <c r="D36" s="130">
        <f>$N$17/C36</f>
        <v>69.3</v>
      </c>
      <c r="E36" s="126" t="str">
        <f>IF($D36&lt;$E$33*DataSheet!$E$5,(IF($D36&gt;$E$33*DataSheet!$E$6,"Y","")),"")</f>
        <v>Y</v>
      </c>
      <c r="F36" s="52"/>
      <c r="G36" s="52"/>
      <c r="I36" s="131"/>
      <c r="J36" s="132"/>
      <c r="K36" s="133">
        <f>VLOOKUP($I$33,'Manuf - BOM'!$FW$2:$FZ$4,4,FALSE)*VLOOKUP($I$33,'Manuf - BOM'!$FW$2:$FZ$4,2,FALSE)</f>
        <v>330</v>
      </c>
      <c r="N36" s="127" t="s">
        <v>8</v>
      </c>
      <c r="O36" s="128"/>
      <c r="P36" s="157">
        <v>0</v>
      </c>
    </row>
    <row r="37" spans="3:16" x14ac:dyDescent="0.2">
      <c r="C37" s="129">
        <v>0.7</v>
      </c>
      <c r="D37" s="130">
        <f>$N$17/C37</f>
        <v>59.4</v>
      </c>
      <c r="E37" s="126" t="str">
        <f>IF($D37&lt;$E$33*DataSheet!$E$5,(IF($D37&gt;$E$33*DataSheet!$E$6,"Y","")),"")</f>
        <v/>
      </c>
      <c r="F37" s="52"/>
      <c r="G37" s="52"/>
      <c r="N37" s="127" t="s">
        <v>6</v>
      </c>
      <c r="O37" s="128"/>
      <c r="P37" s="157">
        <v>0</v>
      </c>
    </row>
    <row r="38" spans="3:16" ht="12" thickBot="1" x14ac:dyDescent="0.25">
      <c r="C38" s="134">
        <v>0.8</v>
      </c>
      <c r="D38" s="135">
        <f>$N$17/C38</f>
        <v>51.9</v>
      </c>
      <c r="E38" s="133" t="str">
        <f>IF($D38&lt;$E$33*DataSheet!$E$5,(IF($D38&gt;$E$33*DataSheet!$E$6,"Y","")),"")</f>
        <v/>
      </c>
      <c r="F38" s="52"/>
      <c r="G38" s="52"/>
      <c r="N38" s="127" t="s">
        <v>7</v>
      </c>
      <c r="O38" s="128"/>
      <c r="P38" s="157">
        <v>0</v>
      </c>
    </row>
    <row r="39" spans="3:16" ht="12" thickBot="1" x14ac:dyDescent="0.25">
      <c r="N39" s="131" t="s">
        <v>9</v>
      </c>
      <c r="O39" s="136"/>
      <c r="P39" s="158">
        <v>0</v>
      </c>
    </row>
    <row r="40" spans="3:16" ht="12" thickBot="1" x14ac:dyDescent="0.25"/>
    <row r="41" spans="3:16" x14ac:dyDescent="0.2">
      <c r="C41" s="653" t="s">
        <v>467</v>
      </c>
      <c r="D41" s="654"/>
      <c r="E41" s="110" t="s">
        <v>101</v>
      </c>
      <c r="F41" s="52"/>
    </row>
    <row r="42" spans="3:16" ht="12" thickBot="1" x14ac:dyDescent="0.25">
      <c r="C42" s="115" t="s">
        <v>30</v>
      </c>
      <c r="D42" s="116" t="s">
        <v>31</v>
      </c>
      <c r="E42" s="48">
        <v>1800</v>
      </c>
    </row>
    <row r="43" spans="3:16" x14ac:dyDescent="0.2">
      <c r="C43" s="122">
        <v>0.4</v>
      </c>
      <c r="D43" s="123">
        <f>$K$17/C43</f>
        <v>259.2</v>
      </c>
      <c r="E43" s="119" t="str">
        <f>IF(D43&gt;$E$42*0.75,"","Y")</f>
        <v>Y</v>
      </c>
    </row>
    <row r="44" spans="3:16" x14ac:dyDescent="0.2">
      <c r="C44" s="129">
        <v>0.5</v>
      </c>
      <c r="D44" s="130">
        <f>$K$17/C44</f>
        <v>207.4</v>
      </c>
      <c r="E44" s="126" t="str">
        <f>IF(D44&gt;$E$42*0.75,"","Y")</f>
        <v>Y</v>
      </c>
    </row>
    <row r="45" spans="3:16" x14ac:dyDescent="0.2">
      <c r="C45" s="129">
        <v>0.6</v>
      </c>
      <c r="D45" s="130">
        <f>$K$17/C45</f>
        <v>172.8</v>
      </c>
      <c r="E45" s="126" t="str">
        <f>IF(D45&gt;$E$42*0.75,"","Y")</f>
        <v>Y</v>
      </c>
    </row>
    <row r="46" spans="3:16" x14ac:dyDescent="0.2">
      <c r="C46" s="129">
        <v>0.7</v>
      </c>
      <c r="D46" s="130">
        <f>$K$17/C46</f>
        <v>148.1</v>
      </c>
      <c r="E46" s="126" t="str">
        <f>IF(D46&gt;$E$42*0.75,"","Y")</f>
        <v>Y</v>
      </c>
    </row>
    <row r="47" spans="3:16" ht="12" thickBot="1" x14ac:dyDescent="0.25">
      <c r="C47" s="134">
        <v>0.8</v>
      </c>
      <c r="D47" s="135">
        <f>$K$17/C47</f>
        <v>129.6</v>
      </c>
      <c r="E47" s="133" t="str">
        <f>IF(D47&gt;$E$42*0.75,"","Y")</f>
        <v>Y</v>
      </c>
      <c r="F47" s="52"/>
    </row>
  </sheetData>
  <sheetProtection selectLockedCells="1"/>
  <mergeCells count="12">
    <mergeCell ref="B2:B3"/>
    <mergeCell ref="C2:C3"/>
    <mergeCell ref="D2:D3"/>
    <mergeCell ref="C41:D41"/>
    <mergeCell ref="E2:H2"/>
    <mergeCell ref="C32:D32"/>
    <mergeCell ref="N32:P32"/>
    <mergeCell ref="R2:R3"/>
    <mergeCell ref="K2:K3"/>
    <mergeCell ref="M2:M3"/>
    <mergeCell ref="N2:N3"/>
    <mergeCell ref="P2:P3"/>
  </mergeCells>
  <phoneticPr fontId="2" type="noConversion"/>
  <conditionalFormatting sqref="I34">
    <cfRule type="expression" dxfId="14" priority="1" stopIfTrue="1">
      <formula>I34&lt;K34</formula>
    </cfRule>
    <cfRule type="expression" dxfId="13" priority="2" stopIfTrue="1">
      <formula>I34&gt;K36</formula>
    </cfRule>
  </conditionalFormatting>
  <dataValidations count="7">
    <dataValidation type="list" allowBlank="1" showInputMessage="1" showErrorMessage="1" sqref="H26 H18 H16">
      <formula1>$GD$1:$GD$1</formula1>
    </dataValidation>
    <dataValidation type="list" allowBlank="1" showInputMessage="1" showErrorMessage="1" sqref="M5:M15">
      <formula1>$M$4</formula1>
    </dataValidation>
    <dataValidation type="list" allowBlank="1" showInputMessage="1" showErrorMessage="1" sqref="M20:M23">
      <formula1>$M$19</formula1>
    </dataValidation>
    <dataValidation type="list" allowBlank="1" showInputMessage="1" showErrorMessage="1" sqref="H5:H15 H20:H23 P5:P15 P20:P23">
      <formula1>$GB$1</formula1>
    </dataValidation>
    <dataValidation type="list" allowBlank="1" showInputMessage="1" showErrorMessage="1" sqref="E33">
      <formula1>XCM2:XCM4</formula1>
    </dataValidation>
    <dataValidation type="list" allowBlank="1" showInputMessage="1" showErrorMessage="1" sqref="I33">
      <formula1>$FW$2:$FW$4</formula1>
    </dataValidation>
    <dataValidation type="list" allowBlank="1" showInputMessage="1" showErrorMessage="1" sqref="E42">
      <formula1>$FT$1:$FT$8</formula1>
    </dataValidation>
  </dataValidations>
  <pageMargins left="0.75" right="0.75" top="1" bottom="1" header="0.5" footer="0.5"/>
  <pageSetup paperSize="9" scale="65" orientation="portrait"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DC86"/>
  <sheetViews>
    <sheetView showGridLines="0" zoomScaleNormal="100" zoomScaleSheetLayoutView="130" workbookViewId="0">
      <selection activeCell="C3" sqref="C3:D3"/>
    </sheetView>
  </sheetViews>
  <sheetFormatPr defaultRowHeight="12.75" x14ac:dyDescent="0.2"/>
  <cols>
    <col min="1" max="1" width="4.42578125" style="384" customWidth="1"/>
    <col min="2" max="2" width="30.140625" style="384" customWidth="1"/>
    <col min="3" max="3" width="9.28515625" style="383" customWidth="1"/>
    <col min="4" max="4" width="9.5703125" style="383" customWidth="1"/>
    <col min="5" max="5" width="1.42578125" style="383" customWidth="1"/>
    <col min="6" max="6" width="9.140625" style="383"/>
    <col min="7" max="7" width="9.140625" style="384"/>
    <col min="8" max="8" width="1.42578125" style="384" customWidth="1"/>
    <col min="9" max="10" width="9.140625" style="384"/>
    <col min="11" max="11" width="1.42578125" style="384" customWidth="1"/>
    <col min="12" max="12" width="9.140625" style="383"/>
    <col min="13" max="13" width="9.140625" style="384"/>
    <col min="14" max="14" width="1.42578125" style="384" customWidth="1"/>
    <col min="15" max="15" width="9.140625" style="383"/>
    <col min="16" max="16" width="9.140625" style="384"/>
    <col min="17" max="17" width="1.42578125" style="384" customWidth="1"/>
    <col min="18" max="18" width="11.85546875" style="384" customWidth="1"/>
    <col min="19" max="19" width="2.5703125" style="384" customWidth="1"/>
    <col min="20" max="20" width="11.7109375" style="384" customWidth="1"/>
    <col min="21" max="21" width="9.42578125" style="384" customWidth="1"/>
    <col min="22" max="84" width="9.140625" style="384"/>
    <col min="85" max="85" width="11.85546875" style="384" customWidth="1"/>
    <col min="86" max="86" width="9.140625" style="384"/>
    <col min="87" max="87" width="10.140625" style="384" customWidth="1"/>
    <col min="88" max="89" width="9.140625" style="384"/>
    <col min="90" max="90" width="12.140625" style="384" customWidth="1"/>
    <col min="91" max="94" width="9.140625" style="384"/>
    <col min="95" max="95" width="9.140625" style="469"/>
    <col min="96" max="96" width="9.140625" style="384"/>
    <col min="97" max="97" width="9.140625" style="469"/>
    <col min="98" max="98" width="9.140625" style="384"/>
    <col min="99" max="99" width="7.42578125" style="384" customWidth="1"/>
    <col min="100" max="101" width="9.140625" style="384"/>
    <col min="102" max="102" width="9.140625" style="393"/>
    <col min="103" max="105" width="9.140625" style="395"/>
    <col min="106" max="106" width="9.140625" style="393"/>
    <col min="107" max="16384" width="9.140625" style="384"/>
  </cols>
  <sheetData>
    <row r="1" spans="2:107" ht="13.5" thickBot="1" x14ac:dyDescent="0.25">
      <c r="B1" s="382">
        <f>[1]General!D15</f>
        <v>0</v>
      </c>
      <c r="CF1" s="385" t="s">
        <v>486</v>
      </c>
      <c r="CG1" s="385" t="s">
        <v>6602</v>
      </c>
      <c r="CH1" s="385" t="s">
        <v>86</v>
      </c>
      <c r="CI1" s="385" t="s">
        <v>6603</v>
      </c>
      <c r="CJ1" s="385" t="s">
        <v>85</v>
      </c>
      <c r="CK1" s="385" t="s">
        <v>84</v>
      </c>
      <c r="CL1" s="385" t="s">
        <v>6603</v>
      </c>
      <c r="CM1" s="385" t="s">
        <v>70</v>
      </c>
      <c r="CN1" s="385" t="s">
        <v>68</v>
      </c>
      <c r="CO1" s="385" t="s">
        <v>69</v>
      </c>
      <c r="CP1" s="385" t="s">
        <v>71</v>
      </c>
      <c r="CQ1" s="386" t="s">
        <v>72</v>
      </c>
      <c r="CR1" s="385" t="s">
        <v>73</v>
      </c>
      <c r="CS1" s="386" t="s">
        <v>74</v>
      </c>
      <c r="CT1" s="385" t="s">
        <v>75</v>
      </c>
      <c r="CU1" s="387"/>
      <c r="CV1" s="385" t="s">
        <v>76</v>
      </c>
      <c r="CW1" s="385" t="s">
        <v>68</v>
      </c>
      <c r="CX1" s="385" t="s">
        <v>77</v>
      </c>
      <c r="CY1" s="386" t="s">
        <v>78</v>
      </c>
      <c r="CZ1" s="385" t="s">
        <v>385</v>
      </c>
      <c r="DA1" s="386" t="s">
        <v>79</v>
      </c>
      <c r="DB1" s="385" t="s">
        <v>80</v>
      </c>
      <c r="DC1" s="388"/>
    </row>
    <row r="2" spans="2:107" ht="13.5" thickBot="1" x14ac:dyDescent="0.25">
      <c r="B2" s="389" t="s">
        <v>485</v>
      </c>
      <c r="C2" s="697"/>
      <c r="D2" s="697"/>
      <c r="E2" s="390"/>
      <c r="F2" s="697"/>
      <c r="G2" s="697"/>
      <c r="H2" s="390"/>
      <c r="I2" s="697"/>
      <c r="J2" s="697"/>
      <c r="K2" s="390"/>
      <c r="L2" s="697"/>
      <c r="M2" s="697"/>
      <c r="N2" s="390"/>
      <c r="O2" s="697"/>
      <c r="P2" s="697"/>
      <c r="Q2" s="391"/>
      <c r="R2" s="392"/>
      <c r="T2" s="493" t="s">
        <v>6604</v>
      </c>
      <c r="U2" s="494" t="s">
        <v>6605</v>
      </c>
      <c r="V2" s="495" t="s">
        <v>6606</v>
      </c>
      <c r="CF2" s="393">
        <v>0</v>
      </c>
      <c r="CG2" s="393">
        <v>40</v>
      </c>
      <c r="CH2" s="393" t="s">
        <v>6607</v>
      </c>
      <c r="CI2" s="388">
        <v>15.4</v>
      </c>
      <c r="CJ2" s="388" t="s">
        <v>325</v>
      </c>
      <c r="CK2" s="388" t="s">
        <v>339</v>
      </c>
      <c r="CL2" s="388">
        <v>498</v>
      </c>
      <c r="CM2" s="388" t="str">
        <f t="shared" ref="CM2:CM86" si="0">CN2&amp;"-"&amp;CO2</f>
        <v>38 x 94-Aclar 3000</v>
      </c>
      <c r="CN2" s="388" t="s">
        <v>325</v>
      </c>
      <c r="CO2" s="388" t="s">
        <v>339</v>
      </c>
      <c r="CP2" s="388">
        <v>-99</v>
      </c>
      <c r="CQ2" s="394"/>
      <c r="CR2" s="388"/>
      <c r="CS2" s="394" t="s">
        <v>373</v>
      </c>
      <c r="CT2" s="388">
        <v>2.9E-4</v>
      </c>
      <c r="CV2" s="388" t="str">
        <f t="shared" ref="CV2:CV39" si="1">CW2&amp;"-"&amp;CX2</f>
        <v>38 x 94-1</v>
      </c>
      <c r="CW2" s="388" t="s">
        <v>325</v>
      </c>
      <c r="CX2" s="393">
        <v>1</v>
      </c>
      <c r="CY2" s="395" t="s">
        <v>386</v>
      </c>
      <c r="CZ2" s="396" t="s">
        <v>387</v>
      </c>
      <c r="DA2" s="395" t="s">
        <v>388</v>
      </c>
      <c r="DB2" s="393">
        <v>3.0000000000000001E-3</v>
      </c>
      <c r="DC2" s="388"/>
    </row>
    <row r="3" spans="2:107" ht="14.25" thickTop="1" thickBot="1" x14ac:dyDescent="0.25">
      <c r="B3" s="397" t="s">
        <v>93</v>
      </c>
      <c r="C3" s="698">
        <v>24</v>
      </c>
      <c r="D3" s="698"/>
      <c r="E3" s="470"/>
      <c r="F3" s="698"/>
      <c r="G3" s="698"/>
      <c r="H3" s="470"/>
      <c r="I3" s="698"/>
      <c r="J3" s="698"/>
      <c r="K3" s="471"/>
      <c r="L3" s="698"/>
      <c r="M3" s="698"/>
      <c r="N3" s="471"/>
      <c r="O3" s="698"/>
      <c r="P3" s="698"/>
      <c r="Q3" s="398"/>
      <c r="R3" s="399" t="s">
        <v>116</v>
      </c>
      <c r="T3" s="496" t="s">
        <v>6608</v>
      </c>
      <c r="U3" s="485"/>
      <c r="V3" s="497"/>
      <c r="CF3" s="393">
        <v>5</v>
      </c>
      <c r="CG3" s="393">
        <v>37.799999999999997</v>
      </c>
      <c r="CH3" s="393" t="s">
        <v>6609</v>
      </c>
      <c r="CI3" s="393" t="s">
        <v>6610</v>
      </c>
      <c r="CJ3" s="388" t="s">
        <v>326</v>
      </c>
      <c r="CK3" s="388" t="s">
        <v>338</v>
      </c>
      <c r="CL3" s="388">
        <v>242</v>
      </c>
      <c r="CM3" s="388" t="str">
        <f t="shared" si="0"/>
        <v>38 x 94-Amber PVDC</v>
      </c>
      <c r="CN3" s="388" t="s">
        <v>325</v>
      </c>
      <c r="CO3" s="388" t="s">
        <v>337</v>
      </c>
      <c r="CP3" s="388">
        <v>-99</v>
      </c>
      <c r="CQ3" s="394"/>
      <c r="CR3" s="388"/>
      <c r="CS3" s="394" t="s">
        <v>373</v>
      </c>
      <c r="CT3" s="388">
        <v>2.9E-4</v>
      </c>
      <c r="CV3" s="388" t="str">
        <f t="shared" si="1"/>
        <v>38 x 94-2</v>
      </c>
      <c r="CW3" s="388" t="s">
        <v>325</v>
      </c>
      <c r="CX3" s="393">
        <v>2</v>
      </c>
      <c r="CY3" s="395" t="s">
        <v>389</v>
      </c>
      <c r="CZ3" s="396" t="s">
        <v>387</v>
      </c>
      <c r="DA3" s="395" t="s">
        <v>390</v>
      </c>
      <c r="DB3" s="393">
        <v>3.0000000000000001E-3</v>
      </c>
      <c r="DC3" s="388"/>
    </row>
    <row r="4" spans="2:107" ht="13.5" thickTop="1" x14ac:dyDescent="0.2">
      <c r="B4" s="400" t="s">
        <v>117</v>
      </c>
      <c r="C4" s="700">
        <v>60000</v>
      </c>
      <c r="D4" s="701"/>
      <c r="E4" s="472"/>
      <c r="F4" s="700"/>
      <c r="G4" s="701"/>
      <c r="H4" s="472"/>
      <c r="I4" s="700"/>
      <c r="J4" s="701"/>
      <c r="K4" s="473"/>
      <c r="L4" s="700"/>
      <c r="M4" s="701"/>
      <c r="N4" s="473"/>
      <c r="O4" s="700"/>
      <c r="P4" s="701"/>
      <c r="Q4" s="401"/>
      <c r="R4" s="402">
        <f>SUM(C4:O4)</f>
        <v>60000</v>
      </c>
      <c r="T4" s="496" t="s">
        <v>6611</v>
      </c>
      <c r="U4" s="485"/>
      <c r="V4" s="497"/>
      <c r="CF4" s="393">
        <v>10</v>
      </c>
      <c r="CG4" s="393">
        <v>35.6</v>
      </c>
      <c r="CH4" s="388"/>
      <c r="CI4" s="388"/>
      <c r="CJ4" s="388" t="s">
        <v>327</v>
      </c>
      <c r="CK4" s="388" t="s">
        <v>81</v>
      </c>
      <c r="CL4" s="388">
        <v>340</v>
      </c>
      <c r="CM4" s="388" t="str">
        <f t="shared" si="0"/>
        <v>38 x 94-Coldform</v>
      </c>
      <c r="CN4" s="388" t="s">
        <v>325</v>
      </c>
      <c r="CO4" s="388" t="s">
        <v>338</v>
      </c>
      <c r="CP4" s="388">
        <v>0.7</v>
      </c>
      <c r="CQ4" s="394" t="s">
        <v>341</v>
      </c>
      <c r="CR4" s="388">
        <v>1.0300000000000001E-3</v>
      </c>
      <c r="CS4" s="394" t="s">
        <v>373</v>
      </c>
      <c r="CT4" s="388">
        <v>2.9E-4</v>
      </c>
      <c r="CV4" s="388" t="str">
        <f t="shared" si="1"/>
        <v>38 x 94-3</v>
      </c>
      <c r="CW4" s="388" t="s">
        <v>325</v>
      </c>
      <c r="CX4" s="393">
        <v>3</v>
      </c>
      <c r="CY4" s="395" t="s">
        <v>391</v>
      </c>
      <c r="CZ4" s="396" t="s">
        <v>387</v>
      </c>
      <c r="DA4" s="395" t="s">
        <v>388</v>
      </c>
      <c r="DB4" s="393">
        <v>4.0000000000000001E-3</v>
      </c>
      <c r="DC4" s="388"/>
    </row>
    <row r="5" spans="2:107" x14ac:dyDescent="0.2">
      <c r="B5" s="403" t="s">
        <v>94</v>
      </c>
      <c r="C5" s="660">
        <f>C3*C4</f>
        <v>1440000</v>
      </c>
      <c r="D5" s="699"/>
      <c r="E5" s="404"/>
      <c r="F5" s="660">
        <f>F3*F4</f>
        <v>0</v>
      </c>
      <c r="G5" s="699"/>
      <c r="H5" s="404"/>
      <c r="I5" s="660">
        <f>I3*I4</f>
        <v>0</v>
      </c>
      <c r="J5" s="699"/>
      <c r="K5" s="401"/>
      <c r="L5" s="660">
        <f>L3*L4</f>
        <v>0</v>
      </c>
      <c r="M5" s="699"/>
      <c r="N5" s="401"/>
      <c r="O5" s="660">
        <f>O3*O4</f>
        <v>0</v>
      </c>
      <c r="P5" s="699"/>
      <c r="Q5" s="401"/>
      <c r="R5" s="402">
        <f>SUM(C5:O5)</f>
        <v>1440000</v>
      </c>
      <c r="T5" s="496" t="s">
        <v>6612</v>
      </c>
      <c r="U5" s="485"/>
      <c r="V5" s="497"/>
      <c r="CF5" s="393">
        <v>15</v>
      </c>
      <c r="CG5" s="393">
        <v>33.4</v>
      </c>
      <c r="CH5" s="388"/>
      <c r="CI5" s="388"/>
      <c r="CJ5" s="388" t="s">
        <v>328</v>
      </c>
      <c r="CK5" s="388" t="s">
        <v>82</v>
      </c>
      <c r="CL5" s="388">
        <v>380</v>
      </c>
      <c r="CM5" s="388" t="str">
        <f t="shared" si="0"/>
        <v>38 x 94-PVC</v>
      </c>
      <c r="CN5" s="388" t="s">
        <v>325</v>
      </c>
      <c r="CO5" s="388" t="s">
        <v>81</v>
      </c>
      <c r="CP5" s="388">
        <v>0.5</v>
      </c>
      <c r="CQ5" s="394" t="s">
        <v>342</v>
      </c>
      <c r="CR5" s="388">
        <v>1.4499999999999999E-3</v>
      </c>
      <c r="CS5" s="394" t="s">
        <v>373</v>
      </c>
      <c r="CT5" s="388">
        <v>2.9E-4</v>
      </c>
      <c r="CV5" s="388" t="str">
        <f t="shared" si="1"/>
        <v>38 x 94-5</v>
      </c>
      <c r="CW5" s="388" t="s">
        <v>325</v>
      </c>
      <c r="CX5" s="393">
        <v>5</v>
      </c>
      <c r="CY5" s="395" t="s">
        <v>392</v>
      </c>
      <c r="CZ5" s="396" t="s">
        <v>387</v>
      </c>
      <c r="DA5" s="395" t="s">
        <v>393</v>
      </c>
      <c r="DB5" s="393">
        <v>5.0000000000000001E-3</v>
      </c>
      <c r="DC5" s="388"/>
    </row>
    <row r="6" spans="2:107" x14ac:dyDescent="0.2">
      <c r="B6" s="403" t="s">
        <v>471</v>
      </c>
      <c r="C6" s="694">
        <f>IF('Manuf - BOM'!$I$28=0,"N/A",C5/'Manuf - BOM'!$I$28)</f>
        <v>4.4000000000000004</v>
      </c>
      <c r="D6" s="695"/>
      <c r="E6" s="405"/>
      <c r="F6" s="694">
        <f>IF('Manuf - BOM'!$I$28=0,"N/A",F5/'Manuf - BOM'!$I$28)</f>
        <v>0</v>
      </c>
      <c r="G6" s="695"/>
      <c r="H6" s="405"/>
      <c r="I6" s="694">
        <f>IF('Manuf - BOM'!$I$28=0,"N/A",I5/'Manuf - BOM'!$I$28)</f>
        <v>0</v>
      </c>
      <c r="J6" s="695"/>
      <c r="K6" s="406"/>
      <c r="L6" s="694">
        <f>IF('Manuf - BOM'!$I$28=0,"N/A",L5/'Manuf - BOM'!$I$28)</f>
        <v>0</v>
      </c>
      <c r="M6" s="695"/>
      <c r="N6" s="406"/>
      <c r="O6" s="694">
        <f>IF('Manuf - BOM'!$I$28=0,"N/A",O5/'Manuf - BOM'!$I$28)</f>
        <v>0</v>
      </c>
      <c r="P6" s="695"/>
      <c r="Q6" s="406"/>
      <c r="R6" s="407" t="str">
        <f>IF('[1]Manuf - BOM'!$I$28=0,"N/A",R5/'[1]Manuf - BOM'!$I$28)</f>
        <v>N/A</v>
      </c>
      <c r="T6" s="496" t="s">
        <v>6613</v>
      </c>
      <c r="U6" s="485"/>
      <c r="V6" s="497"/>
      <c r="CF6" s="393">
        <v>20</v>
      </c>
      <c r="CG6" s="393">
        <v>31.2</v>
      </c>
      <c r="CH6" s="388"/>
      <c r="CI6" s="388"/>
      <c r="CJ6" s="388" t="s">
        <v>329</v>
      </c>
      <c r="CK6" s="388" t="s">
        <v>83</v>
      </c>
      <c r="CL6" s="388">
        <v>455</v>
      </c>
      <c r="CM6" s="388" t="str">
        <f t="shared" si="0"/>
        <v>38 x 94-PVC/PVDC</v>
      </c>
      <c r="CN6" s="388" t="s">
        <v>325</v>
      </c>
      <c r="CO6" s="388" t="s">
        <v>82</v>
      </c>
      <c r="CP6" s="388">
        <v>0.6</v>
      </c>
      <c r="CQ6" s="394" t="s">
        <v>343</v>
      </c>
      <c r="CR6" s="388">
        <v>1.57E-3</v>
      </c>
      <c r="CS6" s="394" t="s">
        <v>373</v>
      </c>
      <c r="CT6" s="388">
        <v>2.9E-4</v>
      </c>
      <c r="CV6" s="388" t="str">
        <f t="shared" si="1"/>
        <v>38 x 94-10</v>
      </c>
      <c r="CW6" s="388" t="s">
        <v>325</v>
      </c>
      <c r="CX6" s="393">
        <v>10</v>
      </c>
      <c r="CY6" s="395" t="s">
        <v>394</v>
      </c>
      <c r="CZ6" s="396" t="s">
        <v>387</v>
      </c>
      <c r="DA6" s="395" t="s">
        <v>395</v>
      </c>
      <c r="DB6" s="393">
        <v>5.0000000000000001E-3</v>
      </c>
    </row>
    <row r="7" spans="2:107" ht="13.5" thickBot="1" x14ac:dyDescent="0.25">
      <c r="B7" s="403" t="s">
        <v>472</v>
      </c>
      <c r="C7" s="660">
        <f>IF('Manuf - BOM'!$I$28=0,"N/A",'Manuf - BOM'!$I$28/Packaging!C3)</f>
        <v>13500</v>
      </c>
      <c r="D7" s="699"/>
      <c r="E7" s="405"/>
      <c r="F7" s="660" t="e">
        <f>IF('Manuf - BOM'!$I$28=0,"N/A",'Manuf - BOM'!$I$28/Packaging!F3)</f>
        <v>#DIV/0!</v>
      </c>
      <c r="G7" s="699"/>
      <c r="H7" s="405"/>
      <c r="I7" s="660" t="e">
        <f>IF('Manuf - BOM'!$I$28=0,"N/A",'Manuf - BOM'!$I$28/Packaging!I3)</f>
        <v>#DIV/0!</v>
      </c>
      <c r="J7" s="699"/>
      <c r="K7" s="408"/>
      <c r="L7" s="660" t="e">
        <f>IF('Manuf - BOM'!$I$28=0,"N/A",'Manuf - BOM'!$I$28/Packaging!L3)</f>
        <v>#DIV/0!</v>
      </c>
      <c r="M7" s="699"/>
      <c r="N7" s="408"/>
      <c r="O7" s="660" t="e">
        <f>IF('Manuf - BOM'!$I$28=0,"N/A",'Manuf - BOM'!$I$28/Packaging!O3)</f>
        <v>#DIV/0!</v>
      </c>
      <c r="P7" s="699"/>
      <c r="Q7" s="409"/>
      <c r="R7" s="410"/>
      <c r="T7" s="496" t="s">
        <v>6614</v>
      </c>
      <c r="U7" s="485"/>
      <c r="V7" s="497"/>
      <c r="CF7" s="393">
        <v>25</v>
      </c>
      <c r="CG7" s="393">
        <v>29</v>
      </c>
      <c r="CH7" s="388"/>
      <c r="CI7" s="388"/>
      <c r="CJ7" s="388" t="s">
        <v>330</v>
      </c>
      <c r="CK7" s="388"/>
      <c r="CL7" s="388"/>
      <c r="CM7" s="388" t="str">
        <f t="shared" si="0"/>
        <v>38 x 94-Triplex</v>
      </c>
      <c r="CN7" s="388" t="s">
        <v>325</v>
      </c>
      <c r="CO7" s="388" t="s">
        <v>83</v>
      </c>
      <c r="CP7" s="388">
        <v>-99</v>
      </c>
      <c r="CQ7" s="394"/>
      <c r="CR7" s="388"/>
      <c r="CS7" s="394" t="s">
        <v>373</v>
      </c>
      <c r="CT7" s="388">
        <v>2.9E-4</v>
      </c>
      <c r="CV7" s="388" t="str">
        <f t="shared" si="1"/>
        <v>42 x 108-1</v>
      </c>
      <c r="CW7" s="388" t="s">
        <v>326</v>
      </c>
      <c r="CX7" s="393">
        <v>1</v>
      </c>
      <c r="CY7" s="395" t="s">
        <v>396</v>
      </c>
      <c r="CZ7" s="396" t="s">
        <v>387</v>
      </c>
      <c r="DA7" s="395" t="s">
        <v>397</v>
      </c>
      <c r="DB7" s="393">
        <v>7.0000000000000001E-3</v>
      </c>
    </row>
    <row r="8" spans="2:107" x14ac:dyDescent="0.2">
      <c r="B8" s="411"/>
      <c r="C8" s="412"/>
      <c r="D8" s="412"/>
      <c r="E8" s="413"/>
      <c r="F8" s="412"/>
      <c r="G8" s="412"/>
      <c r="H8" s="413"/>
      <c r="I8" s="412"/>
      <c r="J8" s="412"/>
      <c r="K8" s="414"/>
      <c r="L8" s="412"/>
      <c r="M8" s="412"/>
      <c r="N8" s="413"/>
      <c r="O8" s="412"/>
      <c r="P8" s="486"/>
      <c r="Q8" s="415"/>
      <c r="R8" s="415"/>
      <c r="T8" s="496" t="s">
        <v>6615</v>
      </c>
      <c r="U8" s="485"/>
      <c r="V8" s="497"/>
      <c r="CF8" s="393">
        <v>30</v>
      </c>
      <c r="CG8" s="393">
        <v>26.8</v>
      </c>
      <c r="CH8" s="388"/>
      <c r="CI8" s="388"/>
      <c r="CJ8" s="388" t="s">
        <v>331</v>
      </c>
      <c r="CK8" s="388"/>
      <c r="CL8" s="388"/>
      <c r="CM8" s="388" t="str">
        <f t="shared" si="0"/>
        <v>38 x 94-White PVDC</v>
      </c>
      <c r="CN8" s="388" t="s">
        <v>325</v>
      </c>
      <c r="CO8" s="388" t="s">
        <v>340</v>
      </c>
      <c r="CP8" s="388">
        <v>-99</v>
      </c>
      <c r="CQ8" s="394"/>
      <c r="CR8" s="388"/>
      <c r="CS8" s="394" t="s">
        <v>373</v>
      </c>
      <c r="CT8" s="388">
        <v>2.9E-4</v>
      </c>
      <c r="CV8" s="388" t="str">
        <f t="shared" si="1"/>
        <v>42 x 108-2</v>
      </c>
      <c r="CW8" s="388" t="s">
        <v>326</v>
      </c>
      <c r="CX8" s="393">
        <v>2</v>
      </c>
      <c r="CY8" s="395" t="s">
        <v>398</v>
      </c>
      <c r="CZ8" s="396" t="s">
        <v>387</v>
      </c>
      <c r="DA8" s="395" t="s">
        <v>399</v>
      </c>
      <c r="DB8" s="393">
        <v>2E-3</v>
      </c>
    </row>
    <row r="9" spans="2:107" x14ac:dyDescent="0.2">
      <c r="B9" s="403" t="s">
        <v>469</v>
      </c>
      <c r="C9" s="658">
        <f>'Manuf - BOM'!I28/24*Simulator!R11/100*(1-Simulator!R5/100)</f>
        <v>13362</v>
      </c>
      <c r="D9" s="671"/>
      <c r="E9" s="474"/>
      <c r="F9" s="658"/>
      <c r="G9" s="671"/>
      <c r="H9" s="474"/>
      <c r="I9" s="658"/>
      <c r="J9" s="671"/>
      <c r="K9" s="475"/>
      <c r="L9" s="658"/>
      <c r="M9" s="671"/>
      <c r="N9" s="476"/>
      <c r="O9" s="658"/>
      <c r="P9" s="659"/>
      <c r="Q9" s="416"/>
      <c r="R9" s="416"/>
      <c r="T9" s="496" t="s">
        <v>6616</v>
      </c>
      <c r="U9" s="485"/>
      <c r="V9" s="497"/>
      <c r="CF9" s="393">
        <v>35</v>
      </c>
      <c r="CG9" s="393">
        <v>24.6</v>
      </c>
      <c r="CH9" s="388"/>
      <c r="CI9" s="388"/>
      <c r="CJ9" s="388" t="s">
        <v>332</v>
      </c>
      <c r="CK9" s="388"/>
      <c r="CL9" s="388"/>
      <c r="CM9" s="388" t="str">
        <f t="shared" si="0"/>
        <v>42 x 108-Aclar 3000</v>
      </c>
      <c r="CN9" s="388" t="s">
        <v>326</v>
      </c>
      <c r="CO9" s="388" t="s">
        <v>339</v>
      </c>
      <c r="CP9" s="388">
        <v>1</v>
      </c>
      <c r="CQ9" s="394" t="s">
        <v>344</v>
      </c>
      <c r="CR9" s="388">
        <v>2.5899999999999999E-3</v>
      </c>
      <c r="CS9" s="394" t="s">
        <v>374</v>
      </c>
      <c r="CT9" s="388">
        <v>3.3100000000000002E-4</v>
      </c>
      <c r="CV9" s="388" t="str">
        <f t="shared" si="1"/>
        <v>42 x 108-3</v>
      </c>
      <c r="CW9" s="388" t="s">
        <v>326</v>
      </c>
      <c r="CX9" s="393">
        <v>3</v>
      </c>
      <c r="CY9" s="395" t="s">
        <v>400</v>
      </c>
      <c r="CZ9" s="396" t="s">
        <v>387</v>
      </c>
      <c r="DA9" s="395" t="s">
        <v>399</v>
      </c>
      <c r="DB9" s="393">
        <v>3.0000000000000001E-3</v>
      </c>
    </row>
    <row r="10" spans="2:107" x14ac:dyDescent="0.2">
      <c r="B10" s="403" t="s">
        <v>470</v>
      </c>
      <c r="C10" s="694">
        <f>C4/C9</f>
        <v>4.5</v>
      </c>
      <c r="D10" s="695"/>
      <c r="E10" s="405"/>
      <c r="F10" s="694" t="e">
        <f>F4/F9</f>
        <v>#DIV/0!</v>
      </c>
      <c r="G10" s="695"/>
      <c r="H10" s="405"/>
      <c r="I10" s="694" t="e">
        <f>I4/I9</f>
        <v>#DIV/0!</v>
      </c>
      <c r="J10" s="695"/>
      <c r="K10" s="414"/>
      <c r="L10" s="694" t="e">
        <f>L4/L9</f>
        <v>#DIV/0!</v>
      </c>
      <c r="M10" s="695"/>
      <c r="N10" s="406"/>
      <c r="O10" s="694" t="e">
        <f>O4/O9</f>
        <v>#DIV/0!</v>
      </c>
      <c r="P10" s="696"/>
      <c r="Q10" s="416"/>
      <c r="R10" s="417"/>
      <c r="T10" s="496" t="s">
        <v>6617</v>
      </c>
      <c r="U10" s="485"/>
      <c r="V10" s="497"/>
      <c r="CF10" s="393">
        <v>40</v>
      </c>
      <c r="CG10" s="393">
        <v>22.4</v>
      </c>
      <c r="CH10" s="388"/>
      <c r="CI10" s="388"/>
      <c r="CJ10" s="388" t="s">
        <v>333</v>
      </c>
      <c r="CK10" s="388"/>
      <c r="CL10" s="388"/>
      <c r="CM10" s="388" t="str">
        <f>CN10&amp;"-"&amp;CO10</f>
        <v>42 x 108-Amber PVDC</v>
      </c>
      <c r="CN10" s="388" t="s">
        <v>326</v>
      </c>
      <c r="CO10" s="388" t="s">
        <v>337</v>
      </c>
      <c r="CP10" s="388">
        <v>0.6</v>
      </c>
      <c r="CQ10" s="394" t="s">
        <v>349</v>
      </c>
      <c r="CR10" s="388">
        <v>1.98E-3</v>
      </c>
      <c r="CS10" s="394" t="s">
        <v>374</v>
      </c>
      <c r="CT10" s="388">
        <v>3.3100000000000002E-4</v>
      </c>
      <c r="CV10" s="388" t="str">
        <f t="shared" si="1"/>
        <v>42 x 108-4</v>
      </c>
      <c r="CW10" s="388" t="s">
        <v>326</v>
      </c>
      <c r="CX10" s="393">
        <v>4</v>
      </c>
      <c r="CY10" s="395" t="s">
        <v>401</v>
      </c>
      <c r="CZ10" s="396" t="s">
        <v>387</v>
      </c>
      <c r="DA10" s="395" t="s">
        <v>402</v>
      </c>
      <c r="DB10" s="393">
        <v>3.0000000000000001E-3</v>
      </c>
    </row>
    <row r="11" spans="2:107" x14ac:dyDescent="0.2">
      <c r="B11" s="403" t="s">
        <v>95</v>
      </c>
      <c r="C11" s="691" t="s">
        <v>6618</v>
      </c>
      <c r="D11" s="692"/>
      <c r="E11" s="477"/>
      <c r="F11" s="691" t="s">
        <v>6618</v>
      </c>
      <c r="G11" s="692"/>
      <c r="H11" s="478"/>
      <c r="I11" s="691" t="s">
        <v>6618</v>
      </c>
      <c r="J11" s="692"/>
      <c r="K11" s="475"/>
      <c r="L11" s="691" t="s">
        <v>6618</v>
      </c>
      <c r="M11" s="692"/>
      <c r="N11" s="476"/>
      <c r="O11" s="691" t="s">
        <v>6618</v>
      </c>
      <c r="P11" s="693"/>
      <c r="Q11" s="416"/>
      <c r="R11" s="416"/>
      <c r="T11" s="496" t="s">
        <v>6619</v>
      </c>
      <c r="U11" s="485"/>
      <c r="V11" s="497"/>
      <c r="CF11" s="393">
        <v>45</v>
      </c>
      <c r="CG11" s="393">
        <v>20.2</v>
      </c>
      <c r="CH11" s="388"/>
      <c r="CI11" s="388"/>
      <c r="CJ11" s="388" t="s">
        <v>334</v>
      </c>
      <c r="CK11" s="388"/>
      <c r="CL11" s="388"/>
      <c r="CM11" s="388" t="str">
        <f t="shared" si="0"/>
        <v>42 x 108-Coldform</v>
      </c>
      <c r="CN11" s="388" t="s">
        <v>326</v>
      </c>
      <c r="CO11" s="388" t="s">
        <v>338</v>
      </c>
      <c r="CP11" s="388">
        <v>0.8</v>
      </c>
      <c r="CQ11" s="394" t="s">
        <v>346</v>
      </c>
      <c r="CR11" s="388">
        <v>1.2600000000000001E-3</v>
      </c>
      <c r="CS11" s="394" t="s">
        <v>374</v>
      </c>
      <c r="CT11" s="388">
        <v>3.3100000000000002E-4</v>
      </c>
      <c r="CV11" s="388" t="str">
        <f t="shared" si="1"/>
        <v>42 x 108-5</v>
      </c>
      <c r="CW11" s="388" t="s">
        <v>326</v>
      </c>
      <c r="CX11" s="393">
        <v>5</v>
      </c>
      <c r="CY11" s="395" t="s">
        <v>403</v>
      </c>
      <c r="CZ11" s="396" t="s">
        <v>387</v>
      </c>
      <c r="DA11" s="395" t="s">
        <v>399</v>
      </c>
      <c r="DB11" s="393">
        <v>3.0000000000000001E-3</v>
      </c>
    </row>
    <row r="12" spans="2:107" x14ac:dyDescent="0.2">
      <c r="B12" s="420"/>
      <c r="C12" s="689">
        <f>IF(C11="Full",DataSheet!$E$22,DataSheet!$E$23)</f>
        <v>30</v>
      </c>
      <c r="D12" s="689"/>
      <c r="E12" s="421"/>
      <c r="F12" s="689">
        <f>IF(F11="Full",DataSheet!$E$22,DataSheet!$E$23)</f>
        <v>30</v>
      </c>
      <c r="G12" s="689"/>
      <c r="H12" s="422"/>
      <c r="I12" s="689">
        <f>IF(I11="Full",DataSheet!$E$22,DataSheet!$E$23)</f>
        <v>30</v>
      </c>
      <c r="J12" s="689"/>
      <c r="K12" s="423"/>
      <c r="L12" s="689">
        <f>IF(L11="Full",DataSheet!$E$22,DataSheet!$E$23)</f>
        <v>30</v>
      </c>
      <c r="M12" s="689"/>
      <c r="N12" s="424"/>
      <c r="O12" s="689">
        <f>IF(O11="Full",DataSheet!$E$22,DataSheet!$E$23)</f>
        <v>30</v>
      </c>
      <c r="P12" s="690"/>
      <c r="Q12" s="416"/>
      <c r="R12" s="417"/>
      <c r="T12" s="496" t="s">
        <v>6620</v>
      </c>
      <c r="U12" s="485"/>
      <c r="V12" s="497"/>
      <c r="CF12" s="393">
        <v>50</v>
      </c>
      <c r="CG12" s="393">
        <v>18</v>
      </c>
      <c r="CH12" s="388"/>
      <c r="CI12" s="388"/>
      <c r="CJ12" s="388" t="s">
        <v>335</v>
      </c>
      <c r="CK12" s="388"/>
      <c r="CL12" s="388"/>
      <c r="CM12" s="388" t="str">
        <f t="shared" si="0"/>
        <v>42 x 108-PVC</v>
      </c>
      <c r="CN12" s="388" t="s">
        <v>326</v>
      </c>
      <c r="CO12" s="388" t="s">
        <v>81</v>
      </c>
      <c r="CP12" s="388">
        <v>0.6</v>
      </c>
      <c r="CQ12" s="394" t="s">
        <v>347</v>
      </c>
      <c r="CR12" s="388">
        <v>1.7700000000000001E-3</v>
      </c>
      <c r="CS12" s="394" t="s">
        <v>374</v>
      </c>
      <c r="CT12" s="388">
        <v>3.3100000000000002E-4</v>
      </c>
      <c r="CV12" s="388" t="str">
        <f t="shared" si="1"/>
        <v>42 x 108-6</v>
      </c>
      <c r="CW12" s="388" t="s">
        <v>326</v>
      </c>
      <c r="CX12" s="393">
        <v>6</v>
      </c>
      <c r="CY12" s="395" t="s">
        <v>404</v>
      </c>
      <c r="CZ12" s="396" t="s">
        <v>387</v>
      </c>
      <c r="DA12" s="395" t="s">
        <v>405</v>
      </c>
      <c r="DB12" s="393">
        <v>8.0000000000000002E-3</v>
      </c>
    </row>
    <row r="13" spans="2:107" x14ac:dyDescent="0.2">
      <c r="B13" s="403" t="s">
        <v>69</v>
      </c>
      <c r="C13" s="691" t="s">
        <v>82</v>
      </c>
      <c r="D13" s="692"/>
      <c r="E13" s="477"/>
      <c r="F13" s="691"/>
      <c r="G13" s="692"/>
      <c r="H13" s="478"/>
      <c r="I13" s="691"/>
      <c r="J13" s="692"/>
      <c r="K13" s="475"/>
      <c r="L13" s="691"/>
      <c r="M13" s="692"/>
      <c r="N13" s="476"/>
      <c r="O13" s="691"/>
      <c r="P13" s="693"/>
      <c r="Q13" s="416"/>
      <c r="R13" s="416"/>
      <c r="T13" s="496" t="s">
        <v>6621</v>
      </c>
      <c r="U13" s="485"/>
      <c r="V13" s="497"/>
      <c r="CF13" s="393">
        <v>55</v>
      </c>
      <c r="CG13" s="393">
        <v>16.399999999999999</v>
      </c>
      <c r="CH13" s="388"/>
      <c r="CI13" s="388"/>
      <c r="CJ13" s="388" t="s">
        <v>336</v>
      </c>
      <c r="CK13" s="388"/>
      <c r="CL13" s="388"/>
      <c r="CM13" s="388" t="str">
        <f t="shared" si="0"/>
        <v>42 x 108-PVC/PVDC</v>
      </c>
      <c r="CN13" s="388" t="s">
        <v>326</v>
      </c>
      <c r="CO13" s="388" t="s">
        <v>82</v>
      </c>
      <c r="CP13" s="388">
        <v>0.6</v>
      </c>
      <c r="CQ13" s="394" t="s">
        <v>348</v>
      </c>
      <c r="CR13" s="388">
        <v>1.98E-3</v>
      </c>
      <c r="CS13" s="394" t="s">
        <v>374</v>
      </c>
      <c r="CT13" s="388">
        <v>3.3100000000000002E-4</v>
      </c>
      <c r="CV13" s="388" t="str">
        <f t="shared" si="1"/>
        <v>42 x 108-8</v>
      </c>
      <c r="CW13" s="388" t="s">
        <v>326</v>
      </c>
      <c r="CX13" s="393">
        <v>8</v>
      </c>
      <c r="CY13" s="395" t="s">
        <v>406</v>
      </c>
      <c r="CZ13" s="396" t="s">
        <v>387</v>
      </c>
      <c r="DA13" s="395" t="s">
        <v>407</v>
      </c>
      <c r="DB13" s="393">
        <v>7.0000000000000001E-3</v>
      </c>
    </row>
    <row r="14" spans="2:107" ht="13.5" hidden="1" thickBot="1" x14ac:dyDescent="0.25">
      <c r="B14" s="425" t="s">
        <v>6623</v>
      </c>
      <c r="C14" s="656">
        <f>VLOOKUP($C13,$CK1:$CL6,2, FALSE)</f>
        <v>380</v>
      </c>
      <c r="D14" s="670"/>
      <c r="E14" s="418"/>
      <c r="F14" s="656">
        <f>VLOOKUP($C13,$CK1:$CL6,2, FALSE)</f>
        <v>380</v>
      </c>
      <c r="G14" s="670"/>
      <c r="H14" s="419"/>
      <c r="I14" s="656">
        <f>VLOOKUP($C13,$CK1:$CL6,2, FALSE)</f>
        <v>380</v>
      </c>
      <c r="J14" s="670"/>
      <c r="K14" s="414"/>
      <c r="L14" s="656">
        <f>VLOOKUP($C13,$CK1:$CL6,2, FALSE)</f>
        <v>380</v>
      </c>
      <c r="M14" s="670"/>
      <c r="N14" s="406"/>
      <c r="O14" s="656">
        <f>VLOOKUP($C13,$CK1:$CL6,2, FALSE)</f>
        <v>380</v>
      </c>
      <c r="P14" s="657"/>
      <c r="Q14" s="416"/>
      <c r="R14" s="416"/>
      <c r="T14" s="498" t="s">
        <v>6622</v>
      </c>
      <c r="U14" s="499"/>
      <c r="V14" s="500"/>
      <c r="CF14" s="393">
        <v>60</v>
      </c>
      <c r="CG14" s="393">
        <v>14.8</v>
      </c>
      <c r="CH14" s="388"/>
      <c r="CI14" s="388"/>
      <c r="CJ14" s="388"/>
      <c r="CK14" s="388"/>
      <c r="CL14" s="388"/>
      <c r="CM14" s="388" t="str">
        <f t="shared" si="0"/>
        <v>42 x 108-Triplex</v>
      </c>
      <c r="CN14" s="388" t="s">
        <v>326</v>
      </c>
      <c r="CO14" s="388" t="s">
        <v>83</v>
      </c>
      <c r="CP14" s="388">
        <v>-99</v>
      </c>
      <c r="CQ14" s="394"/>
      <c r="CR14" s="388"/>
      <c r="CS14" s="394" t="s">
        <v>374</v>
      </c>
      <c r="CT14" s="388">
        <v>3.3100000000000002E-4</v>
      </c>
      <c r="CV14" s="388" t="str">
        <f t="shared" si="1"/>
        <v>46 x 116-2</v>
      </c>
      <c r="CW14" s="388" t="s">
        <v>327</v>
      </c>
      <c r="CX14" s="393">
        <v>2</v>
      </c>
      <c r="CY14" s="395" t="s">
        <v>408</v>
      </c>
      <c r="CZ14" s="396" t="s">
        <v>387</v>
      </c>
      <c r="DA14" s="395" t="s">
        <v>409</v>
      </c>
      <c r="DB14" s="393">
        <v>3.0000000000000001E-3</v>
      </c>
    </row>
    <row r="15" spans="2:107" x14ac:dyDescent="0.2">
      <c r="B15" s="425" t="s">
        <v>6624</v>
      </c>
      <c r="C15" s="658">
        <v>108</v>
      </c>
      <c r="D15" s="671"/>
      <c r="E15" s="477"/>
      <c r="F15" s="658"/>
      <c r="G15" s="671"/>
      <c r="H15" s="478"/>
      <c r="I15" s="658"/>
      <c r="J15" s="671"/>
      <c r="K15" s="475"/>
      <c r="L15" s="658"/>
      <c r="M15" s="671"/>
      <c r="N15" s="476"/>
      <c r="O15" s="658"/>
      <c r="P15" s="659"/>
      <c r="Q15" s="416"/>
      <c r="R15" s="416"/>
      <c r="CF15" s="393">
        <v>65</v>
      </c>
      <c r="CG15" s="393">
        <v>13.2</v>
      </c>
      <c r="CH15" s="388"/>
      <c r="CI15" s="388"/>
      <c r="CJ15" s="388"/>
      <c r="CK15" s="388"/>
      <c r="CL15" s="388"/>
      <c r="CM15" s="388" t="str">
        <f t="shared" si="0"/>
        <v>42 x 108-White PVDC</v>
      </c>
      <c r="CN15" s="388" t="s">
        <v>326</v>
      </c>
      <c r="CO15" s="388" t="s">
        <v>340</v>
      </c>
      <c r="CP15" s="388">
        <v>0.6</v>
      </c>
      <c r="CQ15" s="394" t="s">
        <v>345</v>
      </c>
      <c r="CR15" s="388">
        <v>1.98E-3</v>
      </c>
      <c r="CS15" s="394" t="s">
        <v>374</v>
      </c>
      <c r="CT15" s="388">
        <v>3.3100000000000002E-4</v>
      </c>
      <c r="CV15" s="388" t="str">
        <f t="shared" si="1"/>
        <v>46 x 116-3</v>
      </c>
      <c r="CW15" s="388" t="s">
        <v>327</v>
      </c>
      <c r="CX15" s="393">
        <v>3</v>
      </c>
      <c r="CY15" s="395" t="s">
        <v>410</v>
      </c>
      <c r="CZ15" s="396" t="s">
        <v>387</v>
      </c>
      <c r="DA15" s="395" t="s">
        <v>411</v>
      </c>
      <c r="DB15" s="393">
        <v>3.0000000000000001E-3</v>
      </c>
    </row>
    <row r="16" spans="2:107" hidden="1" x14ac:dyDescent="0.2">
      <c r="B16" s="425" t="s">
        <v>6625</v>
      </c>
      <c r="C16" s="660">
        <f>IF(C15="","", C15+8)</f>
        <v>116</v>
      </c>
      <c r="D16" s="670"/>
      <c r="E16" s="418"/>
      <c r="F16" s="660" t="str">
        <f>IF(F15="","", F15+8)</f>
        <v/>
      </c>
      <c r="G16" s="670"/>
      <c r="H16" s="419"/>
      <c r="I16" s="660" t="str">
        <f>IF(I15="","", I15+8)</f>
        <v/>
      </c>
      <c r="J16" s="670"/>
      <c r="K16" s="414"/>
      <c r="L16" s="660" t="str">
        <f>IF(L15="","", L15+8)</f>
        <v/>
      </c>
      <c r="M16" s="670"/>
      <c r="N16" s="406"/>
      <c r="O16" s="660" t="str">
        <f>IF(O15="","", O15+8)</f>
        <v/>
      </c>
      <c r="P16" s="657"/>
      <c r="Q16" s="416"/>
      <c r="R16" s="416"/>
      <c r="CF16" s="393">
        <v>70</v>
      </c>
      <c r="CG16" s="393">
        <v>11.6</v>
      </c>
      <c r="CH16" s="388"/>
      <c r="CI16" s="388"/>
      <c r="CJ16" s="388"/>
      <c r="CK16" s="388"/>
      <c r="CL16" s="388"/>
      <c r="CM16" s="388" t="str">
        <f t="shared" si="0"/>
        <v>46 x 116-Aclar 3000</v>
      </c>
      <c r="CN16" s="388" t="s">
        <v>327</v>
      </c>
      <c r="CO16" s="388" t="s">
        <v>339</v>
      </c>
      <c r="CP16" s="388">
        <v>1</v>
      </c>
      <c r="CQ16" s="394" t="s">
        <v>350</v>
      </c>
      <c r="CR16" s="388">
        <v>3.9699999999999996E-3</v>
      </c>
      <c r="CS16" s="394" t="s">
        <v>375</v>
      </c>
      <c r="CT16" s="388">
        <v>3.8999999999999999E-4</v>
      </c>
      <c r="CV16" s="388" t="str">
        <f t="shared" si="1"/>
        <v>52 x 108-1</v>
      </c>
      <c r="CW16" s="388" t="s">
        <v>328</v>
      </c>
      <c r="CX16" s="393">
        <v>1</v>
      </c>
      <c r="CY16" s="395" t="s">
        <v>412</v>
      </c>
      <c r="CZ16" s="396" t="s">
        <v>387</v>
      </c>
      <c r="DA16" s="395" t="s">
        <v>413</v>
      </c>
      <c r="DB16" s="393">
        <v>4.0000000000000001E-3</v>
      </c>
    </row>
    <row r="17" spans="2:106" hidden="1" x14ac:dyDescent="0.2">
      <c r="B17" s="425" t="s">
        <v>6626</v>
      </c>
      <c r="C17" s="660">
        <f>IF(C15="","", C15+10)</f>
        <v>118</v>
      </c>
      <c r="D17" s="670"/>
      <c r="E17" s="418"/>
      <c r="F17" s="660" t="str">
        <f>IF(F15="","", F15+10)</f>
        <v/>
      </c>
      <c r="G17" s="670"/>
      <c r="H17" s="419"/>
      <c r="I17" s="660" t="str">
        <f>IF(I15="","", I15+10)</f>
        <v/>
      </c>
      <c r="J17" s="670"/>
      <c r="K17" s="414"/>
      <c r="L17" s="660" t="str">
        <f>IF(L15="","", L15+10)</f>
        <v/>
      </c>
      <c r="M17" s="670"/>
      <c r="N17" s="406"/>
      <c r="O17" s="660" t="str">
        <f>IF(O15="","", O15+10)</f>
        <v/>
      </c>
      <c r="P17" s="657"/>
      <c r="Q17" s="416"/>
      <c r="R17" s="416"/>
      <c r="CF17" s="393">
        <v>75</v>
      </c>
      <c r="CG17" s="393">
        <v>9.9999999999999893</v>
      </c>
      <c r="CH17" s="388"/>
      <c r="CI17" s="388"/>
      <c r="CJ17" s="388"/>
      <c r="CK17" s="388"/>
      <c r="CL17" s="388"/>
      <c r="CM17" s="388" t="str">
        <f t="shared" si="0"/>
        <v>46 x 116-Amber PVDC</v>
      </c>
      <c r="CN17" s="388" t="s">
        <v>327</v>
      </c>
      <c r="CO17" s="388" t="s">
        <v>337</v>
      </c>
      <c r="CP17" s="388">
        <v>-99</v>
      </c>
      <c r="CQ17" s="394"/>
      <c r="CR17" s="388"/>
      <c r="CS17" s="394" t="s">
        <v>375</v>
      </c>
      <c r="CT17" s="388">
        <v>3.8999999999999999E-4</v>
      </c>
      <c r="CV17" s="388" t="str">
        <f t="shared" si="1"/>
        <v>52 x 108-2</v>
      </c>
      <c r="CW17" s="388" t="s">
        <v>328</v>
      </c>
      <c r="CX17" s="393">
        <v>2</v>
      </c>
      <c r="CY17" s="395" t="s">
        <v>414</v>
      </c>
      <c r="CZ17" s="396" t="s">
        <v>387</v>
      </c>
      <c r="DA17" s="395" t="s">
        <v>415</v>
      </c>
      <c r="DB17" s="393">
        <v>7.0000000000000001E-3</v>
      </c>
    </row>
    <row r="18" spans="2:106" x14ac:dyDescent="0.2">
      <c r="B18" s="403" t="s">
        <v>6627</v>
      </c>
      <c r="C18" s="658">
        <v>42</v>
      </c>
      <c r="D18" s="671"/>
      <c r="E18" s="477"/>
      <c r="F18" s="658"/>
      <c r="G18" s="671"/>
      <c r="H18" s="478"/>
      <c r="I18" s="658"/>
      <c r="J18" s="671"/>
      <c r="K18" s="475"/>
      <c r="L18" s="658"/>
      <c r="M18" s="671"/>
      <c r="N18" s="476"/>
      <c r="O18" s="658"/>
      <c r="P18" s="659"/>
      <c r="Q18" s="416"/>
      <c r="R18" s="416"/>
      <c r="CF18" s="393">
        <v>80</v>
      </c>
      <c r="CG18" s="393">
        <v>8.3999999999999897</v>
      </c>
      <c r="CH18" s="388"/>
      <c r="CI18" s="388"/>
      <c r="CJ18" s="388"/>
      <c r="CK18" s="388"/>
      <c r="CL18" s="388"/>
      <c r="CM18" s="388" t="str">
        <f t="shared" si="0"/>
        <v>46 x 116-Coldform</v>
      </c>
      <c r="CN18" s="388" t="s">
        <v>327</v>
      </c>
      <c r="CO18" s="388" t="s">
        <v>338</v>
      </c>
      <c r="CP18" s="388">
        <v>0.8</v>
      </c>
      <c r="CQ18" s="394" t="s">
        <v>351</v>
      </c>
      <c r="CR18" s="388">
        <v>1.47E-3</v>
      </c>
      <c r="CS18" s="394" t="s">
        <v>375</v>
      </c>
      <c r="CT18" s="388">
        <v>3.8999999999999999E-4</v>
      </c>
      <c r="CV18" s="388" t="str">
        <f t="shared" si="1"/>
        <v>52 x 108-5</v>
      </c>
      <c r="CW18" s="388" t="s">
        <v>328</v>
      </c>
      <c r="CX18" s="393">
        <v>5</v>
      </c>
      <c r="CY18" s="395" t="s">
        <v>416</v>
      </c>
      <c r="CZ18" s="396" t="s">
        <v>387</v>
      </c>
      <c r="DA18" s="395" t="s">
        <v>417</v>
      </c>
      <c r="DB18" s="393">
        <v>1.7000000000000001E-2</v>
      </c>
    </row>
    <row r="19" spans="2:106" x14ac:dyDescent="0.2">
      <c r="B19" s="403" t="s">
        <v>6628</v>
      </c>
      <c r="C19" s="658" t="s">
        <v>6607</v>
      </c>
      <c r="D19" s="672"/>
      <c r="E19" s="477"/>
      <c r="F19" s="658"/>
      <c r="G19" s="672"/>
      <c r="H19" s="478"/>
      <c r="I19" s="658"/>
      <c r="J19" s="672"/>
      <c r="K19" s="475"/>
      <c r="L19" s="658"/>
      <c r="M19" s="672"/>
      <c r="N19" s="476"/>
      <c r="O19" s="658"/>
      <c r="P19" s="661"/>
      <c r="Q19" s="416"/>
      <c r="R19" s="416"/>
      <c r="CF19" s="393">
        <v>85</v>
      </c>
      <c r="CG19" s="393">
        <v>6.8</v>
      </c>
      <c r="CH19" s="388"/>
      <c r="CI19" s="388"/>
      <c r="CJ19" s="388"/>
      <c r="CK19" s="388"/>
      <c r="CL19" s="388"/>
      <c r="CM19" s="388" t="str">
        <f t="shared" si="0"/>
        <v>46 x 116-PVC</v>
      </c>
      <c r="CN19" s="388" t="s">
        <v>327</v>
      </c>
      <c r="CO19" s="388" t="s">
        <v>81</v>
      </c>
      <c r="CP19" s="388">
        <v>-99</v>
      </c>
      <c r="CQ19" s="394" t="s">
        <v>482</v>
      </c>
      <c r="CR19" s="388"/>
      <c r="CS19" s="394" t="s">
        <v>375</v>
      </c>
      <c r="CT19" s="388">
        <v>3.8999999999999999E-4</v>
      </c>
      <c r="CV19" s="388" t="str">
        <f t="shared" si="1"/>
        <v>60 x 100-1</v>
      </c>
      <c r="CW19" s="388" t="s">
        <v>329</v>
      </c>
      <c r="CX19" s="393">
        <v>1</v>
      </c>
      <c r="CY19" s="395" t="s">
        <v>418</v>
      </c>
      <c r="CZ19" s="396" t="s">
        <v>423</v>
      </c>
      <c r="DA19" s="395" t="s">
        <v>419</v>
      </c>
      <c r="DB19" s="393">
        <v>5.0000000000000001E-3</v>
      </c>
    </row>
    <row r="20" spans="2:106" hidden="1" x14ac:dyDescent="0.2">
      <c r="B20" s="425" t="s">
        <v>6629</v>
      </c>
      <c r="C20" s="662">
        <f>VLOOKUP($C19,$CH2:$CI3,2, FALSE)</f>
        <v>15.4</v>
      </c>
      <c r="D20" s="673"/>
      <c r="E20" s="418"/>
      <c r="F20" s="662">
        <f>VLOOKUP($C19,$CH2:$CI3,2, FALSE)</f>
        <v>15.4</v>
      </c>
      <c r="G20" s="673"/>
      <c r="H20" s="419"/>
      <c r="I20" s="662">
        <f>VLOOKUP($C19,$CH2:$CI3,2, FALSE)</f>
        <v>15.4</v>
      </c>
      <c r="J20" s="673"/>
      <c r="K20" s="414"/>
      <c r="L20" s="662">
        <f>VLOOKUP($C19,$CH2:$CI3,2, FALSE)</f>
        <v>15.4</v>
      </c>
      <c r="M20" s="673"/>
      <c r="N20" s="406"/>
      <c r="O20" s="662">
        <f>VLOOKUP($C19,$CH2:$CI3,2, FALSE)</f>
        <v>15.4</v>
      </c>
      <c r="P20" s="663"/>
      <c r="Q20" s="416"/>
      <c r="R20" s="416"/>
      <c r="CF20" s="393">
        <v>90</v>
      </c>
      <c r="CG20" s="393">
        <v>5.2</v>
      </c>
      <c r="CH20" s="388"/>
      <c r="CI20" s="388"/>
      <c r="CJ20" s="388"/>
      <c r="CK20" s="388"/>
      <c r="CL20" s="388"/>
      <c r="CM20" s="388" t="str">
        <f t="shared" si="0"/>
        <v>46 x 116-PVC/PVDC</v>
      </c>
      <c r="CN20" s="388" t="s">
        <v>327</v>
      </c>
      <c r="CO20" s="388" t="s">
        <v>82</v>
      </c>
      <c r="CP20" s="388">
        <v>0.6</v>
      </c>
      <c r="CQ20" s="394" t="s">
        <v>352</v>
      </c>
      <c r="CR20" s="388">
        <v>2.31E-3</v>
      </c>
      <c r="CS20" s="394" t="s">
        <v>375</v>
      </c>
      <c r="CT20" s="388">
        <v>3.8999999999999999E-4</v>
      </c>
      <c r="CV20" s="388" t="str">
        <f t="shared" si="1"/>
        <v>60 x 100-2</v>
      </c>
      <c r="CW20" s="388" t="s">
        <v>329</v>
      </c>
      <c r="CX20" s="393">
        <v>2</v>
      </c>
      <c r="CY20" s="395" t="s">
        <v>420</v>
      </c>
      <c r="CZ20" s="396" t="s">
        <v>387</v>
      </c>
      <c r="DA20" s="395" t="s">
        <v>421</v>
      </c>
      <c r="DB20" s="393">
        <v>4.0000000000000001E-3</v>
      </c>
    </row>
    <row r="21" spans="2:106" hidden="1" x14ac:dyDescent="0.2">
      <c r="B21" s="403" t="s">
        <v>6630</v>
      </c>
      <c r="C21" s="656">
        <f>ROUNDDOWN(DataSheet!$E$24/C18,0)</f>
        <v>3</v>
      </c>
      <c r="D21" s="670"/>
      <c r="E21" s="418"/>
      <c r="F21" s="656" t="e">
        <f>ROUNDDOWN(DataSheet!$E$24/F18,0)</f>
        <v>#DIV/0!</v>
      </c>
      <c r="G21" s="670"/>
      <c r="H21" s="419"/>
      <c r="I21" s="656" t="e">
        <f>ROUNDDOWN(DataSheet!$E$24/I18,0)</f>
        <v>#DIV/0!</v>
      </c>
      <c r="J21" s="670"/>
      <c r="K21" s="414"/>
      <c r="L21" s="656" t="e">
        <f>ROUNDDOWN(DataSheet!$E$24/L18,0)</f>
        <v>#DIV/0!</v>
      </c>
      <c r="M21" s="670"/>
      <c r="N21" s="406"/>
      <c r="O21" s="656" t="e">
        <f>ROUNDDOWN(DataSheet!$E$24/O18,0)</f>
        <v>#DIV/0!</v>
      </c>
      <c r="P21" s="657"/>
      <c r="Q21" s="416"/>
      <c r="R21" s="416"/>
      <c r="CF21" s="393">
        <v>95</v>
      </c>
      <c r="CG21" s="393">
        <v>3.6</v>
      </c>
      <c r="CH21" s="388"/>
      <c r="CI21" s="388"/>
      <c r="CJ21" s="388"/>
      <c r="CK21" s="388"/>
      <c r="CL21" s="388"/>
      <c r="CM21" s="388" t="str">
        <f t="shared" si="0"/>
        <v>46 x 116-Triplex</v>
      </c>
      <c r="CN21" s="388" t="s">
        <v>327</v>
      </c>
      <c r="CO21" s="388" t="s">
        <v>83</v>
      </c>
      <c r="CP21" s="388">
        <v>0.8</v>
      </c>
      <c r="CQ21" s="394" t="s">
        <v>353</v>
      </c>
      <c r="CR21" s="388">
        <v>2.6900000000000001E-3</v>
      </c>
      <c r="CS21" s="394" t="s">
        <v>375</v>
      </c>
      <c r="CT21" s="388">
        <v>3.8999999999999999E-4</v>
      </c>
      <c r="CV21" s="388" t="str">
        <f t="shared" si="1"/>
        <v>60 x 100-3</v>
      </c>
      <c r="CW21" s="388" t="s">
        <v>329</v>
      </c>
      <c r="CX21" s="393">
        <v>3</v>
      </c>
      <c r="CY21" s="395" t="s">
        <v>422</v>
      </c>
      <c r="CZ21" s="396" t="s">
        <v>423</v>
      </c>
      <c r="DA21" s="395" t="s">
        <v>424</v>
      </c>
      <c r="DB21" s="393">
        <v>7.0000000000000001E-3</v>
      </c>
    </row>
    <row r="22" spans="2:106" x14ac:dyDescent="0.2">
      <c r="B22" s="425" t="s">
        <v>6631</v>
      </c>
      <c r="C22" s="686">
        <v>2</v>
      </c>
      <c r="D22" s="687"/>
      <c r="E22" s="479"/>
      <c r="F22" s="686"/>
      <c r="G22" s="687"/>
      <c r="H22" s="480"/>
      <c r="I22" s="686"/>
      <c r="J22" s="687"/>
      <c r="K22" s="475"/>
      <c r="L22" s="686"/>
      <c r="M22" s="687"/>
      <c r="N22" s="476"/>
      <c r="O22" s="686"/>
      <c r="P22" s="688"/>
      <c r="Q22" s="416"/>
      <c r="R22" s="416"/>
      <c r="CF22" s="393">
        <v>100</v>
      </c>
      <c r="CG22" s="393">
        <v>2</v>
      </c>
      <c r="CH22" s="388"/>
      <c r="CI22" s="388"/>
      <c r="CJ22" s="388"/>
      <c r="CK22" s="388"/>
      <c r="CL22" s="388"/>
      <c r="CM22" s="388" t="str">
        <f t="shared" si="0"/>
        <v>46 x 116-White PVDC</v>
      </c>
      <c r="CN22" s="388" t="s">
        <v>327</v>
      </c>
      <c r="CO22" s="388" t="s">
        <v>340</v>
      </c>
      <c r="CP22" s="388">
        <v>-99</v>
      </c>
      <c r="CQ22" s="394"/>
      <c r="CR22" s="388"/>
      <c r="CS22" s="394" t="s">
        <v>375</v>
      </c>
      <c r="CT22" s="388">
        <v>3.8999999999999999E-4</v>
      </c>
      <c r="CV22" s="388" t="str">
        <f t="shared" si="1"/>
        <v>60 x 100-4</v>
      </c>
      <c r="CW22" s="388" t="s">
        <v>329</v>
      </c>
      <c r="CX22" s="393">
        <v>4</v>
      </c>
      <c r="CY22" s="395" t="s">
        <v>425</v>
      </c>
      <c r="CZ22" s="396">
        <v>1E-3</v>
      </c>
      <c r="DA22" s="395" t="s">
        <v>424</v>
      </c>
      <c r="DB22" s="393">
        <v>0.01</v>
      </c>
    </row>
    <row r="23" spans="2:106" hidden="1" x14ac:dyDescent="0.2">
      <c r="B23" s="420"/>
      <c r="C23" s="689"/>
      <c r="D23" s="689"/>
      <c r="E23" s="426"/>
      <c r="F23" s="689"/>
      <c r="G23" s="689"/>
      <c r="H23" s="427"/>
      <c r="I23" s="689"/>
      <c r="J23" s="689"/>
      <c r="K23" s="423"/>
      <c r="L23" s="689"/>
      <c r="M23" s="689"/>
      <c r="N23" s="428"/>
      <c r="O23" s="689"/>
      <c r="P23" s="690"/>
      <c r="Q23" s="417"/>
      <c r="R23" s="416"/>
      <c r="CF23" s="393"/>
      <c r="CG23" s="393"/>
      <c r="CH23" s="388"/>
      <c r="CI23" s="388"/>
      <c r="CJ23" s="388"/>
      <c r="CK23" s="388"/>
      <c r="CL23" s="388"/>
      <c r="CM23" s="388" t="str">
        <f t="shared" si="0"/>
        <v>52 x 108-Aclar 3000</v>
      </c>
      <c r="CN23" s="388" t="s">
        <v>328</v>
      </c>
      <c r="CO23" s="388" t="s">
        <v>339</v>
      </c>
      <c r="CP23" s="388">
        <v>-99</v>
      </c>
      <c r="CQ23" s="394"/>
      <c r="CR23" s="388"/>
      <c r="CS23" s="394" t="s">
        <v>376</v>
      </c>
      <c r="CT23" s="388">
        <v>4.4999999999999999E-4</v>
      </c>
      <c r="CV23" s="388" t="str">
        <f t="shared" si="1"/>
        <v>60 x 130-1</v>
      </c>
      <c r="CW23" s="388" t="s">
        <v>330</v>
      </c>
      <c r="CX23" s="393">
        <v>1</v>
      </c>
      <c r="CY23" s="395" t="s">
        <v>426</v>
      </c>
      <c r="CZ23" s="396">
        <v>1</v>
      </c>
      <c r="DA23" s="395" t="s">
        <v>427</v>
      </c>
      <c r="DB23" s="393">
        <v>5.0000000000000001E-3</v>
      </c>
    </row>
    <row r="24" spans="2:106" ht="13.5" thickBot="1" x14ac:dyDescent="0.25">
      <c r="B24" s="425" t="s">
        <v>6632</v>
      </c>
      <c r="C24" s="682">
        <v>2</v>
      </c>
      <c r="D24" s="683"/>
      <c r="E24" s="481"/>
      <c r="F24" s="682"/>
      <c r="G24" s="683"/>
      <c r="H24" s="482"/>
      <c r="I24" s="682"/>
      <c r="J24" s="683"/>
      <c r="K24" s="483"/>
      <c r="L24" s="682">
        <v>0</v>
      </c>
      <c r="M24" s="683"/>
      <c r="N24" s="484"/>
      <c r="O24" s="682"/>
      <c r="P24" s="683"/>
      <c r="Q24" s="417"/>
      <c r="R24" s="416"/>
      <c r="CF24" s="393"/>
      <c r="CG24" s="393"/>
      <c r="CH24" s="388"/>
      <c r="CI24" s="388"/>
      <c r="CJ24" s="388"/>
      <c r="CK24" s="388"/>
      <c r="CL24" s="388"/>
      <c r="CM24" s="388" t="str">
        <f t="shared" si="0"/>
        <v>52 x 108-Amber PVDC</v>
      </c>
      <c r="CN24" s="388" t="s">
        <v>328</v>
      </c>
      <c r="CO24" s="388" t="s">
        <v>337</v>
      </c>
      <c r="CP24" s="388">
        <v>-99</v>
      </c>
      <c r="CQ24" s="394"/>
      <c r="CR24" s="388"/>
      <c r="CS24" s="394" t="s">
        <v>376</v>
      </c>
      <c r="CT24" s="388">
        <v>4.4999999999999999E-4</v>
      </c>
      <c r="CV24" s="388" t="str">
        <f t="shared" si="1"/>
        <v>60 x 130-4</v>
      </c>
      <c r="CW24" s="388" t="s">
        <v>330</v>
      </c>
      <c r="CX24" s="393">
        <v>4</v>
      </c>
      <c r="CY24" s="395" t="s">
        <v>428</v>
      </c>
      <c r="CZ24" s="396">
        <v>1</v>
      </c>
      <c r="DA24" s="395" t="s">
        <v>429</v>
      </c>
      <c r="DB24" s="393">
        <v>0.01</v>
      </c>
    </row>
    <row r="25" spans="2:106" ht="13.5" hidden="1" thickBot="1" x14ac:dyDescent="0.25">
      <c r="B25" s="433"/>
      <c r="C25" s="684" t="str">
        <f>C18&amp;" x "&amp;C15&amp;"-"&amp;C22</f>
        <v>42 x 108-2</v>
      </c>
      <c r="D25" s="684"/>
      <c r="E25" s="429"/>
      <c r="F25" s="684" t="str">
        <f>F18&amp;" x "&amp;F15&amp;"-"&amp;F22</f>
        <v xml:space="preserve"> x -</v>
      </c>
      <c r="G25" s="684"/>
      <c r="H25" s="430"/>
      <c r="I25" s="684" t="str">
        <f>I18&amp;" x "&amp;I15&amp;"-"&amp;I22</f>
        <v xml:space="preserve"> x -</v>
      </c>
      <c r="J25" s="684"/>
      <c r="K25" s="431"/>
      <c r="L25" s="684">
        <v>0</v>
      </c>
      <c r="M25" s="684"/>
      <c r="N25" s="432"/>
      <c r="O25" s="684" t="str">
        <f>O18&amp;" x "&amp;O15&amp;"-"&amp;O22</f>
        <v xml:space="preserve"> x -</v>
      </c>
      <c r="P25" s="685"/>
      <c r="Q25" s="417"/>
      <c r="R25" s="416"/>
      <c r="CF25" s="393"/>
      <c r="CG25" s="393"/>
      <c r="CH25" s="388"/>
      <c r="CI25" s="388"/>
      <c r="CJ25" s="388"/>
      <c r="CK25" s="388"/>
      <c r="CL25" s="388"/>
      <c r="CM25" s="388" t="str">
        <f t="shared" si="0"/>
        <v>52 x 108-Coldform</v>
      </c>
      <c r="CN25" s="388" t="s">
        <v>328</v>
      </c>
      <c r="CO25" s="388" t="s">
        <v>338</v>
      </c>
      <c r="CP25" s="388">
        <v>-99</v>
      </c>
      <c r="CQ25" s="394"/>
      <c r="CR25" s="388"/>
      <c r="CS25" s="394" t="s">
        <v>376</v>
      </c>
      <c r="CT25" s="388">
        <v>4.4999999999999999E-4</v>
      </c>
      <c r="CV25" s="388" t="str">
        <f t="shared" si="1"/>
        <v>60 x 130-5</v>
      </c>
      <c r="CW25" s="388" t="s">
        <v>330</v>
      </c>
      <c r="CX25" s="393">
        <v>5</v>
      </c>
      <c r="CY25" s="395" t="s">
        <v>430</v>
      </c>
      <c r="CZ25" s="396">
        <v>1</v>
      </c>
      <c r="DA25" s="395" t="s">
        <v>431</v>
      </c>
      <c r="DB25" s="393">
        <v>1.2999999999999999E-2</v>
      </c>
    </row>
    <row r="26" spans="2:106" ht="13.5" thickTop="1" x14ac:dyDescent="0.2">
      <c r="B26" s="434" t="s">
        <v>465</v>
      </c>
      <c r="C26" s="435" t="s">
        <v>18</v>
      </c>
      <c r="D26" s="435" t="s">
        <v>466</v>
      </c>
      <c r="E26" s="435"/>
      <c r="F26" s="435" t="s">
        <v>18</v>
      </c>
      <c r="G26" s="435" t="s">
        <v>466</v>
      </c>
      <c r="H26" s="436"/>
      <c r="I26" s="435" t="s">
        <v>18</v>
      </c>
      <c r="J26" s="435" t="s">
        <v>466</v>
      </c>
      <c r="K26" s="437"/>
      <c r="L26" s="435" t="s">
        <v>18</v>
      </c>
      <c r="M26" s="435" t="s">
        <v>466</v>
      </c>
      <c r="N26" s="438"/>
      <c r="O26" s="435" t="s">
        <v>18</v>
      </c>
      <c r="P26" s="487" t="s">
        <v>466</v>
      </c>
      <c r="Q26" s="417"/>
      <c r="R26" s="416"/>
      <c r="CF26" s="393"/>
      <c r="CG26" s="393"/>
      <c r="CH26" s="388"/>
      <c r="CI26" s="388"/>
      <c r="CJ26" s="388"/>
      <c r="CK26" s="388"/>
      <c r="CL26" s="388"/>
      <c r="CM26" s="388" t="str">
        <f t="shared" si="0"/>
        <v>52 x 108-PVC</v>
      </c>
      <c r="CN26" s="388" t="s">
        <v>328</v>
      </c>
      <c r="CO26" s="388" t="s">
        <v>81</v>
      </c>
      <c r="CP26" s="388">
        <v>-99</v>
      </c>
      <c r="CQ26" s="394"/>
      <c r="CR26" s="388"/>
      <c r="CS26" s="394" t="s">
        <v>376</v>
      </c>
      <c r="CT26" s="388">
        <v>4.4999999999999999E-4</v>
      </c>
      <c r="CV26" s="388" t="str">
        <f t="shared" si="1"/>
        <v>60 x 75-1</v>
      </c>
      <c r="CW26" s="388" t="s">
        <v>331</v>
      </c>
      <c r="CX26" s="393">
        <v>1</v>
      </c>
      <c r="CY26" s="395" t="s">
        <v>432</v>
      </c>
      <c r="CZ26" s="396">
        <v>1</v>
      </c>
      <c r="DA26" s="395" t="s">
        <v>433</v>
      </c>
      <c r="DB26" s="393">
        <v>5.0000000000000001E-3</v>
      </c>
    </row>
    <row r="27" spans="2:106" x14ac:dyDescent="0.2">
      <c r="B27" s="439" t="s">
        <v>6633</v>
      </c>
      <c r="C27" s="440"/>
      <c r="D27" s="441">
        <f>C3/1000</f>
        <v>2.4E-2</v>
      </c>
      <c r="E27" s="418"/>
      <c r="F27" s="440"/>
      <c r="G27" s="441">
        <f>F3/1000</f>
        <v>0</v>
      </c>
      <c r="H27" s="419"/>
      <c r="I27" s="440"/>
      <c r="J27" s="441">
        <f>I3/1000</f>
        <v>0</v>
      </c>
      <c r="K27" s="414"/>
      <c r="L27" s="440"/>
      <c r="M27" s="441">
        <f>L3/1000</f>
        <v>0</v>
      </c>
      <c r="N27" s="406"/>
      <c r="O27" s="440"/>
      <c r="P27" s="488">
        <f>O3/1000</f>
        <v>0</v>
      </c>
      <c r="Q27" s="417"/>
      <c r="R27" s="416"/>
      <c r="CF27" s="393"/>
      <c r="CG27" s="393"/>
      <c r="CH27" s="388"/>
      <c r="CI27" s="388"/>
      <c r="CJ27" s="388"/>
      <c r="CK27" s="388"/>
      <c r="CL27" s="388"/>
      <c r="CM27" s="388" t="str">
        <f t="shared" si="0"/>
        <v>52 x 108-PVC/PVDC</v>
      </c>
      <c r="CN27" s="388" t="s">
        <v>328</v>
      </c>
      <c r="CO27" s="388" t="s">
        <v>82</v>
      </c>
      <c r="CP27" s="388">
        <v>0.8</v>
      </c>
      <c r="CQ27" s="394" t="s">
        <v>354</v>
      </c>
      <c r="CR27" s="388">
        <v>2.3999999999999998E-3</v>
      </c>
      <c r="CS27" s="394" t="s">
        <v>376</v>
      </c>
      <c r="CT27" s="388">
        <v>4.4999999999999999E-4</v>
      </c>
      <c r="CV27" s="388" t="str">
        <f t="shared" si="1"/>
        <v>60 x 75-5</v>
      </c>
      <c r="CW27" s="388" t="s">
        <v>331</v>
      </c>
      <c r="CX27" s="393">
        <v>5</v>
      </c>
      <c r="CY27" s="395" t="s">
        <v>434</v>
      </c>
      <c r="CZ27" s="396">
        <v>1</v>
      </c>
      <c r="DA27" s="395" t="s">
        <v>435</v>
      </c>
      <c r="DB27" s="393">
        <v>0.1</v>
      </c>
    </row>
    <row r="28" spans="2:106" x14ac:dyDescent="0.2">
      <c r="B28" s="439" t="s">
        <v>6634</v>
      </c>
      <c r="C28" s="503" t="s">
        <v>2365</v>
      </c>
      <c r="D28" s="442">
        <v>6.5300000000000004E-4</v>
      </c>
      <c r="E28" s="418" t="b">
        <v>0</v>
      </c>
      <c r="F28" s="175"/>
      <c r="G28" s="442" t="e">
        <f>(F16/1000*F18/1000*1.05/F20)*F22</f>
        <v>#VALUE!</v>
      </c>
      <c r="H28" s="418"/>
      <c r="I28" s="175"/>
      <c r="J28" s="442" t="e">
        <f>(I16/1000*I18/1000*1.05/I20)*I22</f>
        <v>#VALUE!</v>
      </c>
      <c r="K28" s="414"/>
      <c r="L28" s="175"/>
      <c r="M28" s="442" t="e">
        <f>(L16/1000*L18/1000*1.05/L20)*L22</f>
        <v>#VALUE!</v>
      </c>
      <c r="N28" s="406"/>
      <c r="O28" s="175"/>
      <c r="P28" s="489" t="e">
        <f>(O16/1000*O18/1000*1.05/O20)*O22</f>
        <v>#VALUE!</v>
      </c>
      <c r="Q28" s="416"/>
      <c r="R28" s="416"/>
      <c r="CF28" s="393"/>
      <c r="CG28" s="393"/>
      <c r="CH28" s="388"/>
      <c r="CI28" s="388"/>
      <c r="CJ28" s="388"/>
      <c r="CK28" s="388"/>
      <c r="CL28" s="388"/>
      <c r="CM28" s="388" t="str">
        <f t="shared" si="0"/>
        <v>52 x 108-Triplex</v>
      </c>
      <c r="CN28" s="388" t="s">
        <v>328</v>
      </c>
      <c r="CO28" s="388" t="s">
        <v>83</v>
      </c>
      <c r="CP28" s="388">
        <v>-99</v>
      </c>
      <c r="CQ28" s="394"/>
      <c r="CR28" s="388"/>
      <c r="CS28" s="394" t="s">
        <v>376</v>
      </c>
      <c r="CT28" s="388">
        <v>4.4999999999999999E-4</v>
      </c>
      <c r="CV28" s="388" t="str">
        <f t="shared" si="1"/>
        <v>70 x 118-1</v>
      </c>
      <c r="CW28" s="388" t="s">
        <v>332</v>
      </c>
      <c r="CX28" s="393">
        <v>1</v>
      </c>
      <c r="CY28" s="395" t="s">
        <v>436</v>
      </c>
      <c r="CZ28" s="396">
        <v>1</v>
      </c>
      <c r="DA28" s="395" t="s">
        <v>407</v>
      </c>
      <c r="DB28" s="393">
        <v>4.0000000000000001E-3</v>
      </c>
    </row>
    <row r="29" spans="2:106" x14ac:dyDescent="0.2">
      <c r="B29" s="439" t="s">
        <v>6635</v>
      </c>
      <c r="C29" s="503" t="s">
        <v>354</v>
      </c>
      <c r="D29" s="442">
        <v>3.888E-3</v>
      </c>
      <c r="E29" s="418">
        <v>0</v>
      </c>
      <c r="F29" s="175"/>
      <c r="G29" s="442" t="e">
        <f>(F17/1000*F18/1000*1.05*F14)*F22/1000</f>
        <v>#VALUE!</v>
      </c>
      <c r="H29" s="418"/>
      <c r="I29" s="175"/>
      <c r="J29" s="442" t="e">
        <f>(I17/1000*I18/1000*1.05*I14)*I22/1000</f>
        <v>#VALUE!</v>
      </c>
      <c r="K29" s="414"/>
      <c r="L29" s="175"/>
      <c r="M29" s="442" t="e">
        <f>(L17/1000*L18/1000*1.05*L14)*L22/1000</f>
        <v>#VALUE!</v>
      </c>
      <c r="N29" s="406"/>
      <c r="O29" s="175"/>
      <c r="P29" s="489" t="e">
        <f>(O17/1000*O18/1000*1.05*O14)*O22/1000</f>
        <v>#VALUE!</v>
      </c>
      <c r="Q29" s="416"/>
      <c r="R29" s="416"/>
      <c r="CF29" s="393"/>
      <c r="CG29" s="393"/>
      <c r="CH29" s="388"/>
      <c r="CI29" s="388"/>
      <c r="CJ29" s="388"/>
      <c r="CK29" s="388"/>
      <c r="CL29" s="388"/>
      <c r="CM29" s="388" t="str">
        <f t="shared" si="0"/>
        <v>52 x 108-White PVDC</v>
      </c>
      <c r="CN29" s="388" t="s">
        <v>328</v>
      </c>
      <c r="CO29" s="388" t="s">
        <v>340</v>
      </c>
      <c r="CP29" s="388">
        <v>-99</v>
      </c>
      <c r="CQ29" s="394"/>
      <c r="CR29" s="388"/>
      <c r="CS29" s="394" t="s">
        <v>376</v>
      </c>
      <c r="CT29" s="388">
        <v>4.4999999999999999E-4</v>
      </c>
      <c r="CV29" s="388" t="str">
        <f t="shared" si="1"/>
        <v>70 x 118-2</v>
      </c>
      <c r="CW29" s="388" t="s">
        <v>332</v>
      </c>
      <c r="CX29" s="393">
        <v>2</v>
      </c>
      <c r="CY29" s="395" t="s">
        <v>437</v>
      </c>
      <c r="CZ29" s="396">
        <v>1</v>
      </c>
      <c r="DA29" s="395" t="s">
        <v>438</v>
      </c>
      <c r="DB29" s="393">
        <v>5.0000000000000001E-3</v>
      </c>
    </row>
    <row r="30" spans="2:106" x14ac:dyDescent="0.2">
      <c r="B30" s="439" t="s">
        <v>6636</v>
      </c>
      <c r="C30" s="503" t="s">
        <v>4524</v>
      </c>
      <c r="D30" s="443">
        <v>1</v>
      </c>
      <c r="E30" s="418"/>
      <c r="F30" s="175"/>
      <c r="G30" s="443">
        <v>1</v>
      </c>
      <c r="H30" s="418"/>
      <c r="I30" s="175"/>
      <c r="J30" s="443">
        <v>1</v>
      </c>
      <c r="K30" s="414"/>
      <c r="L30" s="175"/>
      <c r="M30" s="443">
        <v>1</v>
      </c>
      <c r="N30" s="406"/>
      <c r="O30" s="175"/>
      <c r="P30" s="490">
        <v>1</v>
      </c>
      <c r="Q30" s="416"/>
      <c r="R30" s="416"/>
      <c r="CF30" s="393"/>
      <c r="CG30" s="393"/>
      <c r="CH30" s="388"/>
      <c r="CI30" s="388"/>
      <c r="CJ30" s="388"/>
      <c r="CK30" s="388"/>
      <c r="CL30" s="388"/>
      <c r="CM30" s="388" t="str">
        <f t="shared" si="0"/>
        <v>60 x 100-Aclar 3000</v>
      </c>
      <c r="CN30" s="388" t="s">
        <v>329</v>
      </c>
      <c r="CO30" s="388" t="s">
        <v>339</v>
      </c>
      <c r="CP30" s="388">
        <v>-99</v>
      </c>
      <c r="CQ30" s="394"/>
      <c r="CR30" s="388"/>
      <c r="CS30" s="394" t="s">
        <v>377</v>
      </c>
      <c r="CT30" s="388">
        <v>4.4000000000000002E-4</v>
      </c>
      <c r="CV30" s="388" t="str">
        <f t="shared" si="1"/>
        <v>70 x 118-3</v>
      </c>
      <c r="CW30" s="388" t="s">
        <v>332</v>
      </c>
      <c r="CX30" s="393">
        <v>3</v>
      </c>
      <c r="CY30" s="395" t="s">
        <v>439</v>
      </c>
      <c r="CZ30" s="396">
        <v>1</v>
      </c>
      <c r="DA30" s="395" t="s">
        <v>440</v>
      </c>
      <c r="DB30" s="393">
        <v>8.0000000000000002E-3</v>
      </c>
    </row>
    <row r="31" spans="2:106" x14ac:dyDescent="0.2">
      <c r="B31" s="439" t="s">
        <v>6637</v>
      </c>
      <c r="C31" s="504" t="s">
        <v>395</v>
      </c>
      <c r="D31" s="442">
        <v>1.8940000000000001E-3</v>
      </c>
      <c r="E31" s="418"/>
      <c r="F31" s="378" t="str">
        <f>VLOOKUP($C25,$CV$2:$DB$46,6,FALSE)</f>
        <v>005661</v>
      </c>
      <c r="G31" s="442">
        <f>VLOOKUP($C25,$CV$2:$DB$46,7,FALSE)</f>
        <v>2E-3</v>
      </c>
      <c r="H31" s="418"/>
      <c r="I31" s="378" t="str">
        <f>VLOOKUP($C25,$CV$2:$DB$46,6,FALSE)</f>
        <v>005661</v>
      </c>
      <c r="J31" s="442">
        <f>VLOOKUP($C25,$CV$2:$DB$46,7,FALSE)</f>
        <v>2E-3</v>
      </c>
      <c r="K31" s="414"/>
      <c r="L31" s="378" t="str">
        <f>VLOOKUP($C25,$CV$2:$DB$46,6,FALSE)</f>
        <v>005661</v>
      </c>
      <c r="M31" s="442">
        <f>VLOOKUP($C25,$CV$2:$DB$46,7,FALSE)</f>
        <v>2E-3</v>
      </c>
      <c r="N31" s="406"/>
      <c r="O31" s="378" t="str">
        <f>VLOOKUP($C25,$CV$2:$DB$46,6,FALSE)</f>
        <v>005661</v>
      </c>
      <c r="P31" s="489">
        <f>VLOOKUP($C25,$CV$2:$DB$46,7,FALSE)</f>
        <v>2E-3</v>
      </c>
      <c r="Q31" s="416"/>
      <c r="R31" s="416"/>
      <c r="CF31" s="393"/>
      <c r="CG31" s="393"/>
      <c r="CH31" s="388"/>
      <c r="CI31" s="388"/>
      <c r="CJ31" s="388"/>
      <c r="CK31" s="388"/>
      <c r="CL31" s="388"/>
      <c r="CM31" s="388" t="str">
        <f t="shared" si="0"/>
        <v>60 x 100-Amber PVDC</v>
      </c>
      <c r="CN31" s="388" t="s">
        <v>329</v>
      </c>
      <c r="CO31" s="388" t="s">
        <v>337</v>
      </c>
      <c r="CP31" s="388">
        <v>0.8</v>
      </c>
      <c r="CQ31" s="394" t="s">
        <v>355</v>
      </c>
      <c r="CR31" s="388">
        <v>2.5999999999999999E-3</v>
      </c>
      <c r="CS31" s="394" t="s">
        <v>377</v>
      </c>
      <c r="CT31" s="388">
        <v>4.4000000000000002E-4</v>
      </c>
      <c r="CV31" s="388" t="str">
        <f t="shared" si="1"/>
        <v>70 x 118-4</v>
      </c>
      <c r="CW31" s="388" t="s">
        <v>332</v>
      </c>
      <c r="CX31" s="393">
        <v>4</v>
      </c>
      <c r="CY31" s="395" t="s">
        <v>441</v>
      </c>
      <c r="CZ31" s="396">
        <v>1</v>
      </c>
      <c r="DA31" s="395" t="s">
        <v>442</v>
      </c>
      <c r="DB31" s="393">
        <v>8.0000000000000002E-3</v>
      </c>
    </row>
    <row r="32" spans="2:106" x14ac:dyDescent="0.2">
      <c r="B32" s="439" t="s">
        <v>6638</v>
      </c>
      <c r="C32" s="175"/>
      <c r="D32" s="444"/>
      <c r="E32" s="418"/>
      <c r="F32" s="175"/>
      <c r="G32" s="444"/>
      <c r="H32" s="418"/>
      <c r="I32" s="175"/>
      <c r="J32" s="444">
        <v>0</v>
      </c>
      <c r="K32" s="414"/>
      <c r="L32" s="175"/>
      <c r="M32" s="444"/>
      <c r="N32" s="406"/>
      <c r="O32" s="175"/>
      <c r="P32" s="491"/>
      <c r="Q32" s="416"/>
      <c r="R32" s="416"/>
      <c r="CG32" s="388"/>
      <c r="CH32" s="388"/>
      <c r="CI32" s="388"/>
      <c r="CJ32" s="388"/>
      <c r="CK32" s="388"/>
      <c r="CL32" s="388"/>
      <c r="CM32" s="388" t="str">
        <f t="shared" si="0"/>
        <v>60 x 100-Coldform</v>
      </c>
      <c r="CN32" s="388" t="s">
        <v>329</v>
      </c>
      <c r="CO32" s="388" t="s">
        <v>338</v>
      </c>
      <c r="CP32" s="388">
        <v>-99</v>
      </c>
      <c r="CQ32" s="394"/>
      <c r="CR32" s="388"/>
      <c r="CS32" s="394" t="s">
        <v>377</v>
      </c>
      <c r="CT32" s="388">
        <v>4.4000000000000002E-4</v>
      </c>
      <c r="CV32" s="388" t="str">
        <f t="shared" si="1"/>
        <v>70 x 118-5</v>
      </c>
      <c r="CW32" s="388" t="s">
        <v>332</v>
      </c>
      <c r="CX32" s="393">
        <v>5</v>
      </c>
      <c r="CY32" s="395" t="s">
        <v>443</v>
      </c>
      <c r="CZ32" s="396">
        <v>1</v>
      </c>
      <c r="DA32" s="395" t="s">
        <v>442</v>
      </c>
      <c r="DB32" s="393">
        <v>8.0000000000000002E-3</v>
      </c>
    </row>
    <row r="33" spans="2:106" ht="13.5" thickBot="1" x14ac:dyDescent="0.25">
      <c r="B33" s="445" t="s">
        <v>6639</v>
      </c>
      <c r="C33" s="501"/>
      <c r="D33" s="446"/>
      <c r="E33" s="447"/>
      <c r="F33" s="501"/>
      <c r="G33" s="446"/>
      <c r="H33" s="447"/>
      <c r="I33" s="501"/>
      <c r="J33" s="446"/>
      <c r="K33" s="448"/>
      <c r="L33" s="501"/>
      <c r="M33" s="446"/>
      <c r="N33" s="449"/>
      <c r="O33" s="501"/>
      <c r="P33" s="492"/>
      <c r="CG33" s="388"/>
      <c r="CH33" s="388"/>
      <c r="CI33" s="388"/>
      <c r="CJ33" s="388"/>
      <c r="CK33" s="388"/>
      <c r="CL33" s="388"/>
      <c r="CM33" s="388" t="str">
        <f t="shared" si="0"/>
        <v>60 x 100-PVC</v>
      </c>
      <c r="CN33" s="388" t="s">
        <v>329</v>
      </c>
      <c r="CO33" s="388" t="s">
        <v>81</v>
      </c>
      <c r="CP33" s="388">
        <v>-99</v>
      </c>
      <c r="CQ33" s="394" t="s">
        <v>491</v>
      </c>
      <c r="CR33" s="388"/>
      <c r="CS33" s="394" t="s">
        <v>377</v>
      </c>
      <c r="CT33" s="388">
        <v>4.4000000000000002E-4</v>
      </c>
      <c r="CV33" s="388" t="str">
        <f t="shared" si="1"/>
        <v>70 x 118-6</v>
      </c>
      <c r="CW33" s="388" t="s">
        <v>332</v>
      </c>
      <c r="CX33" s="393">
        <v>6</v>
      </c>
      <c r="CY33" s="395" t="s">
        <v>444</v>
      </c>
      <c r="CZ33" s="396">
        <v>1</v>
      </c>
      <c r="DA33" s="395" t="s">
        <v>438</v>
      </c>
      <c r="DB33" s="393">
        <v>1.7000000000000001E-2</v>
      </c>
    </row>
    <row r="34" spans="2:106" ht="13.5" thickTop="1" x14ac:dyDescent="0.2">
      <c r="B34" s="450"/>
      <c r="C34" s="664"/>
      <c r="D34" s="665"/>
      <c r="E34" s="451"/>
      <c r="F34" s="664"/>
      <c r="G34" s="665"/>
      <c r="H34" s="451"/>
      <c r="I34" s="664"/>
      <c r="J34" s="665"/>
      <c r="K34" s="431"/>
      <c r="L34" s="664"/>
      <c r="M34" s="665"/>
      <c r="N34" s="432"/>
      <c r="O34" s="664"/>
      <c r="P34" s="678"/>
      <c r="CG34" s="388"/>
      <c r="CH34" s="388"/>
      <c r="CI34" s="388"/>
      <c r="CJ34" s="388"/>
      <c r="CK34" s="388"/>
      <c r="CL34" s="388"/>
      <c r="CM34" s="388" t="str">
        <f t="shared" si="0"/>
        <v>60 x 100-PVC/PVDC</v>
      </c>
      <c r="CN34" s="388" t="s">
        <v>329</v>
      </c>
      <c r="CO34" s="388" t="s">
        <v>82</v>
      </c>
      <c r="CP34" s="388">
        <v>-99</v>
      </c>
      <c r="CQ34" s="394"/>
      <c r="CR34" s="388"/>
      <c r="CS34" s="394" t="s">
        <v>377</v>
      </c>
      <c r="CT34" s="388">
        <v>4.4000000000000002E-4</v>
      </c>
      <c r="CV34" s="388" t="str">
        <f t="shared" si="1"/>
        <v>70 x 118-10</v>
      </c>
      <c r="CW34" s="388" t="s">
        <v>332</v>
      </c>
      <c r="CX34" s="393">
        <v>10</v>
      </c>
      <c r="CY34" s="395" t="s">
        <v>445</v>
      </c>
      <c r="CZ34" s="396">
        <v>1</v>
      </c>
      <c r="DA34" s="395" t="s">
        <v>446</v>
      </c>
      <c r="DB34" s="393">
        <v>1.4E-2</v>
      </c>
    </row>
    <row r="35" spans="2:106" ht="13.5" thickBot="1" x14ac:dyDescent="0.25">
      <c r="B35" s="433"/>
      <c r="C35" s="666"/>
      <c r="D35" s="667"/>
      <c r="E35" s="451"/>
      <c r="F35" s="666"/>
      <c r="G35" s="667"/>
      <c r="H35" s="452"/>
      <c r="I35" s="666"/>
      <c r="J35" s="667"/>
      <c r="K35" s="453"/>
      <c r="L35" s="666"/>
      <c r="M35" s="667"/>
      <c r="N35" s="454"/>
      <c r="O35" s="666"/>
      <c r="P35" s="679"/>
      <c r="CG35" s="388"/>
      <c r="CH35" s="388"/>
      <c r="CI35" s="388"/>
      <c r="CJ35" s="388"/>
      <c r="CK35" s="388"/>
      <c r="CL35" s="388"/>
      <c r="CM35" s="388" t="str">
        <f t="shared" si="0"/>
        <v>60 x 100-Triplex</v>
      </c>
      <c r="CN35" s="388" t="s">
        <v>329</v>
      </c>
      <c r="CO35" s="388" t="s">
        <v>83</v>
      </c>
      <c r="CP35" s="388">
        <v>1</v>
      </c>
      <c r="CQ35" s="394" t="s">
        <v>356</v>
      </c>
      <c r="CR35" s="388">
        <v>2.5999999999999999E-3</v>
      </c>
      <c r="CS35" s="394" t="s">
        <v>377</v>
      </c>
      <c r="CT35" s="388">
        <v>4.4000000000000002E-4</v>
      </c>
      <c r="CV35" s="388" t="str">
        <f t="shared" si="1"/>
        <v>70 x 140-1</v>
      </c>
      <c r="CW35" s="388" t="s">
        <v>333</v>
      </c>
      <c r="CX35" s="393">
        <v>1</v>
      </c>
      <c r="CY35" s="395" t="s">
        <v>447</v>
      </c>
      <c r="CZ35" s="396">
        <v>1</v>
      </c>
      <c r="DA35" s="395" t="s">
        <v>448</v>
      </c>
      <c r="DB35" s="393">
        <v>5.0000000000000001E-3</v>
      </c>
    </row>
    <row r="36" spans="2:106" ht="13.5" thickTop="1" x14ac:dyDescent="0.2">
      <c r="B36" s="455" t="s">
        <v>6640</v>
      </c>
      <c r="C36" s="676">
        <f>(C38*C9/1000+C12/60)/C9*1000</f>
        <v>0.5</v>
      </c>
      <c r="D36" s="677"/>
      <c r="E36" s="456"/>
      <c r="F36" s="676" t="e">
        <f>(F38*F9/1000+F12/60)/F9*1000</f>
        <v>#DIV/0!</v>
      </c>
      <c r="G36" s="677"/>
      <c r="H36" s="457"/>
      <c r="I36" s="676" t="e">
        <f>(I38*I9/1000+I12/60)/I9*1000</f>
        <v>#DIV/0!</v>
      </c>
      <c r="J36" s="677"/>
      <c r="K36" s="437"/>
      <c r="L36" s="676" t="e">
        <f>(L38*L9/1000+L12/60)/L9*1000</f>
        <v>#DIV/0!</v>
      </c>
      <c r="M36" s="677"/>
      <c r="N36" s="438"/>
      <c r="O36" s="676" t="e">
        <f>(O38*O9/1000+O12/60)/O9*1000</f>
        <v>#DIV/0!</v>
      </c>
      <c r="P36" s="681"/>
      <c r="CG36" s="388"/>
      <c r="CH36" s="388"/>
      <c r="CI36" s="388"/>
      <c r="CJ36" s="388"/>
      <c r="CK36" s="388"/>
      <c r="CL36" s="388"/>
      <c r="CM36" s="388" t="str">
        <f t="shared" si="0"/>
        <v>60 x 100-White PVDC</v>
      </c>
      <c r="CN36" s="388" t="s">
        <v>329</v>
      </c>
      <c r="CO36" s="388" t="s">
        <v>340</v>
      </c>
      <c r="CP36" s="388">
        <v>-99</v>
      </c>
      <c r="CQ36" s="394"/>
      <c r="CR36" s="388"/>
      <c r="CS36" s="394" t="s">
        <v>377</v>
      </c>
      <c r="CT36" s="388">
        <v>4.4000000000000002E-4</v>
      </c>
      <c r="CV36" s="388" t="str">
        <f t="shared" si="1"/>
        <v>70 x 140-2</v>
      </c>
      <c r="CW36" s="388" t="s">
        <v>333</v>
      </c>
      <c r="CX36" s="393">
        <v>2</v>
      </c>
      <c r="CY36" s="395" t="s">
        <v>449</v>
      </c>
      <c r="CZ36" s="396">
        <v>1</v>
      </c>
      <c r="DA36" s="395" t="s">
        <v>448</v>
      </c>
      <c r="DB36" s="393">
        <v>6.0000000000000001E-3</v>
      </c>
    </row>
    <row r="37" spans="2:106" ht="13.5" thickBot="1" x14ac:dyDescent="0.25">
      <c r="B37" s="458" t="s">
        <v>6641</v>
      </c>
      <c r="C37" s="668">
        <f>C36*C24</f>
        <v>1</v>
      </c>
      <c r="D37" s="669"/>
      <c r="E37" s="459"/>
      <c r="F37" s="668" t="e">
        <f>F36*F24</f>
        <v>#DIV/0!</v>
      </c>
      <c r="G37" s="669"/>
      <c r="H37" s="460"/>
      <c r="I37" s="668" t="e">
        <f>I36*I24</f>
        <v>#DIV/0!</v>
      </c>
      <c r="J37" s="669"/>
      <c r="K37" s="448"/>
      <c r="L37" s="668" t="e">
        <f>L36*L24</f>
        <v>#DIV/0!</v>
      </c>
      <c r="M37" s="669"/>
      <c r="N37" s="461"/>
      <c r="O37" s="668" t="e">
        <f>O36*O24</f>
        <v>#DIV/0!</v>
      </c>
      <c r="P37" s="680"/>
      <c r="CG37" s="388"/>
      <c r="CH37" s="388"/>
      <c r="CI37" s="388"/>
      <c r="CJ37" s="388"/>
      <c r="CK37" s="388"/>
      <c r="CL37" s="388"/>
      <c r="CM37" s="388" t="str">
        <f t="shared" si="0"/>
        <v>60 x 130-Aclar 3000</v>
      </c>
      <c r="CN37" s="388" t="s">
        <v>330</v>
      </c>
      <c r="CO37" s="388" t="s">
        <v>339</v>
      </c>
      <c r="CP37" s="388">
        <v>-99</v>
      </c>
      <c r="CQ37" s="394" t="s">
        <v>483</v>
      </c>
      <c r="CR37" s="388"/>
      <c r="CS37" s="394" t="s">
        <v>378</v>
      </c>
      <c r="CT37" s="388">
        <v>5.6999999999999998E-4</v>
      </c>
      <c r="CV37" s="388" t="str">
        <f t="shared" si="1"/>
        <v>70 x 140-5</v>
      </c>
      <c r="CW37" s="388" t="s">
        <v>333</v>
      </c>
      <c r="CX37" s="393">
        <v>5</v>
      </c>
      <c r="CY37" s="395" t="s">
        <v>450</v>
      </c>
      <c r="CZ37" s="396">
        <v>1</v>
      </c>
      <c r="DA37" s="395" t="s">
        <v>451</v>
      </c>
      <c r="DB37" s="393">
        <v>1.4E-2</v>
      </c>
    </row>
    <row r="38" spans="2:106" ht="14.25" thickTop="1" thickBot="1" x14ac:dyDescent="0.25">
      <c r="B38" s="462" t="s">
        <v>6642</v>
      </c>
      <c r="C38" s="674">
        <f>(1000*C22)/($C$41*60*C21)</f>
        <v>0.5</v>
      </c>
      <c r="D38" s="674"/>
      <c r="E38" s="463"/>
      <c r="F38" s="674" t="e">
        <f>(1000*F22)/($C$41*60*F21)</f>
        <v>#DIV/0!</v>
      </c>
      <c r="G38" s="674"/>
      <c r="H38" s="464">
        <v>1000000</v>
      </c>
      <c r="I38" s="674" t="e">
        <f>(1000*I22)/($C$41*60*I21)</f>
        <v>#DIV/0!</v>
      </c>
      <c r="J38" s="674"/>
      <c r="K38" s="465"/>
      <c r="L38" s="674" t="e">
        <f>(1000*L22)/($C$41*60*L21)</f>
        <v>#DIV/0!</v>
      </c>
      <c r="M38" s="674"/>
      <c r="N38" s="465"/>
      <c r="O38" s="674" t="e">
        <f>(1000*O22)/($C$41*60*O21)</f>
        <v>#DIV/0!</v>
      </c>
      <c r="P38" s="675"/>
      <c r="CG38" s="388"/>
      <c r="CH38" s="388"/>
      <c r="CI38" s="388"/>
      <c r="CJ38" s="388"/>
      <c r="CK38" s="388"/>
      <c r="CL38" s="388"/>
      <c r="CM38" s="388" t="str">
        <f>CN38&amp;"-"&amp;CO38</f>
        <v>60 x 130-Amber PVDC</v>
      </c>
      <c r="CN38" s="388" t="s">
        <v>330</v>
      </c>
      <c r="CO38" s="388" t="s">
        <v>337</v>
      </c>
      <c r="CP38" s="388">
        <v>0.8</v>
      </c>
      <c r="CQ38" s="394" t="s">
        <v>360</v>
      </c>
      <c r="CR38" s="388">
        <v>3.3500000000000001E-3</v>
      </c>
      <c r="CS38" s="394" t="s">
        <v>378</v>
      </c>
      <c r="CT38" s="388">
        <v>5.6999999999999998E-4</v>
      </c>
      <c r="CV38" s="388" t="str">
        <f t="shared" si="1"/>
        <v>70 x 140-6</v>
      </c>
      <c r="CW38" s="388" t="s">
        <v>333</v>
      </c>
      <c r="CX38" s="393">
        <v>6</v>
      </c>
      <c r="CY38" s="395" t="s">
        <v>452</v>
      </c>
      <c r="CZ38" s="396">
        <v>1</v>
      </c>
      <c r="DA38" s="395" t="s">
        <v>438</v>
      </c>
      <c r="DB38" s="393">
        <v>2.1000000000000001E-2</v>
      </c>
    </row>
    <row r="39" spans="2:106" x14ac:dyDescent="0.2">
      <c r="CG39" s="388"/>
      <c r="CH39" s="388"/>
      <c r="CI39" s="388"/>
      <c r="CJ39" s="388"/>
      <c r="CK39" s="388"/>
      <c r="CL39" s="388"/>
      <c r="CM39" s="388" t="str">
        <f t="shared" si="0"/>
        <v>60 x 130-Coldform</v>
      </c>
      <c r="CN39" s="388" t="s">
        <v>330</v>
      </c>
      <c r="CO39" s="388" t="s">
        <v>338</v>
      </c>
      <c r="CP39" s="388">
        <v>-99</v>
      </c>
      <c r="CQ39" s="394"/>
      <c r="CR39" s="388"/>
      <c r="CS39" s="394" t="s">
        <v>378</v>
      </c>
      <c r="CT39" s="388">
        <v>5.6999999999999998E-4</v>
      </c>
      <c r="CV39" s="388" t="str">
        <f t="shared" si="1"/>
        <v>70 x 140-10</v>
      </c>
      <c r="CW39" s="388" t="s">
        <v>333</v>
      </c>
      <c r="CX39" s="393">
        <v>10</v>
      </c>
      <c r="CY39" s="395" t="s">
        <v>453</v>
      </c>
      <c r="CZ39" s="396">
        <v>1</v>
      </c>
      <c r="DA39" s="395" t="s">
        <v>454</v>
      </c>
      <c r="DB39" s="393">
        <v>2.1000000000000001E-2</v>
      </c>
    </row>
    <row r="40" spans="2:106" x14ac:dyDescent="0.2">
      <c r="C40" s="466">
        <v>40</v>
      </c>
      <c r="CG40" s="388"/>
      <c r="CH40" s="388"/>
      <c r="CI40" s="388"/>
      <c r="CJ40" s="388"/>
      <c r="CK40" s="388"/>
      <c r="CL40" s="388"/>
      <c r="CM40" s="388" t="str">
        <f>CN40&amp;"-"&amp;CO40</f>
        <v>60 x 130-PVC</v>
      </c>
      <c r="CN40" s="388" t="s">
        <v>330</v>
      </c>
      <c r="CO40" s="388" t="s">
        <v>81</v>
      </c>
      <c r="CP40" s="388">
        <v>0.7</v>
      </c>
      <c r="CQ40" s="394" t="s">
        <v>357</v>
      </c>
      <c r="CR40" s="388">
        <v>3.0000000000000001E-3</v>
      </c>
      <c r="CS40" s="394" t="s">
        <v>378</v>
      </c>
      <c r="CT40" s="388">
        <v>5.6999999999999998E-4</v>
      </c>
      <c r="CV40" s="388" t="str">
        <f t="shared" ref="CV40:CV46" si="2">CW40&amp;"-"&amp;CX41</f>
        <v>70 x 80-2</v>
      </c>
      <c r="CW40" s="388" t="s">
        <v>334</v>
      </c>
      <c r="CX40" s="393">
        <v>1</v>
      </c>
      <c r="CY40" s="395" t="s">
        <v>455</v>
      </c>
      <c r="CZ40" s="396">
        <v>1</v>
      </c>
      <c r="DA40" s="395" t="s">
        <v>456</v>
      </c>
      <c r="DB40" s="393">
        <v>5.0000000000000001E-3</v>
      </c>
    </row>
    <row r="41" spans="2:106" x14ac:dyDescent="0.2">
      <c r="B41" s="467" t="s">
        <v>6643</v>
      </c>
      <c r="C41" s="468">
        <f>VLOOKUP(C40,CF2:CG22,2, FALSE)</f>
        <v>22.4</v>
      </c>
      <c r="CG41" s="388"/>
      <c r="CH41" s="388"/>
      <c r="CI41" s="388"/>
      <c r="CJ41" s="388"/>
      <c r="CK41" s="388"/>
      <c r="CL41" s="388"/>
      <c r="CM41" s="388" t="str">
        <f t="shared" si="0"/>
        <v>60 x 130-PVC/PVDC</v>
      </c>
      <c r="CN41" s="388" t="s">
        <v>330</v>
      </c>
      <c r="CO41" s="388" t="s">
        <v>82</v>
      </c>
      <c r="CP41" s="388">
        <v>-99</v>
      </c>
      <c r="CQ41" s="394" t="s">
        <v>487</v>
      </c>
      <c r="CR41" s="388"/>
      <c r="CS41" s="394" t="s">
        <v>378</v>
      </c>
      <c r="CT41" s="388">
        <v>5.6999999999999998E-4</v>
      </c>
      <c r="CV41" s="388" t="str">
        <f t="shared" si="2"/>
        <v>70 x 80-2</v>
      </c>
      <c r="CW41" s="388" t="s">
        <v>334</v>
      </c>
      <c r="CX41" s="393">
        <v>2</v>
      </c>
      <c r="CY41" s="395" t="s">
        <v>457</v>
      </c>
      <c r="CZ41" s="396">
        <v>1</v>
      </c>
      <c r="DA41" s="395" t="s">
        <v>456</v>
      </c>
      <c r="DB41" s="393">
        <v>5.0000000000000001E-3</v>
      </c>
    </row>
    <row r="42" spans="2:106" x14ac:dyDescent="0.2">
      <c r="CG42" s="388"/>
      <c r="CH42" s="388"/>
      <c r="CI42" s="388"/>
      <c r="CJ42" s="388"/>
      <c r="CK42" s="388"/>
      <c r="CL42" s="388"/>
      <c r="CM42" s="388" t="str">
        <f t="shared" si="0"/>
        <v>60 x 130-Triplex</v>
      </c>
      <c r="CN42" s="388" t="s">
        <v>330</v>
      </c>
      <c r="CO42" s="388" t="s">
        <v>83</v>
      </c>
      <c r="CP42" s="388">
        <v>-99</v>
      </c>
      <c r="CQ42" s="394"/>
      <c r="CR42" s="388"/>
      <c r="CS42" s="394" t="s">
        <v>378</v>
      </c>
      <c r="CT42" s="388">
        <v>5.6999999999999998E-4</v>
      </c>
      <c r="CV42" s="388" t="str">
        <f t="shared" si="2"/>
        <v>76 x 82-4</v>
      </c>
      <c r="CW42" s="388" t="s">
        <v>335</v>
      </c>
      <c r="CX42" s="393">
        <v>2</v>
      </c>
      <c r="CY42" s="395" t="s">
        <v>458</v>
      </c>
      <c r="CZ42" s="396">
        <v>1</v>
      </c>
      <c r="DA42" s="395" t="s">
        <v>393</v>
      </c>
      <c r="DB42" s="393">
        <v>5.0000000000000001E-3</v>
      </c>
    </row>
    <row r="43" spans="2:106" x14ac:dyDescent="0.2">
      <c r="CG43" s="388"/>
      <c r="CH43" s="388"/>
      <c r="CI43" s="388"/>
      <c r="CJ43" s="388"/>
      <c r="CK43" s="388"/>
      <c r="CL43" s="388"/>
      <c r="CM43" s="388" t="str">
        <f t="shared" si="0"/>
        <v>60 x 130-White PVDC</v>
      </c>
      <c r="CN43" s="388" t="s">
        <v>330</v>
      </c>
      <c r="CO43" s="388" t="s">
        <v>340</v>
      </c>
      <c r="CP43" s="388">
        <v>-99</v>
      </c>
      <c r="CQ43" s="394"/>
      <c r="CR43" s="388"/>
      <c r="CS43" s="394" t="s">
        <v>378</v>
      </c>
      <c r="CT43" s="388">
        <v>5.6999999999999998E-4</v>
      </c>
      <c r="CV43" s="388" t="str">
        <f t="shared" si="2"/>
        <v>76 x 82-5</v>
      </c>
      <c r="CW43" s="388" t="s">
        <v>335</v>
      </c>
      <c r="CX43" s="393">
        <v>4</v>
      </c>
      <c r="CY43" s="395" t="s">
        <v>459</v>
      </c>
      <c r="CZ43" s="396">
        <v>1</v>
      </c>
      <c r="DA43" s="395" t="s">
        <v>390</v>
      </c>
      <c r="DB43" s="393">
        <v>8.0000000000000002E-3</v>
      </c>
    </row>
    <row r="44" spans="2:106" x14ac:dyDescent="0.2">
      <c r="CG44" s="388"/>
      <c r="CH44" s="388"/>
      <c r="CI44" s="388"/>
      <c r="CJ44" s="388"/>
      <c r="CK44" s="388"/>
      <c r="CL44" s="388"/>
      <c r="CM44" s="388" t="str">
        <f t="shared" si="0"/>
        <v>60 x 75-Aclar 3000</v>
      </c>
      <c r="CN44" s="388" t="s">
        <v>331</v>
      </c>
      <c r="CO44" s="388" t="s">
        <v>339</v>
      </c>
      <c r="CP44" s="388">
        <v>-99</v>
      </c>
      <c r="CQ44" s="394"/>
      <c r="CR44" s="388"/>
      <c r="CS44" s="394" t="s">
        <v>379</v>
      </c>
      <c r="CT44" s="388">
        <v>3.4000000000000002E-4</v>
      </c>
      <c r="CV44" s="388" t="str">
        <f t="shared" si="2"/>
        <v>76 x 82-2</v>
      </c>
      <c r="CW44" s="388" t="s">
        <v>335</v>
      </c>
      <c r="CX44" s="393">
        <v>5</v>
      </c>
      <c r="CY44" s="395" t="s">
        <v>460</v>
      </c>
      <c r="CZ44" s="396">
        <v>1</v>
      </c>
      <c r="DA44" s="395" t="s">
        <v>390</v>
      </c>
      <c r="DB44" s="393">
        <v>8.0000000000000002E-3</v>
      </c>
    </row>
    <row r="45" spans="2:106" x14ac:dyDescent="0.2">
      <c r="CG45" s="388"/>
      <c r="CH45" s="388"/>
      <c r="CI45" s="388"/>
      <c r="CJ45" s="388"/>
      <c r="CK45" s="388"/>
      <c r="CL45" s="388"/>
      <c r="CM45" s="388" t="str">
        <f>CN45&amp;"-"&amp;CO45</f>
        <v>60 x 75-Amber PVDC</v>
      </c>
      <c r="CN45" s="388" t="s">
        <v>331</v>
      </c>
      <c r="CO45" s="388" t="s">
        <v>337</v>
      </c>
      <c r="CP45" s="388">
        <v>0.8</v>
      </c>
      <c r="CQ45" s="394" t="s">
        <v>358</v>
      </c>
      <c r="CR45" s="388">
        <v>2.0400000000000001E-3</v>
      </c>
      <c r="CS45" s="394" t="s">
        <v>379</v>
      </c>
      <c r="CT45" s="388">
        <v>3.4000000000000002E-4</v>
      </c>
      <c r="CV45" s="388" t="str">
        <f t="shared" si="2"/>
        <v>90 x 140-6</v>
      </c>
      <c r="CW45" s="388" t="s">
        <v>336</v>
      </c>
      <c r="CX45" s="393">
        <v>2</v>
      </c>
      <c r="CY45" s="395" t="s">
        <v>461</v>
      </c>
      <c r="CZ45" s="396">
        <v>1</v>
      </c>
      <c r="DA45" s="395" t="s">
        <v>462</v>
      </c>
      <c r="DB45" s="393">
        <v>0.01</v>
      </c>
    </row>
    <row r="46" spans="2:106" x14ac:dyDescent="0.2">
      <c r="CG46" s="388"/>
      <c r="CH46" s="388"/>
      <c r="CI46" s="388"/>
      <c r="CJ46" s="388"/>
      <c r="CK46" s="388"/>
      <c r="CL46" s="388"/>
      <c r="CM46" s="388" t="str">
        <f t="shared" si="0"/>
        <v>60 x 75-Coldform</v>
      </c>
      <c r="CN46" s="388" t="s">
        <v>331</v>
      </c>
      <c r="CO46" s="388" t="s">
        <v>338</v>
      </c>
      <c r="CP46" s="388">
        <v>-99</v>
      </c>
      <c r="CQ46" s="394"/>
      <c r="CR46" s="388"/>
      <c r="CS46" s="394" t="s">
        <v>379</v>
      </c>
      <c r="CT46" s="388">
        <v>3.4000000000000002E-4</v>
      </c>
      <c r="CV46" s="388" t="str">
        <f t="shared" si="2"/>
        <v>90 x 140-</v>
      </c>
      <c r="CW46" s="388" t="s">
        <v>336</v>
      </c>
      <c r="CX46" s="393">
        <v>6</v>
      </c>
      <c r="CY46" s="395" t="s">
        <v>463</v>
      </c>
      <c r="CZ46" s="396">
        <v>1</v>
      </c>
      <c r="DA46" s="395" t="s">
        <v>464</v>
      </c>
      <c r="DB46" s="393">
        <v>2.1000000000000001E-2</v>
      </c>
    </row>
    <row r="47" spans="2:106" x14ac:dyDescent="0.2">
      <c r="K47" s="388"/>
      <c r="N47" s="388"/>
      <c r="CG47" s="388"/>
      <c r="CH47" s="388"/>
      <c r="CI47" s="388"/>
      <c r="CJ47" s="388"/>
      <c r="CK47" s="388"/>
      <c r="CL47" s="388"/>
      <c r="CM47" s="388" t="str">
        <f>CN47&amp;"-"&amp;CO47</f>
        <v>60 x 75-PVC</v>
      </c>
      <c r="CN47" s="388" t="s">
        <v>331</v>
      </c>
      <c r="CO47" s="388" t="s">
        <v>81</v>
      </c>
      <c r="CP47" s="388">
        <v>0.7</v>
      </c>
      <c r="CQ47" s="394" t="s">
        <v>359</v>
      </c>
      <c r="CR47" s="388">
        <v>1.82E-3</v>
      </c>
      <c r="CS47" s="394" t="s">
        <v>379</v>
      </c>
      <c r="CT47" s="388">
        <v>3.4000000000000002E-4</v>
      </c>
    </row>
    <row r="48" spans="2:106" x14ac:dyDescent="0.2">
      <c r="K48" s="388"/>
      <c r="N48" s="388"/>
      <c r="Q48" s="388"/>
      <c r="R48" s="388"/>
      <c r="CG48" s="388"/>
      <c r="CH48" s="388"/>
      <c r="CI48" s="388"/>
      <c r="CJ48" s="388"/>
      <c r="CL48" s="388"/>
      <c r="CM48" s="388" t="str">
        <f>CN48&amp;"-"&amp;CO48</f>
        <v>60 x 75-PVC/PVDC</v>
      </c>
      <c r="CN48" s="388" t="s">
        <v>331</v>
      </c>
      <c r="CO48" s="388" t="s">
        <v>82</v>
      </c>
      <c r="CP48" s="388">
        <v>0.8</v>
      </c>
      <c r="CQ48" s="394" t="s">
        <v>361</v>
      </c>
      <c r="CR48" s="388">
        <v>2.0400000000000001E-3</v>
      </c>
      <c r="CS48" s="394" t="s">
        <v>379</v>
      </c>
      <c r="CT48" s="388">
        <v>3.4000000000000002E-4</v>
      </c>
    </row>
    <row r="49" spans="2:98" x14ac:dyDescent="0.2">
      <c r="K49" s="388"/>
      <c r="N49" s="388"/>
      <c r="Q49" s="388"/>
      <c r="R49" s="388"/>
      <c r="CG49" s="388"/>
      <c r="CH49" s="388"/>
      <c r="CI49" s="388"/>
      <c r="CJ49" s="388"/>
      <c r="CL49" s="388"/>
      <c r="CM49" s="388" t="str">
        <f t="shared" si="0"/>
        <v>60 x 75-Triplex</v>
      </c>
      <c r="CN49" s="388" t="s">
        <v>331</v>
      </c>
      <c r="CO49" s="388" t="s">
        <v>83</v>
      </c>
      <c r="CP49" s="388">
        <v>-99</v>
      </c>
      <c r="CQ49" s="394"/>
      <c r="CR49" s="388"/>
      <c r="CS49" s="394" t="s">
        <v>379</v>
      </c>
      <c r="CT49" s="388">
        <v>3.4000000000000002E-4</v>
      </c>
    </row>
    <row r="50" spans="2:98" x14ac:dyDescent="0.2">
      <c r="K50" s="388"/>
      <c r="N50" s="388"/>
      <c r="Q50" s="388"/>
      <c r="R50" s="388"/>
      <c r="CM50" s="388" t="str">
        <f t="shared" si="0"/>
        <v>60 x 75-White PVDC</v>
      </c>
      <c r="CN50" s="388" t="s">
        <v>331</v>
      </c>
      <c r="CO50" s="388" t="s">
        <v>340</v>
      </c>
      <c r="CP50" s="388">
        <v>-99</v>
      </c>
      <c r="CQ50" s="394"/>
      <c r="CR50" s="388"/>
      <c r="CS50" s="394" t="s">
        <v>379</v>
      </c>
      <c r="CT50" s="388">
        <v>3.4000000000000002E-4</v>
      </c>
    </row>
    <row r="51" spans="2:98" x14ac:dyDescent="0.2">
      <c r="K51" s="388"/>
      <c r="N51" s="388"/>
      <c r="Q51" s="388"/>
      <c r="R51" s="388"/>
      <c r="CM51" s="388" t="str">
        <f t="shared" si="0"/>
        <v>70 x 118-Aclar 3000</v>
      </c>
      <c r="CN51" s="388" t="s">
        <v>332</v>
      </c>
      <c r="CO51" s="388" t="s">
        <v>339</v>
      </c>
      <c r="CP51" s="388">
        <v>-99</v>
      </c>
      <c r="CQ51" s="394"/>
      <c r="CR51" s="388"/>
      <c r="CS51" s="394" t="s">
        <v>380</v>
      </c>
      <c r="CT51" s="388">
        <v>5.9999999999999995E-4</v>
      </c>
    </row>
    <row r="52" spans="2:98" x14ac:dyDescent="0.2">
      <c r="K52" s="388"/>
      <c r="N52" s="388"/>
      <c r="Q52" s="388"/>
      <c r="R52" s="388"/>
      <c r="CM52" s="388" t="str">
        <f t="shared" si="0"/>
        <v>70 x 118-Amber PVDC</v>
      </c>
      <c r="CN52" s="388" t="s">
        <v>332</v>
      </c>
      <c r="CO52" s="388" t="s">
        <v>337</v>
      </c>
      <c r="CP52" s="388">
        <v>-99</v>
      </c>
      <c r="CQ52" s="394"/>
      <c r="CR52" s="388"/>
      <c r="CS52" s="394" t="s">
        <v>380</v>
      </c>
      <c r="CT52" s="388">
        <v>5.9999999999999995E-4</v>
      </c>
    </row>
    <row r="53" spans="2:98" x14ac:dyDescent="0.2">
      <c r="B53" s="388"/>
      <c r="C53" s="388"/>
      <c r="D53" s="388"/>
      <c r="E53" s="388"/>
      <c r="F53" s="388"/>
      <c r="G53" s="388"/>
      <c r="H53" s="388"/>
      <c r="I53" s="388"/>
      <c r="J53" s="388"/>
      <c r="L53" s="388"/>
      <c r="M53" s="388"/>
      <c r="O53" s="388"/>
      <c r="P53" s="388"/>
      <c r="Q53" s="388"/>
      <c r="R53" s="388"/>
      <c r="CM53" s="388" t="str">
        <f>CN53&amp;"-"&amp;CO53</f>
        <v>70 x 118-Coldform</v>
      </c>
      <c r="CN53" s="388" t="s">
        <v>332</v>
      </c>
      <c r="CO53" s="388" t="s">
        <v>338</v>
      </c>
      <c r="CP53" s="388">
        <v>0.9</v>
      </c>
      <c r="CQ53" s="394" t="s">
        <v>362</v>
      </c>
      <c r="CR53" s="388">
        <v>2.2799999999999999E-3</v>
      </c>
      <c r="CS53" s="394" t="s">
        <v>380</v>
      </c>
      <c r="CT53" s="388">
        <v>5.9999999999999995E-4</v>
      </c>
    </row>
    <row r="54" spans="2:98" x14ac:dyDescent="0.2">
      <c r="J54" s="388"/>
      <c r="CM54" s="388" t="str">
        <f t="shared" si="0"/>
        <v>70 x 118-PVC</v>
      </c>
      <c r="CN54" s="388" t="s">
        <v>332</v>
      </c>
      <c r="CO54" s="388" t="s">
        <v>81</v>
      </c>
      <c r="CP54" s="388">
        <v>-99</v>
      </c>
      <c r="CQ54" s="394"/>
      <c r="CR54" s="388"/>
      <c r="CS54" s="394" t="s">
        <v>380</v>
      </c>
      <c r="CT54" s="388">
        <v>5.9999999999999995E-4</v>
      </c>
    </row>
    <row r="55" spans="2:98" x14ac:dyDescent="0.2">
      <c r="J55" s="388"/>
      <c r="CM55" s="388" t="str">
        <f>CN55&amp;"-"&amp;CO55</f>
        <v>70 x 118-PVC/PVDC</v>
      </c>
      <c r="CN55" s="388" t="s">
        <v>332</v>
      </c>
      <c r="CO55" s="388" t="s">
        <v>82</v>
      </c>
      <c r="CP55" s="388">
        <v>0.8</v>
      </c>
      <c r="CQ55" s="394" t="s">
        <v>363</v>
      </c>
      <c r="CR55" s="388">
        <v>3.47E-3</v>
      </c>
      <c r="CS55" s="394" t="s">
        <v>380</v>
      </c>
      <c r="CT55" s="388">
        <v>5.9999999999999995E-4</v>
      </c>
    </row>
    <row r="56" spans="2:98" x14ac:dyDescent="0.2">
      <c r="J56" s="388"/>
      <c r="CM56" s="388" t="str">
        <f t="shared" si="0"/>
        <v>70 x 118-Triplex</v>
      </c>
      <c r="CN56" s="388" t="s">
        <v>332</v>
      </c>
      <c r="CO56" s="388" t="s">
        <v>83</v>
      </c>
      <c r="CP56" s="388">
        <v>-99</v>
      </c>
      <c r="CQ56" s="394"/>
      <c r="CR56" s="388"/>
      <c r="CS56" s="394" t="s">
        <v>380</v>
      </c>
      <c r="CT56" s="388">
        <v>5.9999999999999995E-4</v>
      </c>
    </row>
    <row r="57" spans="2:98" x14ac:dyDescent="0.2">
      <c r="J57" s="388"/>
      <c r="CM57" s="388" t="str">
        <f t="shared" si="0"/>
        <v>70 x 118-White PVDC</v>
      </c>
      <c r="CN57" s="388" t="s">
        <v>332</v>
      </c>
      <c r="CO57" s="388" t="s">
        <v>340</v>
      </c>
      <c r="CP57" s="388">
        <v>-99</v>
      </c>
      <c r="CQ57" s="394"/>
      <c r="CR57" s="388"/>
      <c r="CS57" s="394" t="s">
        <v>380</v>
      </c>
      <c r="CT57" s="388">
        <v>5.9999999999999995E-4</v>
      </c>
    </row>
    <row r="58" spans="2:98" x14ac:dyDescent="0.2">
      <c r="J58" s="388"/>
      <c r="CM58" s="388" t="str">
        <f>CN58&amp;"-"&amp;CO58</f>
        <v>70 x 140-Amber PVDC</v>
      </c>
      <c r="CN58" s="388" t="s">
        <v>333</v>
      </c>
      <c r="CO58" s="388" t="s">
        <v>337</v>
      </c>
      <c r="CP58" s="388">
        <v>-99</v>
      </c>
      <c r="CQ58" s="394"/>
      <c r="CR58" s="388"/>
      <c r="CS58" s="394" t="s">
        <v>381</v>
      </c>
      <c r="CT58" s="388">
        <v>7.1000000000000002E-4</v>
      </c>
    </row>
    <row r="59" spans="2:98" x14ac:dyDescent="0.2">
      <c r="CM59" s="388" t="str">
        <f>CN59&amp;"-"&amp;CO59</f>
        <v>70 x 140-Coldform</v>
      </c>
      <c r="CN59" s="388" t="s">
        <v>333</v>
      </c>
      <c r="CO59" s="388" t="s">
        <v>338</v>
      </c>
      <c r="CP59" s="388">
        <v>1.3</v>
      </c>
      <c r="CQ59" s="394" t="s">
        <v>364</v>
      </c>
      <c r="CR59" s="388">
        <v>2.6700000000000001E-3</v>
      </c>
      <c r="CS59" s="394" t="s">
        <v>381</v>
      </c>
      <c r="CT59" s="388">
        <v>7.1000000000000002E-4</v>
      </c>
    </row>
    <row r="60" spans="2:98" x14ac:dyDescent="0.2">
      <c r="CM60" s="388" t="str">
        <f>CN60&amp;"-"&amp;CO60</f>
        <v>70 x 140-PVC</v>
      </c>
      <c r="CN60" s="388" t="s">
        <v>333</v>
      </c>
      <c r="CO60" s="388" t="s">
        <v>81</v>
      </c>
      <c r="CP60" s="388">
        <v>0.7</v>
      </c>
      <c r="CQ60" s="394" t="s">
        <v>365</v>
      </c>
      <c r="CR60" s="388">
        <v>3.64E-3</v>
      </c>
      <c r="CS60" s="394" t="s">
        <v>381</v>
      </c>
      <c r="CT60" s="388">
        <v>7.1000000000000002E-4</v>
      </c>
    </row>
    <row r="61" spans="2:98" x14ac:dyDescent="0.2">
      <c r="CM61" s="388" t="str">
        <f t="shared" si="0"/>
        <v>70 x 140-PVC/PVDC</v>
      </c>
      <c r="CN61" s="388" t="s">
        <v>333</v>
      </c>
      <c r="CO61" s="388" t="s">
        <v>82</v>
      </c>
      <c r="CP61" s="388">
        <v>0.8</v>
      </c>
      <c r="CQ61" s="394" t="s">
        <v>366</v>
      </c>
      <c r="CR61" s="388">
        <v>5.2300000000000003E-3</v>
      </c>
      <c r="CS61" s="394" t="s">
        <v>381</v>
      </c>
      <c r="CT61" s="388">
        <v>7.1000000000000002E-4</v>
      </c>
    </row>
    <row r="62" spans="2:98" x14ac:dyDescent="0.2">
      <c r="CM62" s="388" t="str">
        <f>CN62&amp;"-"&amp;CO62</f>
        <v>70 x 140-Triplex</v>
      </c>
      <c r="CN62" s="388" t="s">
        <v>333</v>
      </c>
      <c r="CO62" s="388" t="s">
        <v>83</v>
      </c>
      <c r="CP62" s="388">
        <v>1</v>
      </c>
      <c r="CQ62" s="394" t="s">
        <v>367</v>
      </c>
      <c r="CR62" s="388">
        <v>6.45E-3</v>
      </c>
      <c r="CS62" s="394" t="s">
        <v>381</v>
      </c>
      <c r="CT62" s="388">
        <v>7.1000000000000002E-4</v>
      </c>
    </row>
    <row r="63" spans="2:98" x14ac:dyDescent="0.2">
      <c r="CM63" s="388" t="str">
        <f t="shared" si="0"/>
        <v>70 x 140-White PVDC</v>
      </c>
      <c r="CN63" s="388" t="s">
        <v>333</v>
      </c>
      <c r="CO63" s="388" t="s">
        <v>340</v>
      </c>
      <c r="CP63" s="388">
        <v>-99</v>
      </c>
      <c r="CQ63" s="394"/>
      <c r="CR63" s="388"/>
      <c r="CS63" s="394" t="s">
        <v>381</v>
      </c>
      <c r="CT63" s="388">
        <v>7.1000000000000002E-4</v>
      </c>
    </row>
    <row r="64" spans="2:98" x14ac:dyDescent="0.2">
      <c r="CM64" s="388" t="str">
        <f t="shared" si="0"/>
        <v>70 x 80-Aclar 3000</v>
      </c>
      <c r="CN64" s="388" t="s">
        <v>334</v>
      </c>
      <c r="CO64" s="388" t="s">
        <v>339</v>
      </c>
      <c r="CP64" s="388">
        <v>-99</v>
      </c>
      <c r="CQ64" s="394"/>
      <c r="CR64" s="388"/>
      <c r="CS64" s="394" t="s">
        <v>382</v>
      </c>
      <c r="CT64" s="388">
        <v>4.4000000000000002E-4</v>
      </c>
    </row>
    <row r="65" spans="91:98" x14ac:dyDescent="0.2">
      <c r="CM65" s="388" t="str">
        <f t="shared" si="0"/>
        <v>70 x 80-Aclar 3000</v>
      </c>
      <c r="CN65" s="388" t="s">
        <v>334</v>
      </c>
      <c r="CO65" s="388" t="s">
        <v>339</v>
      </c>
      <c r="CP65" s="388">
        <v>-99</v>
      </c>
      <c r="CQ65" s="394"/>
      <c r="CR65" s="388"/>
      <c r="CS65" s="394" t="s">
        <v>382</v>
      </c>
      <c r="CT65" s="388">
        <v>4.4000000000000002E-4</v>
      </c>
    </row>
    <row r="66" spans="91:98" x14ac:dyDescent="0.2">
      <c r="CM66" s="388" t="str">
        <f t="shared" si="0"/>
        <v>70 x 80-Amber PVDC</v>
      </c>
      <c r="CN66" s="388" t="s">
        <v>334</v>
      </c>
      <c r="CO66" s="388" t="s">
        <v>337</v>
      </c>
      <c r="CP66" s="388">
        <v>-99</v>
      </c>
      <c r="CQ66" s="394"/>
      <c r="CR66" s="388"/>
      <c r="CS66" s="394" t="s">
        <v>382</v>
      </c>
      <c r="CT66" s="388">
        <v>4.4000000000000002E-4</v>
      </c>
    </row>
    <row r="67" spans="91:98" x14ac:dyDescent="0.2">
      <c r="CM67" s="388" t="str">
        <f>CN67&amp;"-"&amp;CO67</f>
        <v>70 x 80-PVC</v>
      </c>
      <c r="CN67" s="388" t="s">
        <v>334</v>
      </c>
      <c r="CO67" s="388" t="s">
        <v>81</v>
      </c>
      <c r="CP67" s="388">
        <v>0.7</v>
      </c>
      <c r="CQ67" s="394" t="s">
        <v>368</v>
      </c>
      <c r="CR67" s="388">
        <v>2.1800000000000001E-3</v>
      </c>
      <c r="CS67" s="394" t="s">
        <v>382</v>
      </c>
      <c r="CT67" s="388">
        <v>4.4000000000000002E-4</v>
      </c>
    </row>
    <row r="68" spans="91:98" x14ac:dyDescent="0.2">
      <c r="CM68" s="388" t="str">
        <f t="shared" si="0"/>
        <v>70 x 80-PVC/PVDC</v>
      </c>
      <c r="CN68" s="388" t="s">
        <v>334</v>
      </c>
      <c r="CO68" s="388" t="s">
        <v>82</v>
      </c>
      <c r="CP68" s="388">
        <v>-99</v>
      </c>
      <c r="CQ68" s="394"/>
      <c r="CR68" s="388"/>
      <c r="CS68" s="394" t="s">
        <v>382</v>
      </c>
      <c r="CT68" s="388">
        <v>4.4000000000000002E-4</v>
      </c>
    </row>
    <row r="69" spans="91:98" x14ac:dyDescent="0.2">
      <c r="CM69" s="388" t="str">
        <f>CN69&amp;"-"&amp;CO69</f>
        <v>70 x 80-Triplex</v>
      </c>
      <c r="CN69" s="388" t="s">
        <v>334</v>
      </c>
      <c r="CO69" s="388" t="s">
        <v>83</v>
      </c>
      <c r="CP69" s="388">
        <v>-99</v>
      </c>
      <c r="CQ69" s="394"/>
      <c r="CR69" s="388"/>
      <c r="CS69" s="394" t="s">
        <v>382</v>
      </c>
      <c r="CT69" s="388">
        <v>4.4000000000000002E-4</v>
      </c>
    </row>
    <row r="70" spans="91:98" x14ac:dyDescent="0.2">
      <c r="CM70" s="388" t="str">
        <f t="shared" si="0"/>
        <v>70 x 80-White PVDC</v>
      </c>
      <c r="CN70" s="388" t="s">
        <v>334</v>
      </c>
      <c r="CO70" s="388" t="s">
        <v>340</v>
      </c>
      <c r="CP70" s="388">
        <v>-99</v>
      </c>
      <c r="CQ70" s="394"/>
      <c r="CR70" s="388"/>
      <c r="CS70" s="394" t="s">
        <v>382</v>
      </c>
      <c r="CT70" s="388">
        <v>4.4000000000000002E-4</v>
      </c>
    </row>
    <row r="71" spans="91:98" x14ac:dyDescent="0.2">
      <c r="CM71" s="388" t="str">
        <f t="shared" si="0"/>
        <v>76 x 82-Aclar 3000</v>
      </c>
      <c r="CN71" s="388" t="s">
        <v>335</v>
      </c>
      <c r="CO71" s="388" t="s">
        <v>339</v>
      </c>
      <c r="CP71" s="388">
        <v>-99</v>
      </c>
      <c r="CQ71" s="394"/>
      <c r="CR71" s="388"/>
      <c r="CS71" s="394" t="s">
        <v>383</v>
      </c>
      <c r="CT71" s="388">
        <v>4.6999999999999999E-4</v>
      </c>
    </row>
    <row r="72" spans="91:98" x14ac:dyDescent="0.2">
      <c r="CM72" s="388" t="str">
        <f>CN72&amp;"-"&amp;CO72</f>
        <v>76 x 82-Amber PVDC</v>
      </c>
      <c r="CN72" s="388" t="s">
        <v>335</v>
      </c>
      <c r="CO72" s="388" t="s">
        <v>337</v>
      </c>
      <c r="CP72" s="388">
        <v>0.8</v>
      </c>
      <c r="CQ72" s="394" t="s">
        <v>369</v>
      </c>
      <c r="CR72" s="388">
        <v>2.7899999999999999E-3</v>
      </c>
      <c r="CS72" s="394" t="s">
        <v>383</v>
      </c>
      <c r="CT72" s="388">
        <v>4.6999999999999999E-4</v>
      </c>
    </row>
    <row r="73" spans="91:98" x14ac:dyDescent="0.2">
      <c r="CM73" s="388" t="str">
        <f>CN73&amp;"-"&amp;CO73</f>
        <v>76 x 82-Coldform</v>
      </c>
      <c r="CN73" s="388" t="s">
        <v>335</v>
      </c>
      <c r="CO73" s="388" t="s">
        <v>338</v>
      </c>
      <c r="CP73" s="388">
        <v>-99</v>
      </c>
      <c r="CQ73" s="394"/>
      <c r="CR73" s="388"/>
      <c r="CS73" s="394" t="s">
        <v>383</v>
      </c>
      <c r="CT73" s="388">
        <v>4.6999999999999999E-4</v>
      </c>
    </row>
    <row r="74" spans="91:98" x14ac:dyDescent="0.2">
      <c r="CM74" s="388" t="str">
        <f>CN74&amp;"-"&amp;CO74</f>
        <v>76 x 82-PVC</v>
      </c>
      <c r="CN74" s="388" t="s">
        <v>335</v>
      </c>
      <c r="CO74" s="388" t="s">
        <v>81</v>
      </c>
      <c r="CP74" s="388">
        <v>0.7</v>
      </c>
      <c r="CQ74" s="394" t="s">
        <v>370</v>
      </c>
      <c r="CR74" s="388">
        <v>2.5000000000000001E-3</v>
      </c>
      <c r="CS74" s="394" t="s">
        <v>383</v>
      </c>
      <c r="CT74" s="388">
        <v>4.6999999999999999E-4</v>
      </c>
    </row>
    <row r="75" spans="91:98" x14ac:dyDescent="0.2">
      <c r="CM75" s="388" t="str">
        <f>CN75&amp;"-"&amp;CO75</f>
        <v>76 x 82-PVC/PVDC</v>
      </c>
      <c r="CN75" s="388" t="s">
        <v>335</v>
      </c>
      <c r="CO75" s="388" t="s">
        <v>82</v>
      </c>
      <c r="CP75" s="388">
        <v>0.8</v>
      </c>
      <c r="CQ75" s="394" t="s">
        <v>371</v>
      </c>
      <c r="CR75" s="388">
        <v>2.7899999999999999E-3</v>
      </c>
      <c r="CS75" s="394" t="s">
        <v>383</v>
      </c>
      <c r="CT75" s="388">
        <v>4.6999999999999999E-4</v>
      </c>
    </row>
    <row r="76" spans="91:98" x14ac:dyDescent="0.2">
      <c r="CM76" s="388" t="str">
        <f>CN76&amp;"-"&amp;CO76</f>
        <v>76 x 82-Triplex</v>
      </c>
      <c r="CN76" s="388" t="s">
        <v>335</v>
      </c>
      <c r="CO76" s="388" t="s">
        <v>83</v>
      </c>
      <c r="CP76" s="388">
        <v>-99</v>
      </c>
      <c r="CQ76" s="394"/>
      <c r="CR76" s="388"/>
      <c r="CS76" s="394" t="s">
        <v>383</v>
      </c>
      <c r="CT76" s="388">
        <v>4.6999999999999999E-4</v>
      </c>
    </row>
    <row r="77" spans="91:98" x14ac:dyDescent="0.2">
      <c r="CM77" s="388" t="str">
        <f t="shared" si="0"/>
        <v>76 x 82-White PVDC</v>
      </c>
      <c r="CN77" s="388" t="s">
        <v>335</v>
      </c>
      <c r="CO77" s="388" t="s">
        <v>340</v>
      </c>
      <c r="CP77" s="388">
        <v>-99</v>
      </c>
      <c r="CQ77" s="394"/>
      <c r="CR77" s="388"/>
      <c r="CS77" s="394" t="s">
        <v>383</v>
      </c>
      <c r="CT77" s="388">
        <v>4.6999999999999999E-4</v>
      </c>
    </row>
    <row r="78" spans="91:98" x14ac:dyDescent="0.2">
      <c r="CM78" s="388" t="str">
        <f t="shared" si="0"/>
        <v>90 x 140-Aclar 3000</v>
      </c>
      <c r="CN78" s="388" t="s">
        <v>336</v>
      </c>
      <c r="CO78" s="388" t="s">
        <v>339</v>
      </c>
      <c r="CP78" s="388">
        <v>-99</v>
      </c>
      <c r="CQ78" s="394"/>
      <c r="CR78" s="388"/>
      <c r="CS78" s="394" t="s">
        <v>384</v>
      </c>
      <c r="CT78" s="388">
        <v>1.01E-3</v>
      </c>
    </row>
    <row r="79" spans="91:98" x14ac:dyDescent="0.2">
      <c r="CM79" s="388" t="str">
        <f t="shared" si="0"/>
        <v>90 x 140-Amber PVDC</v>
      </c>
      <c r="CN79" s="388" t="s">
        <v>336</v>
      </c>
      <c r="CO79" s="388" t="s">
        <v>337</v>
      </c>
      <c r="CP79" s="388">
        <v>-99</v>
      </c>
      <c r="CQ79" s="394"/>
      <c r="CR79" s="388"/>
      <c r="CS79" s="394" t="s">
        <v>384</v>
      </c>
      <c r="CT79" s="388">
        <v>1.01E-3</v>
      </c>
    </row>
    <row r="80" spans="91:98" x14ac:dyDescent="0.2">
      <c r="CM80" s="388" t="str">
        <f t="shared" si="0"/>
        <v>90 x 140-Coldform</v>
      </c>
      <c r="CN80" s="388" t="s">
        <v>336</v>
      </c>
      <c r="CO80" s="388" t="s">
        <v>338</v>
      </c>
      <c r="CP80" s="388">
        <v>-99</v>
      </c>
      <c r="CQ80" s="394"/>
      <c r="CR80" s="388"/>
      <c r="CS80" s="394" t="s">
        <v>384</v>
      </c>
      <c r="CT80" s="388">
        <v>1.01E-3</v>
      </c>
    </row>
    <row r="81" spans="91:98" x14ac:dyDescent="0.2">
      <c r="CM81" s="388" t="str">
        <f t="shared" si="0"/>
        <v>90 x 140-PVC</v>
      </c>
      <c r="CN81" s="388" t="s">
        <v>336</v>
      </c>
      <c r="CO81" s="388" t="s">
        <v>81</v>
      </c>
      <c r="CP81" s="388">
        <v>-99</v>
      </c>
      <c r="CQ81" s="394"/>
      <c r="CR81" s="388"/>
      <c r="CS81" s="394" t="s">
        <v>384</v>
      </c>
      <c r="CT81" s="388">
        <v>1.01E-3</v>
      </c>
    </row>
    <row r="82" spans="91:98" x14ac:dyDescent="0.2">
      <c r="CM82" s="388" t="str">
        <f t="shared" si="0"/>
        <v>90 x 140-PVC/PVDC</v>
      </c>
      <c r="CN82" s="388" t="s">
        <v>336</v>
      </c>
      <c r="CO82" s="388" t="s">
        <v>82</v>
      </c>
      <c r="CP82" s="388">
        <v>1</v>
      </c>
      <c r="CQ82" s="394" t="s">
        <v>372</v>
      </c>
      <c r="CR82" s="388">
        <v>6.0000000000000001E-3</v>
      </c>
      <c r="CS82" s="394" t="s">
        <v>384</v>
      </c>
      <c r="CT82" s="388">
        <v>1.01E-3</v>
      </c>
    </row>
    <row r="83" spans="91:98" x14ac:dyDescent="0.2">
      <c r="CM83" s="388" t="str">
        <f t="shared" si="0"/>
        <v>90 x 140-Triplex</v>
      </c>
      <c r="CN83" s="388" t="s">
        <v>336</v>
      </c>
      <c r="CO83" s="388" t="s">
        <v>83</v>
      </c>
      <c r="CP83" s="388">
        <v>-99</v>
      </c>
      <c r="CQ83" s="394"/>
      <c r="CR83" s="388"/>
      <c r="CS83" s="394" t="s">
        <v>384</v>
      </c>
      <c r="CT83" s="388">
        <v>1.01E-3</v>
      </c>
    </row>
    <row r="84" spans="91:98" x14ac:dyDescent="0.2">
      <c r="CM84" s="388" t="str">
        <f t="shared" si="0"/>
        <v>90 x 140-White PVDC</v>
      </c>
      <c r="CN84" s="388" t="s">
        <v>336</v>
      </c>
      <c r="CO84" s="388" t="s">
        <v>340</v>
      </c>
      <c r="CP84" s="388">
        <v>-99</v>
      </c>
      <c r="CQ84" s="394"/>
      <c r="CR84" s="388"/>
      <c r="CS84" s="394" t="s">
        <v>384</v>
      </c>
      <c r="CT84" s="388">
        <v>1.01E-3</v>
      </c>
    </row>
    <row r="85" spans="91:98" x14ac:dyDescent="0.2">
      <c r="CM85" s="388" t="str">
        <f t="shared" si="0"/>
        <v>124 x 48-Coldform</v>
      </c>
      <c r="CN85" s="388" t="s">
        <v>488</v>
      </c>
      <c r="CO85" s="388" t="s">
        <v>338</v>
      </c>
      <c r="CP85" s="388"/>
      <c r="CQ85" s="388">
        <v>13490</v>
      </c>
      <c r="CR85" s="388">
        <v>1.634E-3</v>
      </c>
      <c r="CS85" s="388">
        <v>13492</v>
      </c>
      <c r="CT85" s="388">
        <v>4.2000000000000002E-4</v>
      </c>
    </row>
    <row r="86" spans="91:98" x14ac:dyDescent="0.2">
      <c r="CM86" s="384" t="str">
        <f t="shared" si="0"/>
        <v>55 x 130-Coldform</v>
      </c>
      <c r="CN86" s="384" t="s">
        <v>489</v>
      </c>
      <c r="CO86" s="384" t="s">
        <v>338</v>
      </c>
      <c r="CP86" s="384">
        <v>-99</v>
      </c>
      <c r="CQ86" s="469" t="s">
        <v>490</v>
      </c>
    </row>
  </sheetData>
  <sheetProtection sheet="1" selectLockedCells="1"/>
  <mergeCells count="140">
    <mergeCell ref="C7:D7"/>
    <mergeCell ref="F7:G7"/>
    <mergeCell ref="I7:J7"/>
    <mergeCell ref="L7:M7"/>
    <mergeCell ref="O7:P7"/>
    <mergeCell ref="C4:D4"/>
    <mergeCell ref="F4:G4"/>
    <mergeCell ref="I4:J4"/>
    <mergeCell ref="L4:M4"/>
    <mergeCell ref="O4:P4"/>
    <mergeCell ref="C5:D5"/>
    <mergeCell ref="F5:G5"/>
    <mergeCell ref="I5:J5"/>
    <mergeCell ref="L5:M5"/>
    <mergeCell ref="O5:P5"/>
    <mergeCell ref="C6:D6"/>
    <mergeCell ref="F6:G6"/>
    <mergeCell ref="I6:J6"/>
    <mergeCell ref="L6:M6"/>
    <mergeCell ref="O6:P6"/>
    <mergeCell ref="C2:D2"/>
    <mergeCell ref="F2:G2"/>
    <mergeCell ref="I2:J2"/>
    <mergeCell ref="L2:M2"/>
    <mergeCell ref="O2:P2"/>
    <mergeCell ref="C3:D3"/>
    <mergeCell ref="F3:G3"/>
    <mergeCell ref="I3:J3"/>
    <mergeCell ref="L3:M3"/>
    <mergeCell ref="O3:P3"/>
    <mergeCell ref="C9:D9"/>
    <mergeCell ref="F9:G9"/>
    <mergeCell ref="I9:J9"/>
    <mergeCell ref="L9:M9"/>
    <mergeCell ref="O9:P9"/>
    <mergeCell ref="C10:D10"/>
    <mergeCell ref="F10:G10"/>
    <mergeCell ref="I10:J10"/>
    <mergeCell ref="L10:M10"/>
    <mergeCell ref="O10:P10"/>
    <mergeCell ref="C13:D13"/>
    <mergeCell ref="F13:G13"/>
    <mergeCell ref="I13:J13"/>
    <mergeCell ref="L13:M13"/>
    <mergeCell ref="O13:P13"/>
    <mergeCell ref="C11:D11"/>
    <mergeCell ref="F11:G11"/>
    <mergeCell ref="I11:J11"/>
    <mergeCell ref="L11:M11"/>
    <mergeCell ref="O11:P11"/>
    <mergeCell ref="C12:D12"/>
    <mergeCell ref="F12:G12"/>
    <mergeCell ref="I12:J12"/>
    <mergeCell ref="L12:M12"/>
    <mergeCell ref="O12:P12"/>
    <mergeCell ref="C14:D14"/>
    <mergeCell ref="F14:G14"/>
    <mergeCell ref="I14:J14"/>
    <mergeCell ref="C15:D15"/>
    <mergeCell ref="F15:G15"/>
    <mergeCell ref="C16:D16"/>
    <mergeCell ref="F16:G16"/>
    <mergeCell ref="C17:D17"/>
    <mergeCell ref="F17:G17"/>
    <mergeCell ref="C18:D18"/>
    <mergeCell ref="F18:G18"/>
    <mergeCell ref="I18:J18"/>
    <mergeCell ref="L18:M18"/>
    <mergeCell ref="O18:P18"/>
    <mergeCell ref="C19:D19"/>
    <mergeCell ref="F19:G19"/>
    <mergeCell ref="C20:D20"/>
    <mergeCell ref="F20:G20"/>
    <mergeCell ref="C21:D21"/>
    <mergeCell ref="F21:G21"/>
    <mergeCell ref="C22:D22"/>
    <mergeCell ref="F22:G22"/>
    <mergeCell ref="I22:J22"/>
    <mergeCell ref="L22:M22"/>
    <mergeCell ref="O22:P22"/>
    <mergeCell ref="C23:D23"/>
    <mergeCell ref="F23:G23"/>
    <mergeCell ref="I23:J23"/>
    <mergeCell ref="L23:M23"/>
    <mergeCell ref="O23:P23"/>
    <mergeCell ref="O21:P21"/>
    <mergeCell ref="C24:D24"/>
    <mergeCell ref="F24:G24"/>
    <mergeCell ref="I24:J24"/>
    <mergeCell ref="L24:M24"/>
    <mergeCell ref="O24:P24"/>
    <mergeCell ref="C25:D25"/>
    <mergeCell ref="F25:G25"/>
    <mergeCell ref="I25:J25"/>
    <mergeCell ref="L25:M25"/>
    <mergeCell ref="O25:P25"/>
    <mergeCell ref="O38:P38"/>
    <mergeCell ref="C34:D34"/>
    <mergeCell ref="F34:G34"/>
    <mergeCell ref="C35:D35"/>
    <mergeCell ref="F35:G35"/>
    <mergeCell ref="C36:D36"/>
    <mergeCell ref="F36:G36"/>
    <mergeCell ref="C37:D37"/>
    <mergeCell ref="F37:G37"/>
    <mergeCell ref="C38:D38"/>
    <mergeCell ref="F38:G38"/>
    <mergeCell ref="I38:J38"/>
    <mergeCell ref="L38:M38"/>
    <mergeCell ref="O34:P34"/>
    <mergeCell ref="O35:P35"/>
    <mergeCell ref="O37:P37"/>
    <mergeCell ref="I36:J36"/>
    <mergeCell ref="L36:M36"/>
    <mergeCell ref="O36:P36"/>
    <mergeCell ref="L34:M34"/>
    <mergeCell ref="L35:M35"/>
    <mergeCell ref="L37:M37"/>
    <mergeCell ref="O14:P14"/>
    <mergeCell ref="O15:P15"/>
    <mergeCell ref="O16:P16"/>
    <mergeCell ref="O17:P17"/>
    <mergeCell ref="O19:P19"/>
    <mergeCell ref="O20:P20"/>
    <mergeCell ref="I34:J34"/>
    <mergeCell ref="I35:J35"/>
    <mergeCell ref="I37:J37"/>
    <mergeCell ref="L14:M14"/>
    <mergeCell ref="L15:M15"/>
    <mergeCell ref="L16:M16"/>
    <mergeCell ref="L17:M17"/>
    <mergeCell ref="L19:M19"/>
    <mergeCell ref="L20:M20"/>
    <mergeCell ref="L21:M21"/>
    <mergeCell ref="I15:J15"/>
    <mergeCell ref="I16:J16"/>
    <mergeCell ref="I17:J17"/>
    <mergeCell ref="I19:J19"/>
    <mergeCell ref="I20:J20"/>
    <mergeCell ref="I21:J21"/>
  </mergeCells>
  <conditionalFormatting sqref="B2">
    <cfRule type="expression" dxfId="12" priority="7" stopIfTrue="1">
      <formula>$B$1="Packaging Only"</formula>
    </cfRule>
  </conditionalFormatting>
  <conditionalFormatting sqref="F2:G2 I2:J2 L2:M2 O2:P2 C2:D2">
    <cfRule type="expression" dxfId="11" priority="8" stopIfTrue="1">
      <formula>$B$1="Packaging Only"</formula>
    </cfRule>
  </conditionalFormatting>
  <conditionalFormatting sqref="C34">
    <cfRule type="expression" dxfId="10" priority="9" stopIfTrue="1">
      <formula>D34=0</formula>
    </cfRule>
  </conditionalFormatting>
  <conditionalFormatting sqref="F34">
    <cfRule type="expression" dxfId="9" priority="4" stopIfTrue="1">
      <formula>G34=0</formula>
    </cfRule>
  </conditionalFormatting>
  <conditionalFormatting sqref="I34">
    <cfRule type="expression" dxfId="8" priority="3" stopIfTrue="1">
      <formula>J34=0</formula>
    </cfRule>
  </conditionalFormatting>
  <conditionalFormatting sqref="L34">
    <cfRule type="expression" dxfId="7" priority="2" stopIfTrue="1">
      <formula>M34=0</formula>
    </cfRule>
  </conditionalFormatting>
  <conditionalFormatting sqref="O34">
    <cfRule type="expression" dxfId="6" priority="1" stopIfTrue="1">
      <formula>P34=0</formula>
    </cfRule>
  </conditionalFormatting>
  <dataValidations count="4">
    <dataValidation type="list" allowBlank="1" showInputMessage="1" showErrorMessage="1" sqref="C19:D19 F19:G19 I19:J19 L19:M19 O19:P19">
      <formula1>$CH$2:$CH$3</formula1>
    </dataValidation>
    <dataValidation type="list" allowBlank="1" showInputMessage="1" showErrorMessage="1" sqref="C13:D13 L13:M13 I13:J13 F13:G13 O13:P13">
      <formula1>$CK$2:$CK$6</formula1>
    </dataValidation>
    <dataValidation type="list" allowBlank="1" showInputMessage="1" showErrorMessage="1" sqref="C11 L11 I11 F11 O11">
      <formula1>"Partial, Full"</formula1>
    </dataValidation>
    <dataValidation type="whole" showInputMessage="1" showErrorMessage="1" sqref="C22 L22 I22 F22 O22">
      <formula1>1</formula1>
      <formula2>10</formula2>
    </dataValidation>
  </dataValidations>
  <pageMargins left="0.75" right="0.75" top="1" bottom="1" header="0.5" footer="0.5"/>
  <pageSetup paperSize="9" scale="62"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locked="0" defaultSize="0" autoPict="0">
                <anchor moveWithCells="1">
                  <from>
                    <xdr:col>2</xdr:col>
                    <xdr:colOff>552450</xdr:colOff>
                    <xdr:row>39</xdr:row>
                    <xdr:rowOff>152400</xdr:rowOff>
                  </from>
                  <to>
                    <xdr:col>7</xdr:col>
                    <xdr:colOff>19050</xdr:colOff>
                    <xdr:row>40</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778"/>
  <sheetViews>
    <sheetView workbookViewId="0">
      <selection activeCell="E22" sqref="E22"/>
    </sheetView>
  </sheetViews>
  <sheetFormatPr defaultRowHeight="12.75" x14ac:dyDescent="0.2"/>
  <cols>
    <col min="1" max="1" width="10.140625" style="173" customWidth="1"/>
    <col min="2" max="2" width="33.42578125" style="173" customWidth="1"/>
    <col min="4" max="4" width="26.28515625" bestFit="1" customWidth="1"/>
  </cols>
  <sheetData>
    <row r="1" spans="1:7" x14ac:dyDescent="0.2">
      <c r="A1" s="171" t="s">
        <v>18</v>
      </c>
      <c r="B1" s="171" t="s">
        <v>19</v>
      </c>
      <c r="D1" s="2" t="s">
        <v>91</v>
      </c>
      <c r="E1" s="2" t="s">
        <v>92</v>
      </c>
      <c r="G1" s="1"/>
    </row>
    <row r="2" spans="1:7" x14ac:dyDescent="0.2">
      <c r="A2" s="169" t="s">
        <v>500</v>
      </c>
      <c r="B2" s="169" t="s">
        <v>501</v>
      </c>
      <c r="D2" t="s">
        <v>113</v>
      </c>
      <c r="E2">
        <f>Simulator!K5*60</f>
        <v>27</v>
      </c>
      <c r="G2" s="1"/>
    </row>
    <row r="3" spans="1:7" x14ac:dyDescent="0.2">
      <c r="A3" s="169" t="s">
        <v>502</v>
      </c>
      <c r="B3" s="169" t="s">
        <v>503</v>
      </c>
      <c r="D3" t="s">
        <v>34</v>
      </c>
      <c r="E3">
        <v>20</v>
      </c>
      <c r="G3" s="1"/>
    </row>
    <row r="4" spans="1:7" x14ac:dyDescent="0.2">
      <c r="A4" s="169" t="s">
        <v>504</v>
      </c>
      <c r="B4" s="169" t="s">
        <v>505</v>
      </c>
      <c r="D4" t="s">
        <v>35</v>
      </c>
      <c r="E4">
        <v>10</v>
      </c>
      <c r="G4" s="1"/>
    </row>
    <row r="5" spans="1:7" x14ac:dyDescent="0.2">
      <c r="A5" s="169" t="s">
        <v>506</v>
      </c>
      <c r="B5" s="169" t="s">
        <v>507</v>
      </c>
      <c r="D5" t="s">
        <v>29</v>
      </c>
      <c r="E5">
        <v>0.8</v>
      </c>
    </row>
    <row r="6" spans="1:7" x14ac:dyDescent="0.2">
      <c r="A6" s="169" t="s">
        <v>508</v>
      </c>
      <c r="B6" s="169" t="s">
        <v>509</v>
      </c>
      <c r="D6" t="s">
        <v>36</v>
      </c>
      <c r="E6">
        <v>0.25</v>
      </c>
    </row>
    <row r="7" spans="1:7" x14ac:dyDescent="0.2">
      <c r="A7" s="169" t="s">
        <v>178</v>
      </c>
      <c r="B7" s="169" t="s">
        <v>510</v>
      </c>
      <c r="D7" t="s">
        <v>40</v>
      </c>
      <c r="E7">
        <v>60</v>
      </c>
    </row>
    <row r="8" spans="1:7" x14ac:dyDescent="0.2">
      <c r="A8" s="169" t="s">
        <v>226</v>
      </c>
      <c r="B8" s="169" t="s">
        <v>511</v>
      </c>
      <c r="D8" t="s">
        <v>43</v>
      </c>
      <c r="E8">
        <v>0.5</v>
      </c>
    </row>
    <row r="9" spans="1:7" x14ac:dyDescent="0.2">
      <c r="A9" s="169" t="s">
        <v>512</v>
      </c>
      <c r="B9" s="169" t="s">
        <v>513</v>
      </c>
      <c r="D9" t="s">
        <v>494</v>
      </c>
      <c r="E9">
        <f>Simulator!K6*60*0.6</f>
        <v>57.6</v>
      </c>
    </row>
    <row r="10" spans="1:7" x14ac:dyDescent="0.2">
      <c r="A10" s="169" t="s">
        <v>514</v>
      </c>
      <c r="B10" s="169" t="s">
        <v>515</v>
      </c>
      <c r="D10" t="s">
        <v>44</v>
      </c>
      <c r="E10">
        <v>60</v>
      </c>
    </row>
    <row r="11" spans="1:7" x14ac:dyDescent="0.2">
      <c r="A11" s="169" t="s">
        <v>516</v>
      </c>
      <c r="B11" s="169" t="s">
        <v>517</v>
      </c>
      <c r="D11" t="s">
        <v>46</v>
      </c>
      <c r="E11">
        <v>30</v>
      </c>
    </row>
    <row r="12" spans="1:7" x14ac:dyDescent="0.2">
      <c r="A12" s="169" t="s">
        <v>518</v>
      </c>
      <c r="B12" s="169" t="s">
        <v>519</v>
      </c>
      <c r="D12" t="s">
        <v>47</v>
      </c>
      <c r="E12">
        <v>30</v>
      </c>
    </row>
    <row r="13" spans="1:7" x14ac:dyDescent="0.2">
      <c r="A13" s="169" t="s">
        <v>283</v>
      </c>
      <c r="B13" s="169" t="s">
        <v>520</v>
      </c>
      <c r="D13" t="s">
        <v>48</v>
      </c>
      <c r="E13">
        <v>0.25</v>
      </c>
    </row>
    <row r="14" spans="1:7" x14ac:dyDescent="0.2">
      <c r="A14" s="169" t="s">
        <v>521</v>
      </c>
      <c r="B14" s="169" t="s">
        <v>522</v>
      </c>
      <c r="D14" t="s">
        <v>90</v>
      </c>
      <c r="E14">
        <v>120</v>
      </c>
    </row>
    <row r="15" spans="1:7" x14ac:dyDescent="0.2">
      <c r="A15" s="169" t="s">
        <v>523</v>
      </c>
      <c r="B15" s="169" t="s">
        <v>524</v>
      </c>
      <c r="D15" t="s">
        <v>1800</v>
      </c>
      <c r="E15">
        <v>0.3</v>
      </c>
    </row>
    <row r="16" spans="1:7" x14ac:dyDescent="0.2">
      <c r="A16" s="169" t="s">
        <v>525</v>
      </c>
      <c r="B16" s="169" t="s">
        <v>526</v>
      </c>
      <c r="D16" t="s">
        <v>52</v>
      </c>
      <c r="E16">
        <v>120</v>
      </c>
    </row>
    <row r="17" spans="1:5" x14ac:dyDescent="0.2">
      <c r="A17" s="169" t="s">
        <v>527</v>
      </c>
      <c r="B17" s="169" t="s">
        <v>528</v>
      </c>
      <c r="D17" t="s">
        <v>50</v>
      </c>
      <c r="E17">
        <v>10</v>
      </c>
    </row>
    <row r="18" spans="1:5" x14ac:dyDescent="0.2">
      <c r="A18" s="169" t="s">
        <v>529</v>
      </c>
      <c r="B18" s="169" t="s">
        <v>530</v>
      </c>
      <c r="D18" t="s">
        <v>51</v>
      </c>
      <c r="E18">
        <v>0.2</v>
      </c>
    </row>
    <row r="19" spans="1:5" x14ac:dyDescent="0.2">
      <c r="A19" s="169" t="s">
        <v>531</v>
      </c>
      <c r="B19" s="169" t="s">
        <v>532</v>
      </c>
      <c r="D19" t="s">
        <v>53</v>
      </c>
      <c r="E19">
        <f>Simulator!K7*60</f>
        <v>96</v>
      </c>
    </row>
    <row r="20" spans="1:5" x14ac:dyDescent="0.2">
      <c r="A20" s="169" t="s">
        <v>533</v>
      </c>
      <c r="B20" s="169" t="s">
        <v>534</v>
      </c>
      <c r="D20" t="s">
        <v>66</v>
      </c>
      <c r="E20">
        <f>Simulator!K8*60</f>
        <v>78</v>
      </c>
    </row>
    <row r="21" spans="1:5" x14ac:dyDescent="0.2">
      <c r="A21" s="169" t="s">
        <v>535</v>
      </c>
      <c r="B21" s="169" t="s">
        <v>536</v>
      </c>
      <c r="D21" t="s">
        <v>67</v>
      </c>
      <c r="E21">
        <v>60</v>
      </c>
    </row>
    <row r="22" spans="1:5" x14ac:dyDescent="0.2">
      <c r="A22" s="169" t="s">
        <v>537</v>
      </c>
      <c r="B22" s="169" t="s">
        <v>538</v>
      </c>
      <c r="D22" t="s">
        <v>114</v>
      </c>
      <c r="E22">
        <f>Simulator!K21*60</f>
        <v>30</v>
      </c>
    </row>
    <row r="23" spans="1:5" x14ac:dyDescent="0.2">
      <c r="A23" s="169" t="s">
        <v>539</v>
      </c>
      <c r="B23" s="169" t="s">
        <v>540</v>
      </c>
      <c r="D23" t="s">
        <v>115</v>
      </c>
      <c r="E23">
        <v>90</v>
      </c>
    </row>
    <row r="24" spans="1:5" x14ac:dyDescent="0.2">
      <c r="A24" s="169" t="s">
        <v>202</v>
      </c>
      <c r="B24" s="169" t="s">
        <v>541</v>
      </c>
      <c r="D24" t="s">
        <v>6644</v>
      </c>
      <c r="E24">
        <v>156</v>
      </c>
    </row>
    <row r="25" spans="1:5" x14ac:dyDescent="0.2">
      <c r="A25" s="169" t="s">
        <v>542</v>
      </c>
      <c r="B25" s="169" t="s">
        <v>543</v>
      </c>
    </row>
    <row r="26" spans="1:5" x14ac:dyDescent="0.2">
      <c r="A26" s="169" t="s">
        <v>544</v>
      </c>
      <c r="B26" s="169" t="s">
        <v>545</v>
      </c>
    </row>
    <row r="27" spans="1:5" x14ac:dyDescent="0.2">
      <c r="A27" s="169" t="s">
        <v>546</v>
      </c>
      <c r="B27" s="169" t="s">
        <v>547</v>
      </c>
    </row>
    <row r="28" spans="1:5" x14ac:dyDescent="0.2">
      <c r="A28" s="169" t="s">
        <v>548</v>
      </c>
      <c r="B28" s="169" t="s">
        <v>549</v>
      </c>
    </row>
    <row r="29" spans="1:5" x14ac:dyDescent="0.2">
      <c r="A29" s="169" t="s">
        <v>550</v>
      </c>
      <c r="B29" s="169" t="s">
        <v>551</v>
      </c>
    </row>
    <row r="30" spans="1:5" x14ac:dyDescent="0.2">
      <c r="A30" s="169" t="s">
        <v>552</v>
      </c>
      <c r="B30" s="169" t="s">
        <v>553</v>
      </c>
    </row>
    <row r="31" spans="1:5" x14ac:dyDescent="0.2">
      <c r="A31" s="169" t="s">
        <v>554</v>
      </c>
      <c r="B31" s="169" t="s">
        <v>555</v>
      </c>
    </row>
    <row r="32" spans="1:5" x14ac:dyDescent="0.2">
      <c r="A32" s="169" t="s">
        <v>556</v>
      </c>
      <c r="B32" s="169" t="s">
        <v>557</v>
      </c>
    </row>
    <row r="33" spans="1:2" x14ac:dyDescent="0.2">
      <c r="A33" s="169" t="s">
        <v>558</v>
      </c>
      <c r="B33" s="169" t="s">
        <v>559</v>
      </c>
    </row>
    <row r="34" spans="1:2" x14ac:dyDescent="0.2">
      <c r="A34" s="169" t="s">
        <v>560</v>
      </c>
      <c r="B34" s="169" t="s">
        <v>561</v>
      </c>
    </row>
    <row r="35" spans="1:2" x14ac:dyDescent="0.2">
      <c r="A35" s="169" t="s">
        <v>562</v>
      </c>
      <c r="B35" s="169" t="s">
        <v>563</v>
      </c>
    </row>
    <row r="36" spans="1:2" x14ac:dyDescent="0.2">
      <c r="A36" s="169" t="s">
        <v>564</v>
      </c>
      <c r="B36" s="169" t="s">
        <v>565</v>
      </c>
    </row>
    <row r="37" spans="1:2" x14ac:dyDescent="0.2">
      <c r="A37" s="169" t="s">
        <v>566</v>
      </c>
      <c r="B37" s="169" t="s">
        <v>567</v>
      </c>
    </row>
    <row r="38" spans="1:2" x14ac:dyDescent="0.2">
      <c r="A38" s="169" t="s">
        <v>568</v>
      </c>
      <c r="B38" s="169" t="s">
        <v>569</v>
      </c>
    </row>
    <row r="39" spans="1:2" x14ac:dyDescent="0.2">
      <c r="A39" s="169" t="s">
        <v>570</v>
      </c>
      <c r="B39" s="169" t="s">
        <v>571</v>
      </c>
    </row>
    <row r="40" spans="1:2" x14ac:dyDescent="0.2">
      <c r="A40" s="169" t="s">
        <v>572</v>
      </c>
      <c r="B40" s="169" t="s">
        <v>573</v>
      </c>
    </row>
    <row r="41" spans="1:2" x14ac:dyDescent="0.2">
      <c r="A41" s="169" t="s">
        <v>108</v>
      </c>
      <c r="B41" s="169" t="s">
        <v>574</v>
      </c>
    </row>
    <row r="42" spans="1:2" x14ac:dyDescent="0.2">
      <c r="A42" s="169" t="s">
        <v>575</v>
      </c>
      <c r="B42" s="169" t="s">
        <v>576</v>
      </c>
    </row>
    <row r="43" spans="1:2" x14ac:dyDescent="0.2">
      <c r="A43" s="169" t="s">
        <v>577</v>
      </c>
      <c r="B43" s="169" t="s">
        <v>578</v>
      </c>
    </row>
    <row r="44" spans="1:2" x14ac:dyDescent="0.2">
      <c r="A44" s="169" t="s">
        <v>579</v>
      </c>
      <c r="B44" s="169" t="s">
        <v>580</v>
      </c>
    </row>
    <row r="45" spans="1:2" x14ac:dyDescent="0.2">
      <c r="A45" s="169" t="s">
        <v>581</v>
      </c>
      <c r="B45" s="169" t="s">
        <v>582</v>
      </c>
    </row>
    <row r="46" spans="1:2" x14ac:dyDescent="0.2">
      <c r="A46" s="169" t="s">
        <v>583</v>
      </c>
      <c r="B46" s="169" t="s">
        <v>584</v>
      </c>
    </row>
    <row r="47" spans="1:2" x14ac:dyDescent="0.2">
      <c r="A47" s="169" t="s">
        <v>585</v>
      </c>
      <c r="B47" s="169" t="s">
        <v>586</v>
      </c>
    </row>
    <row r="48" spans="1:2" x14ac:dyDescent="0.2">
      <c r="A48" s="169" t="s">
        <v>587</v>
      </c>
      <c r="B48" s="169" t="s">
        <v>588</v>
      </c>
    </row>
    <row r="49" spans="1:2" x14ac:dyDescent="0.2">
      <c r="A49" s="169" t="s">
        <v>589</v>
      </c>
      <c r="B49" s="169" t="s">
        <v>590</v>
      </c>
    </row>
    <row r="50" spans="1:2" x14ac:dyDescent="0.2">
      <c r="A50" s="169" t="s">
        <v>591</v>
      </c>
      <c r="B50" s="169" t="s">
        <v>592</v>
      </c>
    </row>
    <row r="51" spans="1:2" x14ac:dyDescent="0.2">
      <c r="A51" s="169" t="s">
        <v>593</v>
      </c>
      <c r="B51" s="169" t="s">
        <v>594</v>
      </c>
    </row>
    <row r="52" spans="1:2" x14ac:dyDescent="0.2">
      <c r="A52" s="169" t="s">
        <v>595</v>
      </c>
      <c r="B52" s="169" t="s">
        <v>596</v>
      </c>
    </row>
    <row r="53" spans="1:2" x14ac:dyDescent="0.2">
      <c r="A53" s="169" t="s">
        <v>597</v>
      </c>
      <c r="B53" s="169" t="s">
        <v>598</v>
      </c>
    </row>
    <row r="54" spans="1:2" x14ac:dyDescent="0.2">
      <c r="A54" s="169" t="s">
        <v>599</v>
      </c>
      <c r="B54" s="169" t="s">
        <v>600</v>
      </c>
    </row>
    <row r="55" spans="1:2" x14ac:dyDescent="0.2">
      <c r="A55" s="169" t="s">
        <v>271</v>
      </c>
      <c r="B55" s="169" t="s">
        <v>601</v>
      </c>
    </row>
    <row r="56" spans="1:2" x14ac:dyDescent="0.2">
      <c r="A56" s="169" t="s">
        <v>184</v>
      </c>
      <c r="B56" s="169" t="s">
        <v>602</v>
      </c>
    </row>
    <row r="57" spans="1:2" x14ac:dyDescent="0.2">
      <c r="A57" s="169" t="s">
        <v>603</v>
      </c>
      <c r="B57" s="169" t="s">
        <v>604</v>
      </c>
    </row>
    <row r="58" spans="1:2" x14ac:dyDescent="0.2">
      <c r="A58" s="169" t="s">
        <v>286</v>
      </c>
      <c r="B58" s="169" t="s">
        <v>605</v>
      </c>
    </row>
    <row r="59" spans="1:2" x14ac:dyDescent="0.2">
      <c r="A59" s="169" t="s">
        <v>606</v>
      </c>
      <c r="B59" s="169" t="s">
        <v>607</v>
      </c>
    </row>
    <row r="60" spans="1:2" x14ac:dyDescent="0.2">
      <c r="A60" s="169" t="s">
        <v>608</v>
      </c>
      <c r="B60" s="169" t="s">
        <v>609</v>
      </c>
    </row>
    <row r="61" spans="1:2" x14ac:dyDescent="0.2">
      <c r="A61" s="169" t="s">
        <v>610</v>
      </c>
      <c r="B61" s="169" t="s">
        <v>611</v>
      </c>
    </row>
    <row r="62" spans="1:2" x14ac:dyDescent="0.2">
      <c r="A62" s="169" t="s">
        <v>236</v>
      </c>
      <c r="B62" s="169" t="s">
        <v>612</v>
      </c>
    </row>
    <row r="63" spans="1:2" x14ac:dyDescent="0.2">
      <c r="A63" s="169" t="s">
        <v>613</v>
      </c>
      <c r="B63" s="169" t="s">
        <v>614</v>
      </c>
    </row>
    <row r="64" spans="1:2" x14ac:dyDescent="0.2">
      <c r="A64" s="169" t="s">
        <v>615</v>
      </c>
      <c r="B64" s="169" t="s">
        <v>616</v>
      </c>
    </row>
    <row r="65" spans="1:2" x14ac:dyDescent="0.2">
      <c r="A65" s="169" t="s">
        <v>617</v>
      </c>
      <c r="B65" s="169" t="s">
        <v>618</v>
      </c>
    </row>
    <row r="66" spans="1:2" x14ac:dyDescent="0.2">
      <c r="A66" s="169" t="s">
        <v>619</v>
      </c>
      <c r="B66" s="169" t="s">
        <v>620</v>
      </c>
    </row>
    <row r="67" spans="1:2" x14ac:dyDescent="0.2">
      <c r="A67" s="169" t="s">
        <v>621</v>
      </c>
      <c r="B67" s="169" t="s">
        <v>622</v>
      </c>
    </row>
    <row r="68" spans="1:2" x14ac:dyDescent="0.2">
      <c r="A68" s="169" t="s">
        <v>623</v>
      </c>
      <c r="B68" s="169" t="s">
        <v>624</v>
      </c>
    </row>
    <row r="69" spans="1:2" x14ac:dyDescent="0.2">
      <c r="A69" s="169" t="s">
        <v>625</v>
      </c>
      <c r="B69" s="169" t="s">
        <v>626</v>
      </c>
    </row>
    <row r="70" spans="1:2" x14ac:dyDescent="0.2">
      <c r="A70" s="169" t="s">
        <v>627</v>
      </c>
      <c r="B70" s="169" t="s">
        <v>628</v>
      </c>
    </row>
    <row r="71" spans="1:2" x14ac:dyDescent="0.2">
      <c r="A71" s="169" t="s">
        <v>629</v>
      </c>
      <c r="B71" s="169" t="s">
        <v>630</v>
      </c>
    </row>
    <row r="72" spans="1:2" x14ac:dyDescent="0.2">
      <c r="A72" s="169" t="s">
        <v>631</v>
      </c>
      <c r="B72" s="169" t="s">
        <v>632</v>
      </c>
    </row>
    <row r="73" spans="1:2" x14ac:dyDescent="0.2">
      <c r="A73" s="169" t="s">
        <v>633</v>
      </c>
      <c r="B73" s="169" t="s">
        <v>634</v>
      </c>
    </row>
    <row r="74" spans="1:2" x14ac:dyDescent="0.2">
      <c r="A74" s="169" t="s">
        <v>635</v>
      </c>
      <c r="B74" s="169" t="s">
        <v>636</v>
      </c>
    </row>
    <row r="75" spans="1:2" x14ac:dyDescent="0.2">
      <c r="A75" s="169" t="s">
        <v>637</v>
      </c>
      <c r="B75" s="169" t="s">
        <v>638</v>
      </c>
    </row>
    <row r="76" spans="1:2" x14ac:dyDescent="0.2">
      <c r="A76" s="169" t="s">
        <v>639</v>
      </c>
      <c r="B76" s="169" t="s">
        <v>640</v>
      </c>
    </row>
    <row r="77" spans="1:2" x14ac:dyDescent="0.2">
      <c r="A77" s="169" t="s">
        <v>641</v>
      </c>
      <c r="B77" s="169" t="s">
        <v>642</v>
      </c>
    </row>
    <row r="78" spans="1:2" x14ac:dyDescent="0.2">
      <c r="A78" s="169" t="s">
        <v>643</v>
      </c>
      <c r="B78" s="169" t="s">
        <v>644</v>
      </c>
    </row>
    <row r="79" spans="1:2" x14ac:dyDescent="0.2">
      <c r="A79" s="169" t="s">
        <v>645</v>
      </c>
      <c r="B79" s="169" t="s">
        <v>646</v>
      </c>
    </row>
    <row r="80" spans="1:2" x14ac:dyDescent="0.2">
      <c r="A80" s="169" t="s">
        <v>192</v>
      </c>
      <c r="B80" s="169" t="s">
        <v>647</v>
      </c>
    </row>
    <row r="81" spans="1:2" x14ac:dyDescent="0.2">
      <c r="A81" s="169" t="s">
        <v>14</v>
      </c>
      <c r="B81" s="169" t="s">
        <v>648</v>
      </c>
    </row>
    <row r="82" spans="1:2" x14ac:dyDescent="0.2">
      <c r="A82" s="169" t="s">
        <v>255</v>
      </c>
      <c r="B82" s="169" t="s">
        <v>649</v>
      </c>
    </row>
    <row r="83" spans="1:2" x14ac:dyDescent="0.2">
      <c r="A83" s="169" t="s">
        <v>290</v>
      </c>
      <c r="B83" s="169" t="s">
        <v>650</v>
      </c>
    </row>
    <row r="84" spans="1:2" x14ac:dyDescent="0.2">
      <c r="A84" s="169" t="s">
        <v>261</v>
      </c>
      <c r="B84" s="169" t="s">
        <v>651</v>
      </c>
    </row>
    <row r="85" spans="1:2" x14ac:dyDescent="0.2">
      <c r="A85" s="169" t="s">
        <v>142</v>
      </c>
      <c r="B85" s="169" t="s">
        <v>652</v>
      </c>
    </row>
    <row r="86" spans="1:2" x14ac:dyDescent="0.2">
      <c r="A86" s="169" t="s">
        <v>170</v>
      </c>
      <c r="B86" s="169" t="s">
        <v>653</v>
      </c>
    </row>
    <row r="87" spans="1:2" x14ac:dyDescent="0.2">
      <c r="A87" s="169" t="s">
        <v>124</v>
      </c>
      <c r="B87" s="169" t="s">
        <v>654</v>
      </c>
    </row>
    <row r="88" spans="1:2" x14ac:dyDescent="0.2">
      <c r="A88" s="169" t="s">
        <v>172</v>
      </c>
      <c r="B88" s="169" t="s">
        <v>655</v>
      </c>
    </row>
    <row r="89" spans="1:2" x14ac:dyDescent="0.2">
      <c r="A89" s="169" t="s">
        <v>200</v>
      </c>
      <c r="B89" s="169" t="s">
        <v>656</v>
      </c>
    </row>
    <row r="90" spans="1:2" x14ac:dyDescent="0.2">
      <c r="A90" s="169" t="s">
        <v>287</v>
      </c>
      <c r="B90" s="169" t="s">
        <v>657</v>
      </c>
    </row>
    <row r="91" spans="1:2" x14ac:dyDescent="0.2">
      <c r="A91" s="169" t="s">
        <v>168</v>
      </c>
      <c r="B91" s="169" t="s">
        <v>658</v>
      </c>
    </row>
    <row r="92" spans="1:2" x14ac:dyDescent="0.2">
      <c r="A92" s="169" t="s">
        <v>128</v>
      </c>
      <c r="B92" s="169" t="s">
        <v>659</v>
      </c>
    </row>
    <row r="93" spans="1:2" x14ac:dyDescent="0.2">
      <c r="A93" s="169" t="s">
        <v>289</v>
      </c>
      <c r="B93" s="169" t="s">
        <v>660</v>
      </c>
    </row>
    <row r="94" spans="1:2" x14ac:dyDescent="0.2">
      <c r="A94" s="169" t="s">
        <v>186</v>
      </c>
      <c r="B94" s="169" t="s">
        <v>661</v>
      </c>
    </row>
    <row r="95" spans="1:2" x14ac:dyDescent="0.2">
      <c r="A95" s="169" t="s">
        <v>274</v>
      </c>
      <c r="B95" s="169" t="s">
        <v>662</v>
      </c>
    </row>
    <row r="96" spans="1:2" x14ac:dyDescent="0.2">
      <c r="A96" s="169" t="s">
        <v>201</v>
      </c>
      <c r="B96" s="169" t="s">
        <v>663</v>
      </c>
    </row>
    <row r="97" spans="1:2" x14ac:dyDescent="0.2">
      <c r="A97" s="169" t="s">
        <v>228</v>
      </c>
      <c r="B97" s="169" t="s">
        <v>664</v>
      </c>
    </row>
    <row r="98" spans="1:2" x14ac:dyDescent="0.2">
      <c r="A98" s="169" t="s">
        <v>281</v>
      </c>
      <c r="B98" s="169" t="s">
        <v>665</v>
      </c>
    </row>
    <row r="99" spans="1:2" x14ac:dyDescent="0.2">
      <c r="A99" s="169" t="s">
        <v>160</v>
      </c>
      <c r="B99" s="169" t="s">
        <v>666</v>
      </c>
    </row>
    <row r="100" spans="1:2" x14ac:dyDescent="0.2">
      <c r="A100" s="169" t="s">
        <v>159</v>
      </c>
      <c r="B100" s="169" t="s">
        <v>667</v>
      </c>
    </row>
    <row r="101" spans="1:2" x14ac:dyDescent="0.2">
      <c r="A101" s="169" t="s">
        <v>123</v>
      </c>
      <c r="B101" s="169" t="s">
        <v>668</v>
      </c>
    </row>
    <row r="102" spans="1:2" x14ac:dyDescent="0.2">
      <c r="A102" s="169" t="s">
        <v>284</v>
      </c>
      <c r="B102" s="169" t="s">
        <v>669</v>
      </c>
    </row>
    <row r="103" spans="1:2" x14ac:dyDescent="0.2">
      <c r="A103" s="169" t="s">
        <v>295</v>
      </c>
      <c r="B103" s="169" t="s">
        <v>670</v>
      </c>
    </row>
    <row r="104" spans="1:2" x14ac:dyDescent="0.2">
      <c r="A104" s="169" t="s">
        <v>233</v>
      </c>
      <c r="B104" s="169" t="s">
        <v>671</v>
      </c>
    </row>
    <row r="105" spans="1:2" x14ac:dyDescent="0.2">
      <c r="A105" s="169" t="s">
        <v>307</v>
      </c>
      <c r="B105" s="169" t="s">
        <v>672</v>
      </c>
    </row>
    <row r="106" spans="1:2" x14ac:dyDescent="0.2">
      <c r="A106" s="169" t="s">
        <v>251</v>
      </c>
      <c r="B106" s="169" t="s">
        <v>673</v>
      </c>
    </row>
    <row r="107" spans="1:2" x14ac:dyDescent="0.2">
      <c r="A107" s="169" t="s">
        <v>232</v>
      </c>
      <c r="B107" s="169" t="s">
        <v>674</v>
      </c>
    </row>
    <row r="108" spans="1:2" x14ac:dyDescent="0.2">
      <c r="A108" s="169" t="s">
        <v>263</v>
      </c>
      <c r="B108" s="169" t="s">
        <v>675</v>
      </c>
    </row>
    <row r="109" spans="1:2" x14ac:dyDescent="0.2">
      <c r="A109" s="169" t="s">
        <v>676</v>
      </c>
      <c r="B109" s="169" t="s">
        <v>677</v>
      </c>
    </row>
    <row r="110" spans="1:2" x14ac:dyDescent="0.2">
      <c r="A110" s="169" t="s">
        <v>678</v>
      </c>
      <c r="B110" s="169" t="s">
        <v>679</v>
      </c>
    </row>
    <row r="111" spans="1:2" x14ac:dyDescent="0.2">
      <c r="A111" s="169" t="s">
        <v>179</v>
      </c>
      <c r="B111" s="169" t="s">
        <v>680</v>
      </c>
    </row>
    <row r="112" spans="1:2" x14ac:dyDescent="0.2">
      <c r="A112" s="169" t="s">
        <v>681</v>
      </c>
      <c r="B112" s="169" t="s">
        <v>682</v>
      </c>
    </row>
    <row r="113" spans="1:2" x14ac:dyDescent="0.2">
      <c r="A113" s="169" t="s">
        <v>683</v>
      </c>
      <c r="B113" s="169" t="s">
        <v>684</v>
      </c>
    </row>
    <row r="114" spans="1:2" x14ac:dyDescent="0.2">
      <c r="A114" s="169" t="s">
        <v>685</v>
      </c>
      <c r="B114" s="169" t="s">
        <v>686</v>
      </c>
    </row>
    <row r="115" spans="1:2" x14ac:dyDescent="0.2">
      <c r="A115" s="169" t="s">
        <v>687</v>
      </c>
      <c r="B115" s="169" t="s">
        <v>688</v>
      </c>
    </row>
    <row r="116" spans="1:2" x14ac:dyDescent="0.2">
      <c r="A116" s="169" t="s">
        <v>122</v>
      </c>
      <c r="B116" s="169" t="s">
        <v>689</v>
      </c>
    </row>
    <row r="117" spans="1:2" x14ac:dyDescent="0.2">
      <c r="A117" s="169" t="s">
        <v>206</v>
      </c>
      <c r="B117" s="169" t="s">
        <v>690</v>
      </c>
    </row>
    <row r="118" spans="1:2" x14ac:dyDescent="0.2">
      <c r="A118" s="169" t="s">
        <v>691</v>
      </c>
      <c r="B118" s="169" t="s">
        <v>692</v>
      </c>
    </row>
    <row r="119" spans="1:2" x14ac:dyDescent="0.2">
      <c r="A119" s="169" t="s">
        <v>693</v>
      </c>
      <c r="B119" s="169" t="s">
        <v>694</v>
      </c>
    </row>
    <row r="120" spans="1:2" x14ac:dyDescent="0.2">
      <c r="A120" s="169" t="s">
        <v>695</v>
      </c>
      <c r="B120" s="169" t="s">
        <v>696</v>
      </c>
    </row>
    <row r="121" spans="1:2" x14ac:dyDescent="0.2">
      <c r="A121" s="169" t="s">
        <v>121</v>
      </c>
      <c r="B121" s="169" t="s">
        <v>697</v>
      </c>
    </row>
    <row r="122" spans="1:2" x14ac:dyDescent="0.2">
      <c r="A122" s="169" t="s">
        <v>223</v>
      </c>
      <c r="B122" s="169" t="s">
        <v>698</v>
      </c>
    </row>
    <row r="123" spans="1:2" x14ac:dyDescent="0.2">
      <c r="A123" s="169" t="s">
        <v>301</v>
      </c>
      <c r="B123" s="169" t="s">
        <v>699</v>
      </c>
    </row>
    <row r="124" spans="1:2" x14ac:dyDescent="0.2">
      <c r="A124" s="169" t="s">
        <v>700</v>
      </c>
      <c r="B124" s="169" t="s">
        <v>701</v>
      </c>
    </row>
    <row r="125" spans="1:2" x14ac:dyDescent="0.2">
      <c r="A125" s="169" t="s">
        <v>702</v>
      </c>
      <c r="B125" s="169" t="s">
        <v>703</v>
      </c>
    </row>
    <row r="126" spans="1:2" x14ac:dyDescent="0.2">
      <c r="A126" s="169" t="s">
        <v>704</v>
      </c>
      <c r="B126" s="169" t="s">
        <v>705</v>
      </c>
    </row>
    <row r="127" spans="1:2" x14ac:dyDescent="0.2">
      <c r="A127" s="169" t="s">
        <v>319</v>
      </c>
      <c r="B127" s="169" t="s">
        <v>706</v>
      </c>
    </row>
    <row r="128" spans="1:2" x14ac:dyDescent="0.2">
      <c r="A128" s="169" t="s">
        <v>293</v>
      </c>
      <c r="B128" s="169" t="s">
        <v>707</v>
      </c>
    </row>
    <row r="129" spans="1:2" x14ac:dyDescent="0.2">
      <c r="A129" s="169" t="s">
        <v>308</v>
      </c>
      <c r="B129" s="169" t="s">
        <v>708</v>
      </c>
    </row>
    <row r="130" spans="1:2" x14ac:dyDescent="0.2">
      <c r="A130" s="169" t="s">
        <v>147</v>
      </c>
      <c r="B130" s="169" t="s">
        <v>709</v>
      </c>
    </row>
    <row r="131" spans="1:2" x14ac:dyDescent="0.2">
      <c r="A131" s="169" t="s">
        <v>224</v>
      </c>
      <c r="B131" s="169" t="s">
        <v>710</v>
      </c>
    </row>
    <row r="132" spans="1:2" x14ac:dyDescent="0.2">
      <c r="A132" s="169" t="s">
        <v>235</v>
      </c>
      <c r="B132" s="169" t="s">
        <v>711</v>
      </c>
    </row>
    <row r="133" spans="1:2" x14ac:dyDescent="0.2">
      <c r="A133" s="169" t="s">
        <v>151</v>
      </c>
      <c r="B133" s="169" t="s">
        <v>712</v>
      </c>
    </row>
    <row r="134" spans="1:2" x14ac:dyDescent="0.2">
      <c r="A134" s="169" t="s">
        <v>154</v>
      </c>
      <c r="B134" s="169" t="s">
        <v>713</v>
      </c>
    </row>
    <row r="135" spans="1:2" x14ac:dyDescent="0.2">
      <c r="A135" s="169" t="s">
        <v>714</v>
      </c>
      <c r="B135" s="169" t="s">
        <v>715</v>
      </c>
    </row>
    <row r="136" spans="1:2" x14ac:dyDescent="0.2">
      <c r="A136" s="169" t="s">
        <v>205</v>
      </c>
      <c r="B136" s="169" t="s">
        <v>716</v>
      </c>
    </row>
    <row r="137" spans="1:2" x14ac:dyDescent="0.2">
      <c r="A137" s="169" t="s">
        <v>126</v>
      </c>
      <c r="B137" s="169" t="s">
        <v>717</v>
      </c>
    </row>
    <row r="138" spans="1:2" x14ac:dyDescent="0.2">
      <c r="A138" s="169" t="s">
        <v>144</v>
      </c>
      <c r="B138" s="169" t="s">
        <v>718</v>
      </c>
    </row>
    <row r="139" spans="1:2" x14ac:dyDescent="0.2">
      <c r="A139" s="169" t="s">
        <v>259</v>
      </c>
      <c r="B139" s="169" t="s">
        <v>719</v>
      </c>
    </row>
    <row r="140" spans="1:2" x14ac:dyDescent="0.2">
      <c r="A140" s="169" t="s">
        <v>720</v>
      </c>
      <c r="B140" s="169" t="s">
        <v>721</v>
      </c>
    </row>
    <row r="141" spans="1:2" x14ac:dyDescent="0.2">
      <c r="A141" s="169" t="s">
        <v>722</v>
      </c>
      <c r="B141" s="169" t="s">
        <v>723</v>
      </c>
    </row>
    <row r="142" spans="1:2" x14ac:dyDescent="0.2">
      <c r="A142" s="169" t="s">
        <v>155</v>
      </c>
      <c r="B142" s="169" t="s">
        <v>724</v>
      </c>
    </row>
    <row r="143" spans="1:2" x14ac:dyDescent="0.2">
      <c r="A143" s="169" t="s">
        <v>260</v>
      </c>
      <c r="B143" s="169" t="s">
        <v>725</v>
      </c>
    </row>
    <row r="144" spans="1:2" x14ac:dyDescent="0.2">
      <c r="A144" s="169" t="s">
        <v>150</v>
      </c>
      <c r="B144" s="169" t="s">
        <v>726</v>
      </c>
    </row>
    <row r="145" spans="1:2" x14ac:dyDescent="0.2">
      <c r="A145" s="169" t="s">
        <v>243</v>
      </c>
      <c r="B145" s="169" t="s">
        <v>727</v>
      </c>
    </row>
    <row r="146" spans="1:2" x14ac:dyDescent="0.2">
      <c r="A146" s="169" t="s">
        <v>728</v>
      </c>
      <c r="B146" s="169" t="s">
        <v>729</v>
      </c>
    </row>
    <row r="147" spans="1:2" x14ac:dyDescent="0.2">
      <c r="A147" s="169" t="s">
        <v>730</v>
      </c>
      <c r="B147" s="169" t="s">
        <v>731</v>
      </c>
    </row>
    <row r="148" spans="1:2" x14ac:dyDescent="0.2">
      <c r="A148" s="169" t="s">
        <v>183</v>
      </c>
      <c r="B148" s="169" t="s">
        <v>732</v>
      </c>
    </row>
    <row r="149" spans="1:2" x14ac:dyDescent="0.2">
      <c r="A149" s="169" t="s">
        <v>245</v>
      </c>
      <c r="B149" s="169" t="s">
        <v>733</v>
      </c>
    </row>
    <row r="150" spans="1:2" x14ac:dyDescent="0.2">
      <c r="A150" s="169" t="s">
        <v>244</v>
      </c>
      <c r="B150" s="169" t="s">
        <v>734</v>
      </c>
    </row>
    <row r="151" spans="1:2" x14ac:dyDescent="0.2">
      <c r="A151" s="169" t="s">
        <v>735</v>
      </c>
      <c r="B151" s="169" t="s">
        <v>736</v>
      </c>
    </row>
    <row r="152" spans="1:2" x14ac:dyDescent="0.2">
      <c r="A152" s="169" t="s">
        <v>737</v>
      </c>
      <c r="B152" s="169" t="s">
        <v>738</v>
      </c>
    </row>
    <row r="153" spans="1:2" x14ac:dyDescent="0.2">
      <c r="A153" s="169" t="s">
        <v>739</v>
      </c>
      <c r="B153" s="169" t="s">
        <v>740</v>
      </c>
    </row>
    <row r="154" spans="1:2" x14ac:dyDescent="0.2">
      <c r="A154" s="169" t="s">
        <v>741</v>
      </c>
      <c r="B154" s="169" t="s">
        <v>742</v>
      </c>
    </row>
    <row r="155" spans="1:2" x14ac:dyDescent="0.2">
      <c r="A155" s="169" t="s">
        <v>743</v>
      </c>
      <c r="B155" s="169" t="s">
        <v>744</v>
      </c>
    </row>
    <row r="156" spans="1:2" x14ac:dyDescent="0.2">
      <c r="A156" s="169" t="s">
        <v>745</v>
      </c>
      <c r="B156" s="169" t="s">
        <v>746</v>
      </c>
    </row>
    <row r="157" spans="1:2" x14ac:dyDescent="0.2">
      <c r="A157" s="169" t="s">
        <v>747</v>
      </c>
      <c r="B157" s="169" t="s">
        <v>748</v>
      </c>
    </row>
    <row r="158" spans="1:2" x14ac:dyDescent="0.2">
      <c r="A158" s="169" t="s">
        <v>749</v>
      </c>
      <c r="B158" s="169" t="s">
        <v>750</v>
      </c>
    </row>
    <row r="159" spans="1:2" x14ac:dyDescent="0.2">
      <c r="A159" s="169" t="s">
        <v>751</v>
      </c>
      <c r="B159" s="169" t="s">
        <v>752</v>
      </c>
    </row>
    <row r="160" spans="1:2" x14ac:dyDescent="0.2">
      <c r="A160" s="169" t="s">
        <v>753</v>
      </c>
      <c r="B160" s="169" t="s">
        <v>754</v>
      </c>
    </row>
    <row r="161" spans="1:2" x14ac:dyDescent="0.2">
      <c r="A161" s="169" t="s">
        <v>166</v>
      </c>
      <c r="B161" s="169" t="s">
        <v>755</v>
      </c>
    </row>
    <row r="162" spans="1:2" x14ac:dyDescent="0.2">
      <c r="A162" s="169" t="s">
        <v>253</v>
      </c>
      <c r="B162" s="169" t="s">
        <v>756</v>
      </c>
    </row>
    <row r="163" spans="1:2" x14ac:dyDescent="0.2">
      <c r="A163" s="169" t="s">
        <v>212</v>
      </c>
      <c r="B163" s="169" t="s">
        <v>757</v>
      </c>
    </row>
    <row r="164" spans="1:2" x14ac:dyDescent="0.2">
      <c r="A164" s="169" t="s">
        <v>312</v>
      </c>
      <c r="B164" s="169" t="s">
        <v>758</v>
      </c>
    </row>
    <row r="165" spans="1:2" x14ac:dyDescent="0.2">
      <c r="A165" s="169" t="s">
        <v>143</v>
      </c>
      <c r="B165" s="169" t="s">
        <v>759</v>
      </c>
    </row>
    <row r="166" spans="1:2" x14ac:dyDescent="0.2">
      <c r="A166" s="169" t="s">
        <v>264</v>
      </c>
      <c r="B166" s="169" t="s">
        <v>760</v>
      </c>
    </row>
    <row r="167" spans="1:2" x14ac:dyDescent="0.2">
      <c r="A167" s="169" t="s">
        <v>761</v>
      </c>
      <c r="B167" s="169" t="s">
        <v>762</v>
      </c>
    </row>
    <row r="168" spans="1:2" x14ac:dyDescent="0.2">
      <c r="A168" s="169" t="s">
        <v>763</v>
      </c>
      <c r="B168" s="169" t="s">
        <v>764</v>
      </c>
    </row>
    <row r="169" spans="1:2" x14ac:dyDescent="0.2">
      <c r="A169" s="169" t="s">
        <v>765</v>
      </c>
      <c r="B169" s="169" t="s">
        <v>766</v>
      </c>
    </row>
    <row r="170" spans="1:2" x14ac:dyDescent="0.2">
      <c r="A170" s="169" t="s">
        <v>767</v>
      </c>
      <c r="B170" s="169" t="s">
        <v>768</v>
      </c>
    </row>
    <row r="171" spans="1:2" x14ac:dyDescent="0.2">
      <c r="A171" s="169" t="s">
        <v>249</v>
      </c>
      <c r="B171" s="169" t="s">
        <v>769</v>
      </c>
    </row>
    <row r="172" spans="1:2" x14ac:dyDescent="0.2">
      <c r="A172" s="169" t="s">
        <v>770</v>
      </c>
      <c r="B172" s="169" t="s">
        <v>771</v>
      </c>
    </row>
    <row r="173" spans="1:2" x14ac:dyDescent="0.2">
      <c r="A173" s="169" t="s">
        <v>772</v>
      </c>
      <c r="B173" s="169" t="s">
        <v>773</v>
      </c>
    </row>
    <row r="174" spans="1:2" x14ac:dyDescent="0.2">
      <c r="A174" s="169" t="s">
        <v>203</v>
      </c>
      <c r="B174" s="169" t="s">
        <v>774</v>
      </c>
    </row>
    <row r="175" spans="1:2" x14ac:dyDescent="0.2">
      <c r="A175" s="169" t="s">
        <v>775</v>
      </c>
      <c r="B175" s="169" t="s">
        <v>776</v>
      </c>
    </row>
    <row r="176" spans="1:2" x14ac:dyDescent="0.2">
      <c r="A176" s="169" t="s">
        <v>777</v>
      </c>
      <c r="B176" s="169" t="s">
        <v>778</v>
      </c>
    </row>
    <row r="177" spans="1:2" x14ac:dyDescent="0.2">
      <c r="A177" s="169" t="s">
        <v>222</v>
      </c>
      <c r="B177" s="169" t="s">
        <v>779</v>
      </c>
    </row>
    <row r="178" spans="1:2" x14ac:dyDescent="0.2">
      <c r="A178" s="169" t="s">
        <v>780</v>
      </c>
      <c r="B178" s="169" t="s">
        <v>781</v>
      </c>
    </row>
    <row r="179" spans="1:2" x14ac:dyDescent="0.2">
      <c r="A179" s="169" t="s">
        <v>782</v>
      </c>
      <c r="B179" s="169" t="s">
        <v>783</v>
      </c>
    </row>
    <row r="180" spans="1:2" x14ac:dyDescent="0.2">
      <c r="A180" s="169" t="s">
        <v>288</v>
      </c>
      <c r="B180" s="169" t="s">
        <v>784</v>
      </c>
    </row>
    <row r="181" spans="1:2" x14ac:dyDescent="0.2">
      <c r="A181" s="169" t="s">
        <v>146</v>
      </c>
      <c r="B181" s="169" t="s">
        <v>785</v>
      </c>
    </row>
    <row r="182" spans="1:2" x14ac:dyDescent="0.2">
      <c r="A182" s="169" t="s">
        <v>786</v>
      </c>
      <c r="B182" s="169" t="s">
        <v>787</v>
      </c>
    </row>
    <row r="183" spans="1:2" x14ac:dyDescent="0.2">
      <c r="A183" s="169" t="s">
        <v>788</v>
      </c>
      <c r="B183" s="169" t="s">
        <v>789</v>
      </c>
    </row>
    <row r="184" spans="1:2" x14ac:dyDescent="0.2">
      <c r="A184" s="169" t="s">
        <v>790</v>
      </c>
      <c r="B184" s="169" t="s">
        <v>791</v>
      </c>
    </row>
    <row r="185" spans="1:2" x14ac:dyDescent="0.2">
      <c r="A185" s="169" t="s">
        <v>792</v>
      </c>
      <c r="B185" s="169" t="s">
        <v>793</v>
      </c>
    </row>
    <row r="186" spans="1:2" x14ac:dyDescent="0.2">
      <c r="A186" s="169" t="s">
        <v>111</v>
      </c>
      <c r="B186" s="169" t="s">
        <v>794</v>
      </c>
    </row>
    <row r="187" spans="1:2" x14ac:dyDescent="0.2">
      <c r="A187" s="169" t="s">
        <v>248</v>
      </c>
      <c r="B187" s="169" t="s">
        <v>795</v>
      </c>
    </row>
    <row r="188" spans="1:2" x14ac:dyDescent="0.2">
      <c r="A188" s="169" t="s">
        <v>120</v>
      </c>
      <c r="B188" s="169" t="s">
        <v>796</v>
      </c>
    </row>
    <row r="189" spans="1:2" x14ac:dyDescent="0.2">
      <c r="A189" s="169" t="s">
        <v>797</v>
      </c>
      <c r="B189" s="169" t="s">
        <v>798</v>
      </c>
    </row>
    <row r="190" spans="1:2" x14ac:dyDescent="0.2">
      <c r="A190" s="169" t="s">
        <v>799</v>
      </c>
      <c r="B190" s="169" t="s">
        <v>800</v>
      </c>
    </row>
    <row r="191" spans="1:2" x14ac:dyDescent="0.2">
      <c r="A191" s="169" t="s">
        <v>801</v>
      </c>
      <c r="B191" s="169" t="s">
        <v>802</v>
      </c>
    </row>
    <row r="192" spans="1:2" x14ac:dyDescent="0.2">
      <c r="A192" s="169" t="s">
        <v>803</v>
      </c>
      <c r="B192" s="169" t="s">
        <v>804</v>
      </c>
    </row>
    <row r="193" spans="1:2" x14ac:dyDescent="0.2">
      <c r="A193" s="169" t="s">
        <v>805</v>
      </c>
      <c r="B193" s="169" t="s">
        <v>806</v>
      </c>
    </row>
    <row r="194" spans="1:2" x14ac:dyDescent="0.2">
      <c r="A194" s="169" t="s">
        <v>238</v>
      </c>
      <c r="B194" s="169" t="s">
        <v>807</v>
      </c>
    </row>
    <row r="195" spans="1:2" x14ac:dyDescent="0.2">
      <c r="A195" s="169" t="s">
        <v>230</v>
      </c>
      <c r="B195" s="169" t="s">
        <v>808</v>
      </c>
    </row>
    <row r="196" spans="1:2" x14ac:dyDescent="0.2">
      <c r="A196" s="169" t="s">
        <v>809</v>
      </c>
      <c r="B196" s="169" t="s">
        <v>810</v>
      </c>
    </row>
    <row r="197" spans="1:2" x14ac:dyDescent="0.2">
      <c r="A197" s="169" t="s">
        <v>306</v>
      </c>
      <c r="B197" s="169" t="s">
        <v>811</v>
      </c>
    </row>
    <row r="198" spans="1:2" x14ac:dyDescent="0.2">
      <c r="A198" s="169" t="s">
        <v>254</v>
      </c>
      <c r="B198" s="169" t="s">
        <v>812</v>
      </c>
    </row>
    <row r="199" spans="1:2" x14ac:dyDescent="0.2">
      <c r="A199" s="169" t="s">
        <v>152</v>
      </c>
      <c r="B199" s="169" t="s">
        <v>813</v>
      </c>
    </row>
    <row r="200" spans="1:2" x14ac:dyDescent="0.2">
      <c r="A200" s="169" t="s">
        <v>191</v>
      </c>
      <c r="B200" s="169" t="s">
        <v>814</v>
      </c>
    </row>
    <row r="201" spans="1:2" x14ac:dyDescent="0.2">
      <c r="A201" s="169" t="s">
        <v>815</v>
      </c>
      <c r="B201" s="169" t="s">
        <v>816</v>
      </c>
    </row>
    <row r="202" spans="1:2" x14ac:dyDescent="0.2">
      <c r="A202" s="169" t="s">
        <v>817</v>
      </c>
      <c r="B202" s="169" t="s">
        <v>818</v>
      </c>
    </row>
    <row r="203" spans="1:2" x14ac:dyDescent="0.2">
      <c r="A203" s="169" t="s">
        <v>819</v>
      </c>
      <c r="B203" s="169" t="s">
        <v>820</v>
      </c>
    </row>
    <row r="204" spans="1:2" x14ac:dyDescent="0.2">
      <c r="A204" s="169" t="s">
        <v>821</v>
      </c>
      <c r="B204" s="169" t="s">
        <v>822</v>
      </c>
    </row>
    <row r="205" spans="1:2" x14ac:dyDescent="0.2">
      <c r="A205" s="169" t="s">
        <v>823</v>
      </c>
      <c r="B205" s="169" t="s">
        <v>824</v>
      </c>
    </row>
    <row r="206" spans="1:2" x14ac:dyDescent="0.2">
      <c r="A206" s="169" t="s">
        <v>825</v>
      </c>
      <c r="B206" s="169" t="s">
        <v>826</v>
      </c>
    </row>
    <row r="207" spans="1:2" x14ac:dyDescent="0.2">
      <c r="A207" s="169" t="s">
        <v>125</v>
      </c>
      <c r="B207" s="169" t="s">
        <v>827</v>
      </c>
    </row>
    <row r="208" spans="1:2" x14ac:dyDescent="0.2">
      <c r="A208" s="169" t="s">
        <v>180</v>
      </c>
      <c r="B208" s="169" t="s">
        <v>828</v>
      </c>
    </row>
    <row r="209" spans="1:2" x14ac:dyDescent="0.2">
      <c r="A209" s="169" t="s">
        <v>829</v>
      </c>
      <c r="B209" s="169" t="s">
        <v>830</v>
      </c>
    </row>
    <row r="210" spans="1:2" x14ac:dyDescent="0.2">
      <c r="A210" s="169" t="s">
        <v>193</v>
      </c>
      <c r="B210" s="169" t="s">
        <v>831</v>
      </c>
    </row>
    <row r="211" spans="1:2" x14ac:dyDescent="0.2">
      <c r="A211" s="169" t="s">
        <v>832</v>
      </c>
      <c r="B211" s="169" t="s">
        <v>833</v>
      </c>
    </row>
    <row r="212" spans="1:2" x14ac:dyDescent="0.2">
      <c r="A212" s="169" t="s">
        <v>834</v>
      </c>
      <c r="B212" s="169" t="s">
        <v>835</v>
      </c>
    </row>
    <row r="213" spans="1:2" x14ac:dyDescent="0.2">
      <c r="A213" s="169" t="s">
        <v>836</v>
      </c>
      <c r="B213" s="169" t="s">
        <v>837</v>
      </c>
    </row>
    <row r="214" spans="1:2" x14ac:dyDescent="0.2">
      <c r="A214" s="169" t="s">
        <v>838</v>
      </c>
      <c r="B214" s="169" t="s">
        <v>839</v>
      </c>
    </row>
    <row r="215" spans="1:2" x14ac:dyDescent="0.2">
      <c r="A215" s="169" t="s">
        <v>262</v>
      </c>
      <c r="B215" s="169" t="s">
        <v>840</v>
      </c>
    </row>
    <row r="216" spans="1:2" x14ac:dyDescent="0.2">
      <c r="A216" s="169" t="s">
        <v>841</v>
      </c>
      <c r="B216" s="169" t="s">
        <v>842</v>
      </c>
    </row>
    <row r="217" spans="1:2" x14ac:dyDescent="0.2">
      <c r="A217" s="169" t="s">
        <v>257</v>
      </c>
      <c r="B217" s="169" t="s">
        <v>843</v>
      </c>
    </row>
    <row r="218" spans="1:2" x14ac:dyDescent="0.2">
      <c r="A218" s="169" t="s">
        <v>844</v>
      </c>
      <c r="B218" s="169" t="s">
        <v>845</v>
      </c>
    </row>
    <row r="219" spans="1:2" x14ac:dyDescent="0.2">
      <c r="A219" s="169" t="s">
        <v>846</v>
      </c>
      <c r="B219" s="169" t="s">
        <v>847</v>
      </c>
    </row>
    <row r="220" spans="1:2" x14ac:dyDescent="0.2">
      <c r="A220" s="169" t="s">
        <v>214</v>
      </c>
      <c r="B220" s="169" t="s">
        <v>848</v>
      </c>
    </row>
    <row r="221" spans="1:2" x14ac:dyDescent="0.2">
      <c r="A221" s="169" t="s">
        <v>849</v>
      </c>
      <c r="B221" s="169" t="s">
        <v>850</v>
      </c>
    </row>
    <row r="222" spans="1:2" x14ac:dyDescent="0.2">
      <c r="A222" s="169" t="s">
        <v>195</v>
      </c>
      <c r="B222" s="169" t="s">
        <v>851</v>
      </c>
    </row>
    <row r="223" spans="1:2" x14ac:dyDescent="0.2">
      <c r="A223" s="169" t="s">
        <v>852</v>
      </c>
      <c r="B223" s="169" t="s">
        <v>853</v>
      </c>
    </row>
    <row r="224" spans="1:2" x14ac:dyDescent="0.2">
      <c r="A224" s="169" t="s">
        <v>229</v>
      </c>
      <c r="B224" s="169" t="s">
        <v>854</v>
      </c>
    </row>
    <row r="225" spans="1:2" x14ac:dyDescent="0.2">
      <c r="A225" s="169" t="s">
        <v>855</v>
      </c>
      <c r="B225" s="169" t="s">
        <v>856</v>
      </c>
    </row>
    <row r="226" spans="1:2" x14ac:dyDescent="0.2">
      <c r="A226" s="169" t="s">
        <v>857</v>
      </c>
      <c r="B226" s="169" t="s">
        <v>858</v>
      </c>
    </row>
    <row r="227" spans="1:2" x14ac:dyDescent="0.2">
      <c r="A227" s="169" t="s">
        <v>859</v>
      </c>
      <c r="B227" s="169" t="s">
        <v>860</v>
      </c>
    </row>
    <row r="228" spans="1:2" x14ac:dyDescent="0.2">
      <c r="A228" s="169" t="s">
        <v>861</v>
      </c>
      <c r="B228" s="169" t="s">
        <v>862</v>
      </c>
    </row>
    <row r="229" spans="1:2" x14ac:dyDescent="0.2">
      <c r="A229" s="169" t="s">
        <v>863</v>
      </c>
      <c r="B229" s="169" t="s">
        <v>864</v>
      </c>
    </row>
    <row r="230" spans="1:2" x14ac:dyDescent="0.2">
      <c r="A230" s="169" t="s">
        <v>300</v>
      </c>
      <c r="B230" s="169" t="s">
        <v>865</v>
      </c>
    </row>
    <row r="231" spans="1:2" x14ac:dyDescent="0.2">
      <c r="A231" s="169" t="s">
        <v>866</v>
      </c>
      <c r="B231" s="169" t="s">
        <v>867</v>
      </c>
    </row>
    <row r="232" spans="1:2" x14ac:dyDescent="0.2">
      <c r="A232" s="169" t="s">
        <v>185</v>
      </c>
      <c r="B232" s="169" t="s">
        <v>868</v>
      </c>
    </row>
    <row r="233" spans="1:2" x14ac:dyDescent="0.2">
      <c r="A233" s="169" t="s">
        <v>869</v>
      </c>
      <c r="B233" s="169" t="s">
        <v>870</v>
      </c>
    </row>
    <row r="234" spans="1:2" x14ac:dyDescent="0.2">
      <c r="A234" s="169" t="s">
        <v>157</v>
      </c>
      <c r="B234" s="169" t="s">
        <v>871</v>
      </c>
    </row>
    <row r="235" spans="1:2" x14ac:dyDescent="0.2">
      <c r="A235" s="169" t="s">
        <v>266</v>
      </c>
      <c r="B235" s="169" t="s">
        <v>872</v>
      </c>
    </row>
    <row r="236" spans="1:2" x14ac:dyDescent="0.2">
      <c r="A236" s="169" t="s">
        <v>181</v>
      </c>
      <c r="B236" s="169" t="s">
        <v>873</v>
      </c>
    </row>
    <row r="237" spans="1:2" x14ac:dyDescent="0.2">
      <c r="A237" s="169" t="s">
        <v>874</v>
      </c>
      <c r="B237" s="169" t="s">
        <v>875</v>
      </c>
    </row>
    <row r="238" spans="1:2" x14ac:dyDescent="0.2">
      <c r="A238" s="169" t="s">
        <v>258</v>
      </c>
      <c r="B238" s="169" t="s">
        <v>876</v>
      </c>
    </row>
    <row r="239" spans="1:2" x14ac:dyDescent="0.2">
      <c r="A239" s="169" t="s">
        <v>877</v>
      </c>
      <c r="B239" s="169" t="s">
        <v>878</v>
      </c>
    </row>
    <row r="240" spans="1:2" x14ac:dyDescent="0.2">
      <c r="A240" s="169" t="s">
        <v>879</v>
      </c>
      <c r="B240" s="169" t="s">
        <v>880</v>
      </c>
    </row>
    <row r="241" spans="1:2" x14ac:dyDescent="0.2">
      <c r="A241" s="169" t="s">
        <v>175</v>
      </c>
      <c r="B241" s="169" t="s">
        <v>881</v>
      </c>
    </row>
    <row r="242" spans="1:2" x14ac:dyDescent="0.2">
      <c r="A242" s="169" t="s">
        <v>882</v>
      </c>
      <c r="B242" s="169" t="s">
        <v>883</v>
      </c>
    </row>
    <row r="243" spans="1:2" x14ac:dyDescent="0.2">
      <c r="A243" s="169" t="s">
        <v>884</v>
      </c>
      <c r="B243" s="169" t="s">
        <v>885</v>
      </c>
    </row>
    <row r="244" spans="1:2" x14ac:dyDescent="0.2">
      <c r="A244" s="169" t="s">
        <v>886</v>
      </c>
      <c r="B244" s="169" t="s">
        <v>887</v>
      </c>
    </row>
    <row r="245" spans="1:2" x14ac:dyDescent="0.2">
      <c r="A245" s="169" t="s">
        <v>888</v>
      </c>
      <c r="B245" s="169" t="s">
        <v>889</v>
      </c>
    </row>
    <row r="246" spans="1:2" x14ac:dyDescent="0.2">
      <c r="A246" s="169" t="s">
        <v>890</v>
      </c>
      <c r="B246" s="169" t="s">
        <v>891</v>
      </c>
    </row>
    <row r="247" spans="1:2" x14ac:dyDescent="0.2">
      <c r="A247" s="169" t="s">
        <v>294</v>
      </c>
      <c r="B247" s="169" t="s">
        <v>892</v>
      </c>
    </row>
    <row r="248" spans="1:2" x14ac:dyDescent="0.2">
      <c r="A248" s="169" t="s">
        <v>239</v>
      </c>
      <c r="B248" s="169" t="s">
        <v>893</v>
      </c>
    </row>
    <row r="249" spans="1:2" x14ac:dyDescent="0.2">
      <c r="A249" s="169" t="s">
        <v>894</v>
      </c>
      <c r="B249" s="169" t="s">
        <v>895</v>
      </c>
    </row>
    <row r="250" spans="1:2" x14ac:dyDescent="0.2">
      <c r="A250" s="170" t="s">
        <v>896</v>
      </c>
      <c r="B250" s="169" t="s">
        <v>897</v>
      </c>
    </row>
    <row r="251" spans="1:2" x14ac:dyDescent="0.2">
      <c r="A251" s="169" t="s">
        <v>133</v>
      </c>
      <c r="B251" s="169" t="s">
        <v>898</v>
      </c>
    </row>
    <row r="252" spans="1:2" x14ac:dyDescent="0.2">
      <c r="A252" s="169" t="s">
        <v>899</v>
      </c>
      <c r="B252" s="169" t="s">
        <v>900</v>
      </c>
    </row>
    <row r="253" spans="1:2" x14ac:dyDescent="0.2">
      <c r="A253" s="169" t="s">
        <v>901</v>
      </c>
      <c r="B253" s="169" t="s">
        <v>902</v>
      </c>
    </row>
    <row r="254" spans="1:2" x14ac:dyDescent="0.2">
      <c r="A254" s="169" t="s">
        <v>163</v>
      </c>
      <c r="B254" s="169" t="s">
        <v>903</v>
      </c>
    </row>
    <row r="255" spans="1:2" x14ac:dyDescent="0.2">
      <c r="A255" s="169" t="s">
        <v>904</v>
      </c>
      <c r="B255" s="169" t="s">
        <v>905</v>
      </c>
    </row>
    <row r="256" spans="1:2" x14ac:dyDescent="0.2">
      <c r="A256" s="169" t="s">
        <v>906</v>
      </c>
      <c r="B256" s="169" t="s">
        <v>907</v>
      </c>
    </row>
    <row r="257" spans="1:2" x14ac:dyDescent="0.2">
      <c r="A257" s="169" t="s">
        <v>908</v>
      </c>
      <c r="B257" s="169" t="s">
        <v>909</v>
      </c>
    </row>
    <row r="258" spans="1:2" x14ac:dyDescent="0.2">
      <c r="A258" s="169" t="s">
        <v>153</v>
      </c>
      <c r="B258" s="169" t="s">
        <v>910</v>
      </c>
    </row>
    <row r="259" spans="1:2" x14ac:dyDescent="0.2">
      <c r="A259" s="169" t="s">
        <v>911</v>
      </c>
      <c r="B259" s="169" t="s">
        <v>912</v>
      </c>
    </row>
    <row r="260" spans="1:2" x14ac:dyDescent="0.2">
      <c r="A260" s="169" t="s">
        <v>913</v>
      </c>
      <c r="B260" s="169" t="s">
        <v>914</v>
      </c>
    </row>
    <row r="261" spans="1:2" x14ac:dyDescent="0.2">
      <c r="A261" s="169" t="s">
        <v>915</v>
      </c>
      <c r="B261" s="169" t="s">
        <v>916</v>
      </c>
    </row>
    <row r="262" spans="1:2" x14ac:dyDescent="0.2">
      <c r="A262" s="169" t="s">
        <v>323</v>
      </c>
      <c r="B262" s="169" t="s">
        <v>917</v>
      </c>
    </row>
    <row r="263" spans="1:2" x14ac:dyDescent="0.2">
      <c r="A263" s="169" t="s">
        <v>305</v>
      </c>
      <c r="B263" s="169" t="s">
        <v>918</v>
      </c>
    </row>
    <row r="264" spans="1:2" x14ac:dyDescent="0.2">
      <c r="A264" s="169" t="s">
        <v>139</v>
      </c>
      <c r="B264" s="169" t="s">
        <v>919</v>
      </c>
    </row>
    <row r="265" spans="1:2" x14ac:dyDescent="0.2">
      <c r="A265" s="169" t="s">
        <v>141</v>
      </c>
      <c r="B265" s="169" t="s">
        <v>920</v>
      </c>
    </row>
    <row r="266" spans="1:2" x14ac:dyDescent="0.2">
      <c r="A266" s="169" t="s">
        <v>135</v>
      </c>
      <c r="B266" s="169" t="s">
        <v>921</v>
      </c>
    </row>
    <row r="267" spans="1:2" x14ac:dyDescent="0.2">
      <c r="A267" s="169" t="s">
        <v>140</v>
      </c>
      <c r="B267" s="169" t="s">
        <v>922</v>
      </c>
    </row>
    <row r="268" spans="1:2" x14ac:dyDescent="0.2">
      <c r="A268" s="169" t="s">
        <v>194</v>
      </c>
      <c r="B268" s="169" t="s">
        <v>923</v>
      </c>
    </row>
    <row r="269" spans="1:2" x14ac:dyDescent="0.2">
      <c r="A269" s="169" t="s">
        <v>924</v>
      </c>
      <c r="B269" s="169" t="s">
        <v>925</v>
      </c>
    </row>
    <row r="270" spans="1:2" x14ac:dyDescent="0.2">
      <c r="A270" s="169" t="s">
        <v>926</v>
      </c>
      <c r="B270" s="169" t="s">
        <v>927</v>
      </c>
    </row>
    <row r="271" spans="1:2" x14ac:dyDescent="0.2">
      <c r="A271" s="169" t="s">
        <v>928</v>
      </c>
      <c r="B271" s="169" t="s">
        <v>929</v>
      </c>
    </row>
    <row r="272" spans="1:2" x14ac:dyDescent="0.2">
      <c r="A272" s="169" t="s">
        <v>930</v>
      </c>
      <c r="B272" s="169" t="s">
        <v>931</v>
      </c>
    </row>
    <row r="273" spans="1:2" x14ac:dyDescent="0.2">
      <c r="A273" s="169" t="s">
        <v>932</v>
      </c>
      <c r="B273" s="169" t="s">
        <v>933</v>
      </c>
    </row>
    <row r="274" spans="1:2" x14ac:dyDescent="0.2">
      <c r="A274" s="169" t="s">
        <v>934</v>
      </c>
      <c r="B274" s="169" t="s">
        <v>935</v>
      </c>
    </row>
    <row r="275" spans="1:2" x14ac:dyDescent="0.2">
      <c r="A275" s="169" t="s">
        <v>936</v>
      </c>
      <c r="B275" s="169" t="s">
        <v>937</v>
      </c>
    </row>
    <row r="276" spans="1:2" x14ac:dyDescent="0.2">
      <c r="A276" s="169" t="s">
        <v>938</v>
      </c>
      <c r="B276" s="169" t="s">
        <v>939</v>
      </c>
    </row>
    <row r="277" spans="1:2" x14ac:dyDescent="0.2">
      <c r="A277" s="169" t="s">
        <v>940</v>
      </c>
      <c r="B277" s="169" t="s">
        <v>941</v>
      </c>
    </row>
    <row r="278" spans="1:2" x14ac:dyDescent="0.2">
      <c r="A278" s="169" t="s">
        <v>942</v>
      </c>
      <c r="B278" s="169" t="s">
        <v>943</v>
      </c>
    </row>
    <row r="279" spans="1:2" x14ac:dyDescent="0.2">
      <c r="A279" s="169" t="s">
        <v>129</v>
      </c>
      <c r="B279" s="169" t="s">
        <v>944</v>
      </c>
    </row>
    <row r="280" spans="1:2" x14ac:dyDescent="0.2">
      <c r="A280" s="169" t="s">
        <v>216</v>
      </c>
      <c r="B280" s="169" t="s">
        <v>945</v>
      </c>
    </row>
    <row r="281" spans="1:2" x14ac:dyDescent="0.2">
      <c r="A281" s="169" t="s">
        <v>946</v>
      </c>
      <c r="B281" s="169" t="s">
        <v>947</v>
      </c>
    </row>
    <row r="282" spans="1:2" x14ac:dyDescent="0.2">
      <c r="A282" s="169" t="s">
        <v>948</v>
      </c>
      <c r="B282" s="169" t="s">
        <v>949</v>
      </c>
    </row>
    <row r="283" spans="1:2" x14ac:dyDescent="0.2">
      <c r="A283" s="169" t="s">
        <v>950</v>
      </c>
      <c r="B283" s="169" t="s">
        <v>951</v>
      </c>
    </row>
    <row r="284" spans="1:2" x14ac:dyDescent="0.2">
      <c r="A284" s="169" t="s">
        <v>952</v>
      </c>
      <c r="B284" s="169" t="s">
        <v>953</v>
      </c>
    </row>
    <row r="285" spans="1:2" x14ac:dyDescent="0.2">
      <c r="A285" s="169" t="s">
        <v>954</v>
      </c>
      <c r="B285" s="169" t="s">
        <v>955</v>
      </c>
    </row>
    <row r="286" spans="1:2" x14ac:dyDescent="0.2">
      <c r="A286" s="169" t="s">
        <v>956</v>
      </c>
      <c r="B286" s="169" t="s">
        <v>957</v>
      </c>
    </row>
    <row r="287" spans="1:2" x14ac:dyDescent="0.2">
      <c r="A287" s="169" t="s">
        <v>958</v>
      </c>
      <c r="B287" s="169" t="s">
        <v>959</v>
      </c>
    </row>
    <row r="288" spans="1:2" x14ac:dyDescent="0.2">
      <c r="A288" s="169" t="s">
        <v>960</v>
      </c>
      <c r="B288" s="169" t="s">
        <v>961</v>
      </c>
    </row>
    <row r="289" spans="1:2" x14ac:dyDescent="0.2">
      <c r="A289" s="169" t="s">
        <v>962</v>
      </c>
      <c r="B289" s="169" t="s">
        <v>963</v>
      </c>
    </row>
    <row r="290" spans="1:2" x14ac:dyDescent="0.2">
      <c r="A290" s="169" t="s">
        <v>964</v>
      </c>
      <c r="B290" s="169" t="s">
        <v>965</v>
      </c>
    </row>
    <row r="291" spans="1:2" x14ac:dyDescent="0.2">
      <c r="A291" s="169" t="s">
        <v>966</v>
      </c>
      <c r="B291" s="169" t="s">
        <v>967</v>
      </c>
    </row>
    <row r="292" spans="1:2" x14ac:dyDescent="0.2">
      <c r="A292" s="169" t="s">
        <v>968</v>
      </c>
      <c r="B292" s="169" t="s">
        <v>969</v>
      </c>
    </row>
    <row r="293" spans="1:2" x14ac:dyDescent="0.2">
      <c r="A293" s="169" t="s">
        <v>188</v>
      </c>
      <c r="B293" s="169" t="s">
        <v>970</v>
      </c>
    </row>
    <row r="294" spans="1:2" x14ac:dyDescent="0.2">
      <c r="A294" s="169" t="s">
        <v>138</v>
      </c>
      <c r="B294" s="169" t="s">
        <v>971</v>
      </c>
    </row>
    <row r="295" spans="1:2" x14ac:dyDescent="0.2">
      <c r="A295" s="169" t="s">
        <v>137</v>
      </c>
      <c r="B295" s="169" t="s">
        <v>972</v>
      </c>
    </row>
    <row r="296" spans="1:2" x14ac:dyDescent="0.2">
      <c r="A296" s="169" t="s">
        <v>973</v>
      </c>
      <c r="B296" s="169" t="s">
        <v>974</v>
      </c>
    </row>
    <row r="297" spans="1:2" x14ac:dyDescent="0.2">
      <c r="A297" s="169" t="s">
        <v>975</v>
      </c>
      <c r="B297" s="169" t="s">
        <v>976</v>
      </c>
    </row>
    <row r="298" spans="1:2" x14ac:dyDescent="0.2">
      <c r="A298" s="169" t="s">
        <v>977</v>
      </c>
      <c r="B298" s="169" t="s">
        <v>978</v>
      </c>
    </row>
    <row r="299" spans="1:2" x14ac:dyDescent="0.2">
      <c r="A299" s="169" t="s">
        <v>979</v>
      </c>
      <c r="B299" s="169" t="s">
        <v>980</v>
      </c>
    </row>
    <row r="300" spans="1:2" x14ac:dyDescent="0.2">
      <c r="A300" s="169" t="s">
        <v>981</v>
      </c>
      <c r="B300" s="169" t="s">
        <v>982</v>
      </c>
    </row>
    <row r="301" spans="1:2" x14ac:dyDescent="0.2">
      <c r="A301" s="169" t="s">
        <v>983</v>
      </c>
      <c r="B301" s="169" t="s">
        <v>984</v>
      </c>
    </row>
    <row r="302" spans="1:2" x14ac:dyDescent="0.2">
      <c r="A302" s="169" t="s">
        <v>985</v>
      </c>
      <c r="B302" s="169" t="s">
        <v>986</v>
      </c>
    </row>
    <row r="303" spans="1:2" x14ac:dyDescent="0.2">
      <c r="A303" s="169" t="s">
        <v>987</v>
      </c>
      <c r="B303" s="169" t="s">
        <v>988</v>
      </c>
    </row>
    <row r="304" spans="1:2" x14ac:dyDescent="0.2">
      <c r="A304" s="169" t="s">
        <v>989</v>
      </c>
      <c r="B304" s="169" t="s">
        <v>990</v>
      </c>
    </row>
    <row r="305" spans="1:2" x14ac:dyDescent="0.2">
      <c r="A305" s="169" t="s">
        <v>991</v>
      </c>
      <c r="B305" s="169" t="s">
        <v>992</v>
      </c>
    </row>
    <row r="306" spans="1:2" x14ac:dyDescent="0.2">
      <c r="A306" s="169" t="s">
        <v>993</v>
      </c>
      <c r="B306" s="169" t="s">
        <v>994</v>
      </c>
    </row>
    <row r="307" spans="1:2" x14ac:dyDescent="0.2">
      <c r="A307" s="169" t="s">
        <v>995</v>
      </c>
      <c r="B307" s="169" t="s">
        <v>996</v>
      </c>
    </row>
    <row r="308" spans="1:2" x14ac:dyDescent="0.2">
      <c r="A308" s="169" t="s">
        <v>997</v>
      </c>
      <c r="B308" s="169" t="s">
        <v>998</v>
      </c>
    </row>
    <row r="309" spans="1:2" x14ac:dyDescent="0.2">
      <c r="A309" s="169" t="s">
        <v>231</v>
      </c>
      <c r="B309" s="169" t="s">
        <v>808</v>
      </c>
    </row>
    <row r="310" spans="1:2" x14ac:dyDescent="0.2">
      <c r="A310" s="169" t="s">
        <v>210</v>
      </c>
      <c r="B310" s="169" t="s">
        <v>999</v>
      </c>
    </row>
    <row r="311" spans="1:2" x14ac:dyDescent="0.2">
      <c r="A311" s="169" t="s">
        <v>211</v>
      </c>
      <c r="B311" s="169" t="s">
        <v>1000</v>
      </c>
    </row>
    <row r="312" spans="1:2" x14ac:dyDescent="0.2">
      <c r="A312" s="169" t="s">
        <v>1001</v>
      </c>
      <c r="B312" s="169" t="s">
        <v>1002</v>
      </c>
    </row>
    <row r="313" spans="1:2" x14ac:dyDescent="0.2">
      <c r="A313" s="169" t="s">
        <v>291</v>
      </c>
      <c r="B313" s="169" t="s">
        <v>1003</v>
      </c>
    </row>
    <row r="314" spans="1:2" x14ac:dyDescent="0.2">
      <c r="A314" s="169" t="s">
        <v>250</v>
      </c>
      <c r="B314" s="169" t="s">
        <v>1004</v>
      </c>
    </row>
    <row r="315" spans="1:2" x14ac:dyDescent="0.2">
      <c r="A315" s="169" t="s">
        <v>237</v>
      </c>
      <c r="B315" s="169" t="s">
        <v>1005</v>
      </c>
    </row>
    <row r="316" spans="1:2" x14ac:dyDescent="0.2">
      <c r="A316" s="169" t="s">
        <v>1006</v>
      </c>
      <c r="B316" s="169" t="s">
        <v>1007</v>
      </c>
    </row>
    <row r="317" spans="1:2" x14ac:dyDescent="0.2">
      <c r="A317" s="169" t="s">
        <v>136</v>
      </c>
      <c r="B317" s="169" t="s">
        <v>1008</v>
      </c>
    </row>
    <row r="318" spans="1:2" x14ac:dyDescent="0.2">
      <c r="A318" s="169" t="s">
        <v>1009</v>
      </c>
      <c r="B318" s="169" t="s">
        <v>1010</v>
      </c>
    </row>
    <row r="319" spans="1:2" x14ac:dyDescent="0.2">
      <c r="A319" s="169" t="s">
        <v>1011</v>
      </c>
      <c r="B319" s="169" t="s">
        <v>1012</v>
      </c>
    </row>
    <row r="320" spans="1:2" x14ac:dyDescent="0.2">
      <c r="A320" s="169" t="s">
        <v>1013</v>
      </c>
      <c r="B320" s="169" t="s">
        <v>1014</v>
      </c>
    </row>
    <row r="321" spans="1:2" x14ac:dyDescent="0.2">
      <c r="A321" s="169" t="s">
        <v>1015</v>
      </c>
      <c r="B321" s="169" t="s">
        <v>1016</v>
      </c>
    </row>
    <row r="322" spans="1:2" x14ac:dyDescent="0.2">
      <c r="A322" s="169" t="s">
        <v>1017</v>
      </c>
      <c r="B322" s="169" t="s">
        <v>1018</v>
      </c>
    </row>
    <row r="323" spans="1:2" x14ac:dyDescent="0.2">
      <c r="A323" s="169" t="s">
        <v>1019</v>
      </c>
      <c r="B323" s="169" t="s">
        <v>1020</v>
      </c>
    </row>
    <row r="324" spans="1:2" x14ac:dyDescent="0.2">
      <c r="A324" s="169" t="s">
        <v>1021</v>
      </c>
      <c r="B324" s="169" t="s">
        <v>1022</v>
      </c>
    </row>
    <row r="325" spans="1:2" x14ac:dyDescent="0.2">
      <c r="A325" s="169" t="s">
        <v>1023</v>
      </c>
      <c r="B325" s="169" t="s">
        <v>612</v>
      </c>
    </row>
    <row r="326" spans="1:2" x14ac:dyDescent="0.2">
      <c r="A326" s="169" t="s">
        <v>1024</v>
      </c>
      <c r="B326" s="169" t="s">
        <v>1025</v>
      </c>
    </row>
    <row r="327" spans="1:2" x14ac:dyDescent="0.2">
      <c r="A327" s="169" t="s">
        <v>1026</v>
      </c>
      <c r="B327" s="169" t="s">
        <v>1027</v>
      </c>
    </row>
    <row r="328" spans="1:2" x14ac:dyDescent="0.2">
      <c r="A328" s="169" t="s">
        <v>220</v>
      </c>
      <c r="B328" s="169" t="s">
        <v>1028</v>
      </c>
    </row>
    <row r="329" spans="1:2" x14ac:dyDescent="0.2">
      <c r="A329" s="169" t="s">
        <v>1029</v>
      </c>
      <c r="B329" s="169" t="s">
        <v>1030</v>
      </c>
    </row>
    <row r="330" spans="1:2" x14ac:dyDescent="0.2">
      <c r="A330" s="169" t="s">
        <v>148</v>
      </c>
      <c r="B330" s="169" t="s">
        <v>1031</v>
      </c>
    </row>
    <row r="331" spans="1:2" x14ac:dyDescent="0.2">
      <c r="A331" s="169" t="s">
        <v>176</v>
      </c>
      <c r="B331" s="169" t="s">
        <v>1032</v>
      </c>
    </row>
    <row r="332" spans="1:2" x14ac:dyDescent="0.2">
      <c r="A332" s="169" t="s">
        <v>246</v>
      </c>
      <c r="B332" s="169" t="s">
        <v>1033</v>
      </c>
    </row>
    <row r="333" spans="1:2" x14ac:dyDescent="0.2">
      <c r="A333" s="169" t="s">
        <v>1034</v>
      </c>
      <c r="B333" s="169" t="s">
        <v>1035</v>
      </c>
    </row>
    <row r="334" spans="1:2" x14ac:dyDescent="0.2">
      <c r="A334" s="169" t="s">
        <v>1036</v>
      </c>
      <c r="B334" s="169" t="s">
        <v>543</v>
      </c>
    </row>
    <row r="335" spans="1:2" x14ac:dyDescent="0.2">
      <c r="A335" s="169" t="s">
        <v>1037</v>
      </c>
      <c r="B335" s="169" t="s">
        <v>1038</v>
      </c>
    </row>
    <row r="336" spans="1:2" x14ac:dyDescent="0.2">
      <c r="A336" s="169" t="s">
        <v>1039</v>
      </c>
      <c r="B336" s="169" t="s">
        <v>1040</v>
      </c>
    </row>
    <row r="337" spans="1:2" x14ac:dyDescent="0.2">
      <c r="A337" s="169" t="s">
        <v>324</v>
      </c>
      <c r="B337" s="169" t="s">
        <v>1041</v>
      </c>
    </row>
    <row r="338" spans="1:2" x14ac:dyDescent="0.2">
      <c r="A338" s="169" t="s">
        <v>182</v>
      </c>
      <c r="B338" s="169" t="s">
        <v>1042</v>
      </c>
    </row>
    <row r="339" spans="1:2" x14ac:dyDescent="0.2">
      <c r="A339" s="169" t="s">
        <v>1043</v>
      </c>
      <c r="B339" s="169" t="s">
        <v>1044</v>
      </c>
    </row>
    <row r="340" spans="1:2" x14ac:dyDescent="0.2">
      <c r="A340" s="169" t="s">
        <v>1045</v>
      </c>
      <c r="B340" s="169" t="s">
        <v>1046</v>
      </c>
    </row>
    <row r="341" spans="1:2" x14ac:dyDescent="0.2">
      <c r="A341" s="169" t="s">
        <v>1047</v>
      </c>
      <c r="B341" s="169" t="s">
        <v>1048</v>
      </c>
    </row>
    <row r="342" spans="1:2" x14ac:dyDescent="0.2">
      <c r="A342" s="169" t="s">
        <v>1049</v>
      </c>
      <c r="B342" s="169" t="s">
        <v>1050</v>
      </c>
    </row>
    <row r="343" spans="1:2" x14ac:dyDescent="0.2">
      <c r="A343" s="169" t="s">
        <v>1051</v>
      </c>
      <c r="B343" s="169" t="s">
        <v>1052</v>
      </c>
    </row>
    <row r="344" spans="1:2" x14ac:dyDescent="0.2">
      <c r="A344" s="169" t="s">
        <v>1053</v>
      </c>
      <c r="B344" s="169" t="s">
        <v>1054</v>
      </c>
    </row>
    <row r="345" spans="1:2" x14ac:dyDescent="0.2">
      <c r="A345" s="169" t="s">
        <v>1055</v>
      </c>
      <c r="B345" s="169" t="s">
        <v>1056</v>
      </c>
    </row>
    <row r="346" spans="1:2" x14ac:dyDescent="0.2">
      <c r="A346" s="169" t="s">
        <v>1057</v>
      </c>
      <c r="B346" s="169" t="s">
        <v>1058</v>
      </c>
    </row>
    <row r="347" spans="1:2" x14ac:dyDescent="0.2">
      <c r="A347" s="169" t="s">
        <v>322</v>
      </c>
      <c r="B347" s="169" t="s">
        <v>1059</v>
      </c>
    </row>
    <row r="348" spans="1:2" x14ac:dyDescent="0.2">
      <c r="A348" s="169" t="s">
        <v>1060</v>
      </c>
      <c r="B348" s="169" t="s">
        <v>1061</v>
      </c>
    </row>
    <row r="349" spans="1:2" x14ac:dyDescent="0.2">
      <c r="A349" s="169" t="s">
        <v>240</v>
      </c>
      <c r="B349" s="169" t="s">
        <v>1062</v>
      </c>
    </row>
    <row r="350" spans="1:2" x14ac:dyDescent="0.2">
      <c r="A350" s="172" t="s">
        <v>241</v>
      </c>
      <c r="B350" s="172" t="s">
        <v>1063</v>
      </c>
    </row>
    <row r="351" spans="1:2" x14ac:dyDescent="0.2">
      <c r="A351" s="173" t="s">
        <v>242</v>
      </c>
      <c r="B351" s="173" t="s">
        <v>1064</v>
      </c>
    </row>
    <row r="352" spans="1:2" x14ac:dyDescent="0.2">
      <c r="A352" s="173" t="s">
        <v>1065</v>
      </c>
      <c r="B352" s="173" t="s">
        <v>1066</v>
      </c>
    </row>
    <row r="353" spans="1:2" x14ac:dyDescent="0.2">
      <c r="A353" s="173" t="s">
        <v>1067</v>
      </c>
      <c r="B353" s="173" t="s">
        <v>1068</v>
      </c>
    </row>
    <row r="354" spans="1:2" x14ac:dyDescent="0.2">
      <c r="A354" s="173" t="s">
        <v>1069</v>
      </c>
      <c r="B354" s="173" t="s">
        <v>1070</v>
      </c>
    </row>
    <row r="355" spans="1:2" x14ac:dyDescent="0.2">
      <c r="A355" s="173" t="s">
        <v>1071</v>
      </c>
      <c r="B355" s="173" t="s">
        <v>1072</v>
      </c>
    </row>
    <row r="356" spans="1:2" x14ac:dyDescent="0.2">
      <c r="A356" s="173" t="s">
        <v>296</v>
      </c>
      <c r="B356" s="173" t="s">
        <v>1073</v>
      </c>
    </row>
    <row r="357" spans="1:2" x14ac:dyDescent="0.2">
      <c r="A357" s="173" t="s">
        <v>1074</v>
      </c>
      <c r="B357" s="173" t="s">
        <v>1075</v>
      </c>
    </row>
    <row r="358" spans="1:2" x14ac:dyDescent="0.2">
      <c r="A358" s="173" t="s">
        <v>1076</v>
      </c>
      <c r="B358" s="173" t="s">
        <v>1077</v>
      </c>
    </row>
    <row r="359" spans="1:2" x14ac:dyDescent="0.2">
      <c r="A359" s="173" t="s">
        <v>1078</v>
      </c>
      <c r="B359" s="173" t="s">
        <v>1079</v>
      </c>
    </row>
    <row r="360" spans="1:2" x14ac:dyDescent="0.2">
      <c r="A360" s="173" t="s">
        <v>1080</v>
      </c>
      <c r="B360" s="173" t="s">
        <v>1081</v>
      </c>
    </row>
    <row r="361" spans="1:2" x14ac:dyDescent="0.2">
      <c r="A361" s="173" t="s">
        <v>1082</v>
      </c>
      <c r="B361" s="173" t="s">
        <v>1083</v>
      </c>
    </row>
    <row r="362" spans="1:2" x14ac:dyDescent="0.2">
      <c r="A362" s="173" t="s">
        <v>1084</v>
      </c>
      <c r="B362" s="173" t="s">
        <v>1085</v>
      </c>
    </row>
    <row r="363" spans="1:2" x14ac:dyDescent="0.2">
      <c r="A363" s="173" t="s">
        <v>1086</v>
      </c>
      <c r="B363" s="173" t="s">
        <v>1087</v>
      </c>
    </row>
    <row r="364" spans="1:2" x14ac:dyDescent="0.2">
      <c r="A364" s="173" t="s">
        <v>1088</v>
      </c>
      <c r="B364" s="173" t="s">
        <v>1089</v>
      </c>
    </row>
    <row r="365" spans="1:2" x14ac:dyDescent="0.2">
      <c r="A365" s="173" t="s">
        <v>1090</v>
      </c>
      <c r="B365" s="173" t="s">
        <v>1091</v>
      </c>
    </row>
    <row r="366" spans="1:2" x14ac:dyDescent="0.2">
      <c r="A366" s="173" t="s">
        <v>1092</v>
      </c>
      <c r="B366" s="173" t="s">
        <v>1093</v>
      </c>
    </row>
    <row r="367" spans="1:2" x14ac:dyDescent="0.2">
      <c r="A367" s="173" t="s">
        <v>1094</v>
      </c>
      <c r="B367" s="173" t="s">
        <v>1095</v>
      </c>
    </row>
    <row r="368" spans="1:2" x14ac:dyDescent="0.2">
      <c r="A368" s="173" t="s">
        <v>1096</v>
      </c>
      <c r="B368" s="173" t="s">
        <v>1097</v>
      </c>
    </row>
    <row r="369" spans="1:2" x14ac:dyDescent="0.2">
      <c r="A369" s="173" t="s">
        <v>1098</v>
      </c>
      <c r="B369" s="173" t="s">
        <v>1099</v>
      </c>
    </row>
    <row r="370" spans="1:2" x14ac:dyDescent="0.2">
      <c r="A370" s="173" t="s">
        <v>1100</v>
      </c>
      <c r="B370" s="173" t="s">
        <v>1101</v>
      </c>
    </row>
    <row r="371" spans="1:2" x14ac:dyDescent="0.2">
      <c r="A371" s="173" t="s">
        <v>1102</v>
      </c>
      <c r="B371" s="173" t="s">
        <v>1103</v>
      </c>
    </row>
    <row r="372" spans="1:2" x14ac:dyDescent="0.2">
      <c r="A372" s="173" t="s">
        <v>1104</v>
      </c>
      <c r="B372" s="173" t="s">
        <v>1105</v>
      </c>
    </row>
    <row r="373" spans="1:2" x14ac:dyDescent="0.2">
      <c r="A373" s="173" t="s">
        <v>1106</v>
      </c>
      <c r="B373" s="173" t="s">
        <v>1107</v>
      </c>
    </row>
    <row r="374" spans="1:2" x14ac:dyDescent="0.2">
      <c r="A374" s="173" t="s">
        <v>1108</v>
      </c>
      <c r="B374" s="173" t="s">
        <v>1109</v>
      </c>
    </row>
    <row r="375" spans="1:2" x14ac:dyDescent="0.2">
      <c r="A375" s="173" t="s">
        <v>1110</v>
      </c>
      <c r="B375" s="173" t="s">
        <v>1111</v>
      </c>
    </row>
    <row r="376" spans="1:2" x14ac:dyDescent="0.2">
      <c r="A376" s="173" t="s">
        <v>1112</v>
      </c>
      <c r="B376" s="173" t="s">
        <v>1113</v>
      </c>
    </row>
    <row r="377" spans="1:2" x14ac:dyDescent="0.2">
      <c r="A377" s="173" t="s">
        <v>1114</v>
      </c>
      <c r="B377" s="173" t="s">
        <v>1115</v>
      </c>
    </row>
    <row r="378" spans="1:2" x14ac:dyDescent="0.2">
      <c r="A378" s="173" t="s">
        <v>1116</v>
      </c>
      <c r="B378" s="173" t="s">
        <v>1117</v>
      </c>
    </row>
    <row r="379" spans="1:2" x14ac:dyDescent="0.2">
      <c r="A379" s="173" t="s">
        <v>1118</v>
      </c>
      <c r="B379" s="173" t="s">
        <v>1119</v>
      </c>
    </row>
    <row r="380" spans="1:2" x14ac:dyDescent="0.2">
      <c r="A380" s="173" t="s">
        <v>1120</v>
      </c>
      <c r="B380" s="173" t="s">
        <v>1121</v>
      </c>
    </row>
    <row r="381" spans="1:2" x14ac:dyDescent="0.2">
      <c r="A381" s="173" t="s">
        <v>1122</v>
      </c>
      <c r="B381" s="173" t="s">
        <v>1123</v>
      </c>
    </row>
    <row r="382" spans="1:2" x14ac:dyDescent="0.2">
      <c r="A382" s="173" t="s">
        <v>1124</v>
      </c>
      <c r="B382" s="173" t="s">
        <v>1125</v>
      </c>
    </row>
    <row r="383" spans="1:2" x14ac:dyDescent="0.2">
      <c r="A383" s="173" t="s">
        <v>1126</v>
      </c>
      <c r="B383" s="173" t="s">
        <v>1127</v>
      </c>
    </row>
    <row r="384" spans="1:2" x14ac:dyDescent="0.2">
      <c r="A384" s="173" t="s">
        <v>1128</v>
      </c>
      <c r="B384" s="173" t="s">
        <v>1129</v>
      </c>
    </row>
    <row r="385" spans="1:2" x14ac:dyDescent="0.2">
      <c r="A385" s="173" t="s">
        <v>1130</v>
      </c>
      <c r="B385" s="173" t="s">
        <v>1131</v>
      </c>
    </row>
    <row r="386" spans="1:2" x14ac:dyDescent="0.2">
      <c r="A386" s="173" t="s">
        <v>1132</v>
      </c>
      <c r="B386" s="173" t="s">
        <v>1133</v>
      </c>
    </row>
    <row r="387" spans="1:2" x14ac:dyDescent="0.2">
      <c r="A387" s="173" t="s">
        <v>1134</v>
      </c>
      <c r="B387" s="173" t="s">
        <v>1135</v>
      </c>
    </row>
    <row r="388" spans="1:2" x14ac:dyDescent="0.2">
      <c r="A388" s="173" t="s">
        <v>1136</v>
      </c>
      <c r="B388" s="173" t="s">
        <v>1137</v>
      </c>
    </row>
    <row r="389" spans="1:2" x14ac:dyDescent="0.2">
      <c r="A389" s="173" t="s">
        <v>1138</v>
      </c>
      <c r="B389" s="173" t="s">
        <v>1139</v>
      </c>
    </row>
    <row r="390" spans="1:2" x14ac:dyDescent="0.2">
      <c r="A390" s="173" t="s">
        <v>1140</v>
      </c>
      <c r="B390" s="173" t="s">
        <v>1141</v>
      </c>
    </row>
    <row r="391" spans="1:2" x14ac:dyDescent="0.2">
      <c r="A391" s="173" t="s">
        <v>1142</v>
      </c>
      <c r="B391" s="173" t="s">
        <v>1143</v>
      </c>
    </row>
    <row r="392" spans="1:2" x14ac:dyDescent="0.2">
      <c r="A392" s="173" t="s">
        <v>1144</v>
      </c>
      <c r="B392" s="173" t="s">
        <v>1145</v>
      </c>
    </row>
    <row r="393" spans="1:2" x14ac:dyDescent="0.2">
      <c r="A393" s="173" t="s">
        <v>1146</v>
      </c>
      <c r="B393" s="173" t="s">
        <v>1147</v>
      </c>
    </row>
    <row r="394" spans="1:2" x14ac:dyDescent="0.2">
      <c r="A394" s="173" t="s">
        <v>1148</v>
      </c>
      <c r="B394" s="173" t="s">
        <v>1149</v>
      </c>
    </row>
    <row r="395" spans="1:2" x14ac:dyDescent="0.2">
      <c r="A395" s="173" t="s">
        <v>1150</v>
      </c>
      <c r="B395" s="173" t="s">
        <v>1151</v>
      </c>
    </row>
    <row r="396" spans="1:2" x14ac:dyDescent="0.2">
      <c r="A396" s="173" t="s">
        <v>1152</v>
      </c>
      <c r="B396" s="173" t="s">
        <v>1153</v>
      </c>
    </row>
    <row r="397" spans="1:2" x14ac:dyDescent="0.2">
      <c r="A397" s="173" t="s">
        <v>1154</v>
      </c>
      <c r="B397" s="173" t="s">
        <v>1155</v>
      </c>
    </row>
    <row r="398" spans="1:2" x14ac:dyDescent="0.2">
      <c r="A398" s="173" t="s">
        <v>1156</v>
      </c>
      <c r="B398" s="173" t="s">
        <v>1157</v>
      </c>
    </row>
    <row r="399" spans="1:2" x14ac:dyDescent="0.2">
      <c r="A399" s="173" t="s">
        <v>1158</v>
      </c>
      <c r="B399" s="173" t="s">
        <v>1159</v>
      </c>
    </row>
    <row r="400" spans="1:2" x14ac:dyDescent="0.2">
      <c r="A400" s="173" t="s">
        <v>1160</v>
      </c>
      <c r="B400" s="173" t="s">
        <v>1161</v>
      </c>
    </row>
    <row r="401" spans="1:2" x14ac:dyDescent="0.2">
      <c r="A401" s="173" t="s">
        <v>1162</v>
      </c>
      <c r="B401" s="173" t="s">
        <v>1163</v>
      </c>
    </row>
    <row r="402" spans="1:2" x14ac:dyDescent="0.2">
      <c r="A402" s="173" t="s">
        <v>1164</v>
      </c>
      <c r="B402" s="173" t="s">
        <v>1165</v>
      </c>
    </row>
    <row r="403" spans="1:2" x14ac:dyDescent="0.2">
      <c r="A403" s="173" t="s">
        <v>1166</v>
      </c>
      <c r="B403" s="173" t="s">
        <v>1167</v>
      </c>
    </row>
    <row r="404" spans="1:2" x14ac:dyDescent="0.2">
      <c r="A404" s="173" t="s">
        <v>1168</v>
      </c>
      <c r="B404" s="173" t="s">
        <v>1169</v>
      </c>
    </row>
    <row r="405" spans="1:2" x14ac:dyDescent="0.2">
      <c r="A405" s="173" t="s">
        <v>1170</v>
      </c>
      <c r="B405" s="173" t="s">
        <v>1171</v>
      </c>
    </row>
    <row r="406" spans="1:2" x14ac:dyDescent="0.2">
      <c r="A406" s="173" t="s">
        <v>1172</v>
      </c>
      <c r="B406" s="173" t="s">
        <v>1173</v>
      </c>
    </row>
    <row r="407" spans="1:2" x14ac:dyDescent="0.2">
      <c r="A407" s="173" t="s">
        <v>1174</v>
      </c>
      <c r="B407" s="173" t="s">
        <v>1175</v>
      </c>
    </row>
    <row r="408" spans="1:2" x14ac:dyDescent="0.2">
      <c r="A408" s="173" t="s">
        <v>1176</v>
      </c>
      <c r="B408" s="173" t="s">
        <v>1177</v>
      </c>
    </row>
    <row r="409" spans="1:2" x14ac:dyDescent="0.2">
      <c r="A409" s="173" t="s">
        <v>1178</v>
      </c>
      <c r="B409" s="173" t="s">
        <v>1179</v>
      </c>
    </row>
    <row r="410" spans="1:2" x14ac:dyDescent="0.2">
      <c r="A410" s="173" t="s">
        <v>1180</v>
      </c>
      <c r="B410" s="173" t="s">
        <v>1181</v>
      </c>
    </row>
    <row r="411" spans="1:2" x14ac:dyDescent="0.2">
      <c r="A411" s="173" t="s">
        <v>1182</v>
      </c>
      <c r="B411" s="173" t="s">
        <v>1183</v>
      </c>
    </row>
    <row r="412" spans="1:2" x14ac:dyDescent="0.2">
      <c r="A412" s="173" t="s">
        <v>1184</v>
      </c>
      <c r="B412" s="173" t="s">
        <v>1185</v>
      </c>
    </row>
    <row r="413" spans="1:2" x14ac:dyDescent="0.2">
      <c r="A413" s="173" t="s">
        <v>1186</v>
      </c>
      <c r="B413" s="173" t="s">
        <v>1187</v>
      </c>
    </row>
    <row r="414" spans="1:2" x14ac:dyDescent="0.2">
      <c r="A414" s="173" t="s">
        <v>1188</v>
      </c>
      <c r="B414" s="173" t="s">
        <v>1189</v>
      </c>
    </row>
    <row r="415" spans="1:2" x14ac:dyDescent="0.2">
      <c r="A415" s="173" t="s">
        <v>1190</v>
      </c>
      <c r="B415" s="173" t="s">
        <v>1191</v>
      </c>
    </row>
    <row r="416" spans="1:2" x14ac:dyDescent="0.2">
      <c r="A416" s="173" t="s">
        <v>1192</v>
      </c>
      <c r="B416" s="173" t="s">
        <v>1193</v>
      </c>
    </row>
    <row r="417" spans="1:2" x14ac:dyDescent="0.2">
      <c r="A417" s="173" t="s">
        <v>1194</v>
      </c>
      <c r="B417" s="173" t="s">
        <v>1195</v>
      </c>
    </row>
    <row r="418" spans="1:2" x14ac:dyDescent="0.2">
      <c r="A418" s="173" t="s">
        <v>1196</v>
      </c>
      <c r="B418" s="173" t="s">
        <v>1197</v>
      </c>
    </row>
    <row r="419" spans="1:2" x14ac:dyDescent="0.2">
      <c r="A419" s="173" t="s">
        <v>1198</v>
      </c>
      <c r="B419" s="173" t="s">
        <v>1199</v>
      </c>
    </row>
    <row r="420" spans="1:2" x14ac:dyDescent="0.2">
      <c r="A420" s="173" t="s">
        <v>1200</v>
      </c>
      <c r="B420" s="173" t="s">
        <v>1201</v>
      </c>
    </row>
    <row r="421" spans="1:2" x14ac:dyDescent="0.2">
      <c r="A421" s="173" t="s">
        <v>1202</v>
      </c>
      <c r="B421" s="173" t="s">
        <v>1203</v>
      </c>
    </row>
    <row r="422" spans="1:2" x14ac:dyDescent="0.2">
      <c r="A422" s="173" t="s">
        <v>1204</v>
      </c>
      <c r="B422" s="173" t="s">
        <v>1205</v>
      </c>
    </row>
    <row r="423" spans="1:2" x14ac:dyDescent="0.2">
      <c r="A423" s="173" t="s">
        <v>1206</v>
      </c>
      <c r="B423" s="173" t="s">
        <v>1207</v>
      </c>
    </row>
    <row r="424" spans="1:2" x14ac:dyDescent="0.2">
      <c r="A424" s="173" t="s">
        <v>1208</v>
      </c>
      <c r="B424" s="173" t="s">
        <v>1209</v>
      </c>
    </row>
    <row r="425" spans="1:2" x14ac:dyDescent="0.2">
      <c r="A425" s="173" t="s">
        <v>1210</v>
      </c>
      <c r="B425" s="173" t="s">
        <v>1211</v>
      </c>
    </row>
    <row r="426" spans="1:2" x14ac:dyDescent="0.2">
      <c r="A426" s="173" t="s">
        <v>1212</v>
      </c>
      <c r="B426" s="173" t="s">
        <v>1213</v>
      </c>
    </row>
    <row r="427" spans="1:2" x14ac:dyDescent="0.2">
      <c r="A427" s="173" t="s">
        <v>1214</v>
      </c>
      <c r="B427" s="173" t="s">
        <v>1215</v>
      </c>
    </row>
    <row r="428" spans="1:2" x14ac:dyDescent="0.2">
      <c r="A428" s="173" t="s">
        <v>1216</v>
      </c>
      <c r="B428" s="173" t="s">
        <v>1217</v>
      </c>
    </row>
    <row r="429" spans="1:2" x14ac:dyDescent="0.2">
      <c r="A429" s="173" t="s">
        <v>1218</v>
      </c>
      <c r="B429" s="173" t="s">
        <v>1219</v>
      </c>
    </row>
    <row r="430" spans="1:2" x14ac:dyDescent="0.2">
      <c r="A430" s="173" t="s">
        <v>1220</v>
      </c>
      <c r="B430" s="173" t="s">
        <v>1221</v>
      </c>
    </row>
    <row r="431" spans="1:2" x14ac:dyDescent="0.2">
      <c r="A431" s="173" t="s">
        <v>1222</v>
      </c>
      <c r="B431" s="173" t="s">
        <v>1223</v>
      </c>
    </row>
    <row r="432" spans="1:2" x14ac:dyDescent="0.2">
      <c r="A432" s="173" t="s">
        <v>1224</v>
      </c>
      <c r="B432" s="173" t="s">
        <v>1225</v>
      </c>
    </row>
    <row r="433" spans="1:2" x14ac:dyDescent="0.2">
      <c r="A433" s="173" t="s">
        <v>1226</v>
      </c>
      <c r="B433" s="173" t="s">
        <v>1227</v>
      </c>
    </row>
    <row r="434" spans="1:2" x14ac:dyDescent="0.2">
      <c r="A434" s="173" t="s">
        <v>1228</v>
      </c>
      <c r="B434" s="173" t="s">
        <v>1229</v>
      </c>
    </row>
    <row r="435" spans="1:2" x14ac:dyDescent="0.2">
      <c r="A435" s="173" t="s">
        <v>1230</v>
      </c>
      <c r="B435" s="173" t="s">
        <v>1231</v>
      </c>
    </row>
    <row r="436" spans="1:2" x14ac:dyDescent="0.2">
      <c r="A436" s="173" t="s">
        <v>1232</v>
      </c>
      <c r="B436" s="173" t="s">
        <v>1233</v>
      </c>
    </row>
    <row r="437" spans="1:2" x14ac:dyDescent="0.2">
      <c r="A437" s="173" t="s">
        <v>158</v>
      </c>
      <c r="B437" s="173" t="s">
        <v>870</v>
      </c>
    </row>
    <row r="438" spans="1:2" x14ac:dyDescent="0.2">
      <c r="A438" s="173" t="s">
        <v>1234</v>
      </c>
      <c r="B438" s="173" t="s">
        <v>1235</v>
      </c>
    </row>
    <row r="439" spans="1:2" x14ac:dyDescent="0.2">
      <c r="A439" s="173" t="s">
        <v>207</v>
      </c>
      <c r="B439" s="173" t="s">
        <v>1236</v>
      </c>
    </row>
    <row r="440" spans="1:2" x14ac:dyDescent="0.2">
      <c r="A440" s="173" t="s">
        <v>1237</v>
      </c>
      <c r="B440" s="173" t="s">
        <v>1238</v>
      </c>
    </row>
    <row r="441" spans="1:2" x14ac:dyDescent="0.2">
      <c r="A441" s="173" t="s">
        <v>1239</v>
      </c>
      <c r="B441" s="173" t="s">
        <v>1240</v>
      </c>
    </row>
    <row r="442" spans="1:2" x14ac:dyDescent="0.2">
      <c r="A442" s="173" t="s">
        <v>1241</v>
      </c>
      <c r="B442" s="173" t="s">
        <v>1242</v>
      </c>
    </row>
    <row r="443" spans="1:2" x14ac:dyDescent="0.2">
      <c r="A443" s="173" t="s">
        <v>252</v>
      </c>
      <c r="B443" s="173" t="s">
        <v>1243</v>
      </c>
    </row>
    <row r="444" spans="1:2" x14ac:dyDescent="0.2">
      <c r="A444" s="173" t="s">
        <v>1244</v>
      </c>
      <c r="B444" s="173" t="s">
        <v>1245</v>
      </c>
    </row>
    <row r="445" spans="1:2" x14ac:dyDescent="0.2">
      <c r="A445" s="173" t="s">
        <v>145</v>
      </c>
      <c r="B445" s="173" t="s">
        <v>1246</v>
      </c>
    </row>
    <row r="446" spans="1:2" x14ac:dyDescent="0.2">
      <c r="A446" s="173" t="s">
        <v>1247</v>
      </c>
      <c r="B446" s="173" t="s">
        <v>1248</v>
      </c>
    </row>
    <row r="447" spans="1:2" x14ac:dyDescent="0.2">
      <c r="A447" s="173" t="s">
        <v>1249</v>
      </c>
      <c r="B447" s="173" t="s">
        <v>1250</v>
      </c>
    </row>
    <row r="448" spans="1:2" x14ac:dyDescent="0.2">
      <c r="A448" s="173" t="s">
        <v>1251</v>
      </c>
      <c r="B448" s="173" t="s">
        <v>1252</v>
      </c>
    </row>
    <row r="449" spans="1:2" x14ac:dyDescent="0.2">
      <c r="A449" s="173" t="s">
        <v>1253</v>
      </c>
      <c r="B449" s="173" t="s">
        <v>1254</v>
      </c>
    </row>
    <row r="450" spans="1:2" x14ac:dyDescent="0.2">
      <c r="A450" s="173" t="s">
        <v>1255</v>
      </c>
      <c r="B450" s="173" t="s">
        <v>1256</v>
      </c>
    </row>
    <row r="451" spans="1:2" x14ac:dyDescent="0.2">
      <c r="A451" s="173" t="s">
        <v>1257</v>
      </c>
      <c r="B451" s="173" t="s">
        <v>1258</v>
      </c>
    </row>
    <row r="452" spans="1:2" x14ac:dyDescent="0.2">
      <c r="A452" s="173" t="s">
        <v>267</v>
      </c>
      <c r="B452" s="173" t="s">
        <v>1259</v>
      </c>
    </row>
    <row r="453" spans="1:2" x14ac:dyDescent="0.2">
      <c r="A453" s="173" t="s">
        <v>1260</v>
      </c>
      <c r="B453" s="173" t="s">
        <v>1261</v>
      </c>
    </row>
    <row r="454" spans="1:2" x14ac:dyDescent="0.2">
      <c r="A454" s="173" t="s">
        <v>1262</v>
      </c>
      <c r="B454" s="173" t="s">
        <v>1263</v>
      </c>
    </row>
    <row r="455" spans="1:2" x14ac:dyDescent="0.2">
      <c r="A455" s="173" t="s">
        <v>1264</v>
      </c>
      <c r="B455" s="173" t="s">
        <v>1265</v>
      </c>
    </row>
    <row r="456" spans="1:2" x14ac:dyDescent="0.2">
      <c r="A456" s="173" t="s">
        <v>1266</v>
      </c>
      <c r="B456" s="173" t="s">
        <v>1267</v>
      </c>
    </row>
    <row r="457" spans="1:2" x14ac:dyDescent="0.2">
      <c r="A457" s="173" t="s">
        <v>1268</v>
      </c>
      <c r="B457" s="173" t="s">
        <v>1269</v>
      </c>
    </row>
    <row r="458" spans="1:2" x14ac:dyDescent="0.2">
      <c r="A458" s="173" t="s">
        <v>164</v>
      </c>
      <c r="B458" s="173" t="s">
        <v>1270</v>
      </c>
    </row>
    <row r="459" spans="1:2" x14ac:dyDescent="0.2">
      <c r="A459" s="173" t="s">
        <v>173</v>
      </c>
      <c r="B459" s="173" t="s">
        <v>1271</v>
      </c>
    </row>
    <row r="460" spans="1:2" x14ac:dyDescent="0.2">
      <c r="A460" s="173" t="s">
        <v>1272</v>
      </c>
      <c r="B460" s="173" t="s">
        <v>1273</v>
      </c>
    </row>
    <row r="461" spans="1:2" x14ac:dyDescent="0.2">
      <c r="A461" s="173" t="s">
        <v>1274</v>
      </c>
      <c r="B461" s="173" t="s">
        <v>1275</v>
      </c>
    </row>
    <row r="462" spans="1:2" x14ac:dyDescent="0.2">
      <c r="A462" s="173" t="s">
        <v>1276</v>
      </c>
      <c r="B462" s="173" t="s">
        <v>1277</v>
      </c>
    </row>
    <row r="463" spans="1:2" x14ac:dyDescent="0.2">
      <c r="A463" s="173" t="s">
        <v>171</v>
      </c>
      <c r="B463" s="173" t="s">
        <v>1278</v>
      </c>
    </row>
    <row r="464" spans="1:2" x14ac:dyDescent="0.2">
      <c r="A464" s="173" t="s">
        <v>1279</v>
      </c>
      <c r="B464" s="173" t="s">
        <v>1280</v>
      </c>
    </row>
    <row r="465" spans="1:2" x14ac:dyDescent="0.2">
      <c r="A465" s="173" t="s">
        <v>1281</v>
      </c>
      <c r="B465" s="173" t="s">
        <v>1282</v>
      </c>
    </row>
    <row r="466" spans="1:2" x14ac:dyDescent="0.2">
      <c r="A466" s="173" t="s">
        <v>1283</v>
      </c>
      <c r="B466" s="173" t="s">
        <v>1284</v>
      </c>
    </row>
    <row r="467" spans="1:2" x14ac:dyDescent="0.2">
      <c r="A467" s="173" t="s">
        <v>1285</v>
      </c>
      <c r="B467" s="173" t="s">
        <v>1286</v>
      </c>
    </row>
    <row r="468" spans="1:2" x14ac:dyDescent="0.2">
      <c r="A468" s="173" t="s">
        <v>1287</v>
      </c>
      <c r="B468" s="173" t="s">
        <v>1288</v>
      </c>
    </row>
    <row r="469" spans="1:2" x14ac:dyDescent="0.2">
      <c r="A469" s="173" t="s">
        <v>187</v>
      </c>
      <c r="B469" s="173" t="s">
        <v>1289</v>
      </c>
    </row>
    <row r="470" spans="1:2" x14ac:dyDescent="0.2">
      <c r="A470" s="173" t="s">
        <v>1290</v>
      </c>
      <c r="B470" s="173" t="s">
        <v>1291</v>
      </c>
    </row>
    <row r="471" spans="1:2" x14ac:dyDescent="0.2">
      <c r="A471" s="173" t="s">
        <v>1292</v>
      </c>
      <c r="B471" s="173" t="s">
        <v>1293</v>
      </c>
    </row>
    <row r="472" spans="1:2" x14ac:dyDescent="0.2">
      <c r="A472" s="173" t="s">
        <v>1294</v>
      </c>
      <c r="B472" s="173" t="s">
        <v>1295</v>
      </c>
    </row>
    <row r="473" spans="1:2" x14ac:dyDescent="0.2">
      <c r="A473" s="173" t="s">
        <v>1296</v>
      </c>
      <c r="B473" s="173" t="s">
        <v>1297</v>
      </c>
    </row>
    <row r="474" spans="1:2" x14ac:dyDescent="0.2">
      <c r="A474" s="173" t="s">
        <v>198</v>
      </c>
      <c r="B474" s="173" t="s">
        <v>1298</v>
      </c>
    </row>
    <row r="475" spans="1:2" x14ac:dyDescent="0.2">
      <c r="A475" s="173" t="s">
        <v>1299</v>
      </c>
      <c r="B475" s="173" t="s">
        <v>1300</v>
      </c>
    </row>
    <row r="476" spans="1:2" x14ac:dyDescent="0.2">
      <c r="A476" s="173" t="s">
        <v>189</v>
      </c>
      <c r="B476" s="173" t="s">
        <v>1301</v>
      </c>
    </row>
    <row r="477" spans="1:2" x14ac:dyDescent="0.2">
      <c r="A477" s="173" t="s">
        <v>208</v>
      </c>
      <c r="B477" s="173" t="s">
        <v>1302</v>
      </c>
    </row>
    <row r="478" spans="1:2" x14ac:dyDescent="0.2">
      <c r="A478" s="173" t="s">
        <v>1303</v>
      </c>
      <c r="B478" s="173" t="s">
        <v>1304</v>
      </c>
    </row>
    <row r="479" spans="1:2" x14ac:dyDescent="0.2">
      <c r="A479" s="173" t="s">
        <v>1305</v>
      </c>
      <c r="B479" s="173" t="s">
        <v>1306</v>
      </c>
    </row>
    <row r="480" spans="1:2" x14ac:dyDescent="0.2">
      <c r="A480" s="173" t="s">
        <v>1307</v>
      </c>
      <c r="B480" s="173" t="s">
        <v>1308</v>
      </c>
    </row>
    <row r="481" spans="1:2" x14ac:dyDescent="0.2">
      <c r="A481" s="173" t="s">
        <v>1309</v>
      </c>
      <c r="B481" s="173" t="s">
        <v>1310</v>
      </c>
    </row>
    <row r="482" spans="1:2" x14ac:dyDescent="0.2">
      <c r="A482" s="173" t="s">
        <v>1311</v>
      </c>
      <c r="B482" s="173" t="s">
        <v>1312</v>
      </c>
    </row>
    <row r="483" spans="1:2" x14ac:dyDescent="0.2">
      <c r="A483" s="173" t="s">
        <v>1313</v>
      </c>
      <c r="B483" s="173" t="s">
        <v>1314</v>
      </c>
    </row>
    <row r="484" spans="1:2" x14ac:dyDescent="0.2">
      <c r="A484" s="173" t="s">
        <v>1315</v>
      </c>
      <c r="B484" s="173" t="s">
        <v>1316</v>
      </c>
    </row>
    <row r="485" spans="1:2" x14ac:dyDescent="0.2">
      <c r="A485" s="173" t="s">
        <v>215</v>
      </c>
      <c r="B485" s="173" t="s">
        <v>1317</v>
      </c>
    </row>
    <row r="486" spans="1:2" x14ac:dyDescent="0.2">
      <c r="A486" s="173" t="s">
        <v>1318</v>
      </c>
      <c r="B486" s="173" t="s">
        <v>1319</v>
      </c>
    </row>
    <row r="487" spans="1:2" x14ac:dyDescent="0.2">
      <c r="A487" s="173" t="s">
        <v>1320</v>
      </c>
      <c r="B487" s="173" t="s">
        <v>1321</v>
      </c>
    </row>
    <row r="488" spans="1:2" x14ac:dyDescent="0.2">
      <c r="A488" s="173" t="s">
        <v>1322</v>
      </c>
      <c r="B488" s="173" t="s">
        <v>1323</v>
      </c>
    </row>
    <row r="489" spans="1:2" x14ac:dyDescent="0.2">
      <c r="A489" s="173" t="s">
        <v>1324</v>
      </c>
      <c r="B489" s="173" t="s">
        <v>1325</v>
      </c>
    </row>
    <row r="490" spans="1:2" x14ac:dyDescent="0.2">
      <c r="A490" s="173" t="s">
        <v>1326</v>
      </c>
      <c r="B490" s="173" t="s">
        <v>1327</v>
      </c>
    </row>
    <row r="491" spans="1:2" x14ac:dyDescent="0.2">
      <c r="A491" s="173" t="s">
        <v>1328</v>
      </c>
      <c r="B491" s="173" t="s">
        <v>1329</v>
      </c>
    </row>
    <row r="492" spans="1:2" x14ac:dyDescent="0.2">
      <c r="A492" s="173" t="s">
        <v>219</v>
      </c>
      <c r="B492" s="173" t="s">
        <v>1330</v>
      </c>
    </row>
    <row r="493" spans="1:2" x14ac:dyDescent="0.2">
      <c r="A493" s="173" t="s">
        <v>1331</v>
      </c>
      <c r="B493" s="173" t="s">
        <v>1332</v>
      </c>
    </row>
    <row r="494" spans="1:2" x14ac:dyDescent="0.2">
      <c r="A494" s="173" t="s">
        <v>218</v>
      </c>
      <c r="B494" s="173" t="s">
        <v>1333</v>
      </c>
    </row>
    <row r="495" spans="1:2" x14ac:dyDescent="0.2">
      <c r="A495" s="173" t="s">
        <v>1334</v>
      </c>
      <c r="B495" s="173" t="s">
        <v>1335</v>
      </c>
    </row>
    <row r="496" spans="1:2" x14ac:dyDescent="0.2">
      <c r="A496" s="173" t="s">
        <v>1336</v>
      </c>
      <c r="B496" s="173" t="s">
        <v>1337</v>
      </c>
    </row>
    <row r="497" spans="1:2" x14ac:dyDescent="0.2">
      <c r="A497" s="173" t="s">
        <v>1338</v>
      </c>
      <c r="B497" s="173" t="s">
        <v>1339</v>
      </c>
    </row>
    <row r="498" spans="1:2" x14ac:dyDescent="0.2">
      <c r="A498" s="173" t="s">
        <v>1340</v>
      </c>
      <c r="B498" s="173" t="s">
        <v>1341</v>
      </c>
    </row>
    <row r="499" spans="1:2" x14ac:dyDescent="0.2">
      <c r="A499" s="173" t="s">
        <v>1342</v>
      </c>
      <c r="B499" s="173" t="s">
        <v>1343</v>
      </c>
    </row>
    <row r="500" spans="1:2" x14ac:dyDescent="0.2">
      <c r="A500" s="173" t="s">
        <v>1344</v>
      </c>
      <c r="B500" s="173" t="s">
        <v>1345</v>
      </c>
    </row>
    <row r="501" spans="1:2" x14ac:dyDescent="0.2">
      <c r="A501" s="173" t="s">
        <v>1346</v>
      </c>
      <c r="B501" s="173" t="s">
        <v>1347</v>
      </c>
    </row>
    <row r="502" spans="1:2" x14ac:dyDescent="0.2">
      <c r="A502" s="173" t="s">
        <v>1348</v>
      </c>
      <c r="B502" s="173" t="s">
        <v>1349</v>
      </c>
    </row>
    <row r="503" spans="1:2" x14ac:dyDescent="0.2">
      <c r="A503" s="173" t="s">
        <v>1350</v>
      </c>
      <c r="B503" s="173" t="s">
        <v>1351</v>
      </c>
    </row>
    <row r="504" spans="1:2" x14ac:dyDescent="0.2">
      <c r="A504" s="173" t="s">
        <v>106</v>
      </c>
      <c r="B504" s="173" t="s">
        <v>1352</v>
      </c>
    </row>
    <row r="505" spans="1:2" x14ac:dyDescent="0.2">
      <c r="A505" s="173" t="s">
        <v>107</v>
      </c>
      <c r="B505" s="173" t="s">
        <v>1353</v>
      </c>
    </row>
    <row r="506" spans="1:2" x14ac:dyDescent="0.2">
      <c r="A506" s="173" t="s">
        <v>1354</v>
      </c>
      <c r="B506" s="173" t="s">
        <v>710</v>
      </c>
    </row>
    <row r="507" spans="1:2" x14ac:dyDescent="0.2">
      <c r="A507" s="173" t="s">
        <v>1355</v>
      </c>
      <c r="B507" s="173" t="s">
        <v>1356</v>
      </c>
    </row>
    <row r="508" spans="1:2" x14ac:dyDescent="0.2">
      <c r="A508" s="173" t="s">
        <v>1357</v>
      </c>
      <c r="B508" s="173" t="s">
        <v>1358</v>
      </c>
    </row>
    <row r="509" spans="1:2" x14ac:dyDescent="0.2">
      <c r="A509" s="173" t="s">
        <v>1359</v>
      </c>
      <c r="B509" s="173" t="s">
        <v>1360</v>
      </c>
    </row>
    <row r="510" spans="1:2" x14ac:dyDescent="0.2">
      <c r="A510" s="173" t="s">
        <v>1361</v>
      </c>
      <c r="B510" s="173" t="s">
        <v>1362</v>
      </c>
    </row>
    <row r="511" spans="1:2" x14ac:dyDescent="0.2">
      <c r="A511" s="173" t="s">
        <v>1363</v>
      </c>
      <c r="B511" s="173" t="s">
        <v>1364</v>
      </c>
    </row>
    <row r="512" spans="1:2" x14ac:dyDescent="0.2">
      <c r="A512" s="173" t="s">
        <v>282</v>
      </c>
      <c r="B512" s="173" t="s">
        <v>1365</v>
      </c>
    </row>
    <row r="513" spans="1:2" x14ac:dyDescent="0.2">
      <c r="A513" s="173" t="s">
        <v>1366</v>
      </c>
      <c r="B513" s="173" t="s">
        <v>1367</v>
      </c>
    </row>
    <row r="514" spans="1:2" x14ac:dyDescent="0.2">
      <c r="A514" s="173" t="s">
        <v>1368</v>
      </c>
      <c r="B514" s="173" t="s">
        <v>1369</v>
      </c>
    </row>
    <row r="515" spans="1:2" x14ac:dyDescent="0.2">
      <c r="A515" s="173" t="s">
        <v>1370</v>
      </c>
      <c r="B515" s="173" t="s">
        <v>1371</v>
      </c>
    </row>
    <row r="516" spans="1:2" x14ac:dyDescent="0.2">
      <c r="A516" s="173" t="s">
        <v>1372</v>
      </c>
      <c r="B516" s="173" t="s">
        <v>1373</v>
      </c>
    </row>
    <row r="517" spans="1:2" x14ac:dyDescent="0.2">
      <c r="A517" s="173" t="s">
        <v>221</v>
      </c>
      <c r="B517" s="173" t="s">
        <v>1374</v>
      </c>
    </row>
    <row r="518" spans="1:2" x14ac:dyDescent="0.2">
      <c r="A518" s="173" t="s">
        <v>1375</v>
      </c>
      <c r="B518" s="173" t="s">
        <v>1376</v>
      </c>
    </row>
    <row r="519" spans="1:2" x14ac:dyDescent="0.2">
      <c r="A519" s="173" t="s">
        <v>1377</v>
      </c>
      <c r="B519" s="173" t="s">
        <v>1378</v>
      </c>
    </row>
    <row r="520" spans="1:2" x14ac:dyDescent="0.2">
      <c r="A520" s="173" t="s">
        <v>1379</v>
      </c>
      <c r="B520" s="173" t="s">
        <v>1380</v>
      </c>
    </row>
    <row r="521" spans="1:2" x14ac:dyDescent="0.2">
      <c r="A521" s="173" t="s">
        <v>1381</v>
      </c>
      <c r="B521" s="173" t="s">
        <v>1382</v>
      </c>
    </row>
    <row r="522" spans="1:2" x14ac:dyDescent="0.2">
      <c r="A522" s="173" t="s">
        <v>1383</v>
      </c>
      <c r="B522" s="173" t="s">
        <v>1384</v>
      </c>
    </row>
    <row r="523" spans="1:2" x14ac:dyDescent="0.2">
      <c r="A523" s="173" t="s">
        <v>1385</v>
      </c>
      <c r="B523" s="173" t="s">
        <v>1151</v>
      </c>
    </row>
    <row r="524" spans="1:2" x14ac:dyDescent="0.2">
      <c r="A524" s="173" t="s">
        <v>1386</v>
      </c>
      <c r="B524" s="173" t="s">
        <v>1387</v>
      </c>
    </row>
    <row r="525" spans="1:2" x14ac:dyDescent="0.2">
      <c r="A525" s="173" t="s">
        <v>1388</v>
      </c>
      <c r="B525" s="173" t="s">
        <v>1389</v>
      </c>
    </row>
    <row r="526" spans="1:2" x14ac:dyDescent="0.2">
      <c r="A526" s="173" t="s">
        <v>1390</v>
      </c>
      <c r="B526" s="173" t="s">
        <v>1391</v>
      </c>
    </row>
    <row r="527" spans="1:2" x14ac:dyDescent="0.2">
      <c r="A527" s="173" t="s">
        <v>1392</v>
      </c>
      <c r="B527" s="173" t="s">
        <v>1393</v>
      </c>
    </row>
    <row r="528" spans="1:2" x14ac:dyDescent="0.2">
      <c r="A528" s="173" t="s">
        <v>269</v>
      </c>
      <c r="B528" s="173" t="s">
        <v>1394</v>
      </c>
    </row>
    <row r="529" spans="1:2" x14ac:dyDescent="0.2">
      <c r="A529" s="173" t="s">
        <v>276</v>
      </c>
      <c r="B529" s="173" t="s">
        <v>1395</v>
      </c>
    </row>
    <row r="530" spans="1:2" x14ac:dyDescent="0.2">
      <c r="A530" s="173" t="s">
        <v>279</v>
      </c>
      <c r="B530" s="173" t="s">
        <v>1396</v>
      </c>
    </row>
    <row r="531" spans="1:2" x14ac:dyDescent="0.2">
      <c r="A531" s="173" t="s">
        <v>278</v>
      </c>
      <c r="B531" s="173" t="s">
        <v>1397</v>
      </c>
    </row>
    <row r="532" spans="1:2" x14ac:dyDescent="0.2">
      <c r="A532" s="173" t="s">
        <v>209</v>
      </c>
      <c r="B532" s="173" t="s">
        <v>1398</v>
      </c>
    </row>
    <row r="533" spans="1:2" x14ac:dyDescent="0.2">
      <c r="A533" s="173" t="s">
        <v>1399</v>
      </c>
      <c r="B533" s="173" t="s">
        <v>1400</v>
      </c>
    </row>
    <row r="534" spans="1:2" x14ac:dyDescent="0.2">
      <c r="A534" s="173" t="s">
        <v>167</v>
      </c>
      <c r="B534" s="173" t="s">
        <v>755</v>
      </c>
    </row>
    <row r="535" spans="1:2" x14ac:dyDescent="0.2">
      <c r="A535" s="173" t="s">
        <v>265</v>
      </c>
      <c r="B535" s="173" t="s">
        <v>1401</v>
      </c>
    </row>
    <row r="536" spans="1:2" x14ac:dyDescent="0.2">
      <c r="A536" s="173" t="s">
        <v>1402</v>
      </c>
      <c r="B536" s="173" t="s">
        <v>1403</v>
      </c>
    </row>
    <row r="537" spans="1:2" x14ac:dyDescent="0.2">
      <c r="A537" s="173" t="s">
        <v>1404</v>
      </c>
      <c r="B537" s="173" t="s">
        <v>1405</v>
      </c>
    </row>
    <row r="538" spans="1:2" x14ac:dyDescent="0.2">
      <c r="A538" s="173" t="s">
        <v>1406</v>
      </c>
      <c r="B538" s="173" t="s">
        <v>1197</v>
      </c>
    </row>
    <row r="539" spans="1:2" x14ac:dyDescent="0.2">
      <c r="A539" s="173" t="s">
        <v>1407</v>
      </c>
      <c r="B539" s="173" t="s">
        <v>1408</v>
      </c>
    </row>
    <row r="540" spans="1:2" x14ac:dyDescent="0.2">
      <c r="A540" s="173" t="s">
        <v>1409</v>
      </c>
      <c r="B540" s="173" t="s">
        <v>1410</v>
      </c>
    </row>
    <row r="541" spans="1:2" x14ac:dyDescent="0.2">
      <c r="A541" s="173" t="s">
        <v>199</v>
      </c>
      <c r="B541" s="173" t="s">
        <v>1411</v>
      </c>
    </row>
    <row r="542" spans="1:2" x14ac:dyDescent="0.2">
      <c r="A542" s="173" t="s">
        <v>1412</v>
      </c>
      <c r="B542" s="173" t="s">
        <v>1413</v>
      </c>
    </row>
    <row r="543" spans="1:2" x14ac:dyDescent="0.2">
      <c r="A543" s="173" t="s">
        <v>1414</v>
      </c>
      <c r="B543" s="173" t="s">
        <v>1415</v>
      </c>
    </row>
    <row r="544" spans="1:2" x14ac:dyDescent="0.2">
      <c r="A544" s="173" t="s">
        <v>1416</v>
      </c>
      <c r="B544" s="173" t="s">
        <v>1417</v>
      </c>
    </row>
    <row r="545" spans="1:2" x14ac:dyDescent="0.2">
      <c r="A545" s="173" t="s">
        <v>1418</v>
      </c>
      <c r="B545" s="173" t="s">
        <v>1419</v>
      </c>
    </row>
    <row r="546" spans="1:2" x14ac:dyDescent="0.2">
      <c r="A546" s="173" t="s">
        <v>1420</v>
      </c>
      <c r="B546" s="173" t="s">
        <v>1421</v>
      </c>
    </row>
    <row r="547" spans="1:2" x14ac:dyDescent="0.2">
      <c r="A547" s="173" t="s">
        <v>1422</v>
      </c>
      <c r="B547" s="173" t="s">
        <v>1423</v>
      </c>
    </row>
    <row r="548" spans="1:2" x14ac:dyDescent="0.2">
      <c r="A548" s="173" t="s">
        <v>1424</v>
      </c>
      <c r="B548" s="173" t="s">
        <v>1425</v>
      </c>
    </row>
    <row r="549" spans="1:2" x14ac:dyDescent="0.2">
      <c r="A549" s="173" t="s">
        <v>1426</v>
      </c>
      <c r="B549" s="173" t="s">
        <v>1427</v>
      </c>
    </row>
    <row r="550" spans="1:2" x14ac:dyDescent="0.2">
      <c r="A550" s="173" t="s">
        <v>1428</v>
      </c>
      <c r="B550" s="173" t="s">
        <v>1429</v>
      </c>
    </row>
    <row r="551" spans="1:2" x14ac:dyDescent="0.2">
      <c r="A551" s="173" t="s">
        <v>1430</v>
      </c>
      <c r="B551" s="173" t="s">
        <v>1431</v>
      </c>
    </row>
    <row r="552" spans="1:2" x14ac:dyDescent="0.2">
      <c r="A552" s="173" t="s">
        <v>1432</v>
      </c>
      <c r="B552" s="173" t="s">
        <v>1433</v>
      </c>
    </row>
    <row r="553" spans="1:2" x14ac:dyDescent="0.2">
      <c r="A553" s="173" t="s">
        <v>1434</v>
      </c>
      <c r="B553" s="173" t="s">
        <v>1435</v>
      </c>
    </row>
    <row r="554" spans="1:2" x14ac:dyDescent="0.2">
      <c r="A554" s="173" t="s">
        <v>1436</v>
      </c>
      <c r="B554" s="173" t="s">
        <v>1437</v>
      </c>
    </row>
    <row r="555" spans="1:2" x14ac:dyDescent="0.2">
      <c r="A555" s="173" t="s">
        <v>1438</v>
      </c>
      <c r="B555" s="173" t="s">
        <v>1439</v>
      </c>
    </row>
    <row r="556" spans="1:2" x14ac:dyDescent="0.2">
      <c r="A556" s="173" t="s">
        <v>227</v>
      </c>
      <c r="B556" s="173" t="s">
        <v>1440</v>
      </c>
    </row>
    <row r="557" spans="1:2" x14ac:dyDescent="0.2">
      <c r="A557" s="173" t="s">
        <v>1441</v>
      </c>
      <c r="B557" s="173" t="s">
        <v>1442</v>
      </c>
    </row>
    <row r="558" spans="1:2" x14ac:dyDescent="0.2">
      <c r="A558" s="173" t="s">
        <v>1443</v>
      </c>
      <c r="B558" s="173" t="s">
        <v>1444</v>
      </c>
    </row>
    <row r="559" spans="1:2" x14ac:dyDescent="0.2">
      <c r="A559" s="173" t="s">
        <v>317</v>
      </c>
      <c r="B559" s="173" t="s">
        <v>1445</v>
      </c>
    </row>
    <row r="560" spans="1:2" x14ac:dyDescent="0.2">
      <c r="A560" s="173" t="s">
        <v>316</v>
      </c>
      <c r="B560" s="173" t="s">
        <v>1446</v>
      </c>
    </row>
    <row r="561" spans="1:2" x14ac:dyDescent="0.2">
      <c r="A561" s="173" t="s">
        <v>1447</v>
      </c>
      <c r="B561" s="173" t="s">
        <v>1448</v>
      </c>
    </row>
    <row r="562" spans="1:2" x14ac:dyDescent="0.2">
      <c r="A562" s="173" t="s">
        <v>1449</v>
      </c>
      <c r="B562" s="173" t="s">
        <v>1450</v>
      </c>
    </row>
    <row r="563" spans="1:2" x14ac:dyDescent="0.2">
      <c r="A563" s="173" t="s">
        <v>1451</v>
      </c>
      <c r="B563" s="173" t="s">
        <v>1452</v>
      </c>
    </row>
    <row r="564" spans="1:2" x14ac:dyDescent="0.2">
      <c r="A564" s="173" t="s">
        <v>1453</v>
      </c>
      <c r="B564" s="173" t="s">
        <v>1454</v>
      </c>
    </row>
    <row r="565" spans="1:2" x14ac:dyDescent="0.2">
      <c r="A565" s="173" t="s">
        <v>1455</v>
      </c>
      <c r="B565" s="173" t="s">
        <v>1456</v>
      </c>
    </row>
    <row r="566" spans="1:2" x14ac:dyDescent="0.2">
      <c r="A566" s="173" t="s">
        <v>1457</v>
      </c>
      <c r="B566" s="173" t="s">
        <v>1458</v>
      </c>
    </row>
    <row r="567" spans="1:2" x14ac:dyDescent="0.2">
      <c r="A567" s="173" t="s">
        <v>1459</v>
      </c>
      <c r="B567" s="173" t="s">
        <v>1460</v>
      </c>
    </row>
    <row r="568" spans="1:2" x14ac:dyDescent="0.2">
      <c r="A568" s="173" t="s">
        <v>1461</v>
      </c>
      <c r="B568" s="173" t="s">
        <v>1462</v>
      </c>
    </row>
    <row r="569" spans="1:2" x14ac:dyDescent="0.2">
      <c r="A569" s="173" t="s">
        <v>15</v>
      </c>
      <c r="B569" s="173" t="s">
        <v>1799</v>
      </c>
    </row>
    <row r="570" spans="1:2" x14ac:dyDescent="0.2">
      <c r="A570" s="173" t="s">
        <v>204</v>
      </c>
      <c r="B570" s="173" t="s">
        <v>1463</v>
      </c>
    </row>
    <row r="571" spans="1:2" x14ac:dyDescent="0.2">
      <c r="A571" s="173" t="s">
        <v>1464</v>
      </c>
      <c r="B571" s="173" t="s">
        <v>1465</v>
      </c>
    </row>
    <row r="572" spans="1:2" x14ac:dyDescent="0.2">
      <c r="A572" s="173" t="s">
        <v>1466</v>
      </c>
      <c r="B572" s="173" t="s">
        <v>1467</v>
      </c>
    </row>
    <row r="573" spans="1:2" x14ac:dyDescent="0.2">
      <c r="A573" s="173" t="s">
        <v>1468</v>
      </c>
      <c r="B573" s="173" t="s">
        <v>1469</v>
      </c>
    </row>
    <row r="574" spans="1:2" x14ac:dyDescent="0.2">
      <c r="A574" s="173" t="s">
        <v>1470</v>
      </c>
      <c r="B574" s="173" t="s">
        <v>1471</v>
      </c>
    </row>
    <row r="575" spans="1:2" x14ac:dyDescent="0.2">
      <c r="A575" s="173" t="s">
        <v>1472</v>
      </c>
      <c r="B575" s="173" t="s">
        <v>1473</v>
      </c>
    </row>
    <row r="576" spans="1:2" x14ac:dyDescent="0.2">
      <c r="A576" s="173" t="s">
        <v>119</v>
      </c>
      <c r="B576" s="173" t="s">
        <v>1474</v>
      </c>
    </row>
    <row r="577" spans="1:2" x14ac:dyDescent="0.2">
      <c r="A577" s="173" t="s">
        <v>1475</v>
      </c>
      <c r="B577" s="173" t="s">
        <v>1476</v>
      </c>
    </row>
    <row r="578" spans="1:2" x14ac:dyDescent="0.2">
      <c r="A578" s="173" t="s">
        <v>1477</v>
      </c>
      <c r="B578" s="173" t="s">
        <v>1478</v>
      </c>
    </row>
    <row r="579" spans="1:2" x14ac:dyDescent="0.2">
      <c r="A579" s="173" t="s">
        <v>1479</v>
      </c>
      <c r="B579" s="173" t="s">
        <v>1273</v>
      </c>
    </row>
    <row r="580" spans="1:2" x14ac:dyDescent="0.2">
      <c r="A580" s="173" t="s">
        <v>268</v>
      </c>
      <c r="B580" s="173" t="s">
        <v>1480</v>
      </c>
    </row>
    <row r="581" spans="1:2" x14ac:dyDescent="0.2">
      <c r="A581" s="173" t="s">
        <v>285</v>
      </c>
      <c r="B581" s="173" t="s">
        <v>1481</v>
      </c>
    </row>
    <row r="582" spans="1:2" x14ac:dyDescent="0.2">
      <c r="A582" s="173" t="s">
        <v>280</v>
      </c>
      <c r="B582" s="173" t="s">
        <v>1482</v>
      </c>
    </row>
    <row r="583" spans="1:2" x14ac:dyDescent="0.2">
      <c r="A583" s="173" t="s">
        <v>234</v>
      </c>
      <c r="B583" s="173" t="s">
        <v>1483</v>
      </c>
    </row>
    <row r="584" spans="1:2" x14ac:dyDescent="0.2">
      <c r="A584" s="173" t="s">
        <v>1484</v>
      </c>
      <c r="B584" s="173" t="s">
        <v>1485</v>
      </c>
    </row>
    <row r="585" spans="1:2" x14ac:dyDescent="0.2">
      <c r="A585" s="173" t="s">
        <v>302</v>
      </c>
      <c r="B585" s="173" t="s">
        <v>1417</v>
      </c>
    </row>
    <row r="586" spans="1:2" x14ac:dyDescent="0.2">
      <c r="A586" s="173" t="s">
        <v>298</v>
      </c>
      <c r="B586" s="173" t="s">
        <v>1486</v>
      </c>
    </row>
    <row r="587" spans="1:2" x14ac:dyDescent="0.2">
      <c r="A587" s="173" t="s">
        <v>273</v>
      </c>
      <c r="B587" s="173" t="s">
        <v>1487</v>
      </c>
    </row>
    <row r="588" spans="1:2" x14ac:dyDescent="0.2">
      <c r="A588" s="173" t="s">
        <v>299</v>
      </c>
      <c r="B588" s="173" t="s">
        <v>1488</v>
      </c>
    </row>
    <row r="589" spans="1:2" x14ac:dyDescent="0.2">
      <c r="A589" s="173" t="s">
        <v>1489</v>
      </c>
      <c r="B589" s="173" t="s">
        <v>1490</v>
      </c>
    </row>
    <row r="590" spans="1:2" x14ac:dyDescent="0.2">
      <c r="A590" s="173" t="s">
        <v>1491</v>
      </c>
      <c r="B590" s="173" t="s">
        <v>1492</v>
      </c>
    </row>
    <row r="591" spans="1:2" x14ac:dyDescent="0.2">
      <c r="A591" s="173" t="s">
        <v>1493</v>
      </c>
      <c r="B591" s="173" t="s">
        <v>1494</v>
      </c>
    </row>
    <row r="592" spans="1:2" x14ac:dyDescent="0.2">
      <c r="A592" s="173" t="s">
        <v>1495</v>
      </c>
      <c r="B592" s="173" t="s">
        <v>1496</v>
      </c>
    </row>
    <row r="593" spans="1:2" x14ac:dyDescent="0.2">
      <c r="A593" s="173" t="s">
        <v>1497</v>
      </c>
      <c r="B593" s="173" t="s">
        <v>1153</v>
      </c>
    </row>
    <row r="594" spans="1:2" x14ac:dyDescent="0.2">
      <c r="A594" s="173" t="s">
        <v>1498</v>
      </c>
      <c r="B594" s="173" t="s">
        <v>1499</v>
      </c>
    </row>
    <row r="595" spans="1:2" x14ac:dyDescent="0.2">
      <c r="A595" s="173" t="s">
        <v>1500</v>
      </c>
      <c r="B595" s="173" t="s">
        <v>1501</v>
      </c>
    </row>
    <row r="596" spans="1:2" x14ac:dyDescent="0.2">
      <c r="A596" s="173" t="s">
        <v>1502</v>
      </c>
      <c r="B596" s="173" t="s">
        <v>1503</v>
      </c>
    </row>
    <row r="597" spans="1:2" x14ac:dyDescent="0.2">
      <c r="A597" s="173" t="s">
        <v>1504</v>
      </c>
      <c r="B597" s="173" t="s">
        <v>1505</v>
      </c>
    </row>
    <row r="598" spans="1:2" x14ac:dyDescent="0.2">
      <c r="A598" s="173" t="s">
        <v>1506</v>
      </c>
      <c r="B598" s="173" t="s">
        <v>1507</v>
      </c>
    </row>
    <row r="599" spans="1:2" x14ac:dyDescent="0.2">
      <c r="A599" s="173" t="s">
        <v>1508</v>
      </c>
      <c r="B599" s="173" t="s">
        <v>1509</v>
      </c>
    </row>
    <row r="600" spans="1:2" x14ac:dyDescent="0.2">
      <c r="A600" s="173" t="s">
        <v>1510</v>
      </c>
      <c r="B600" s="173" t="s">
        <v>1511</v>
      </c>
    </row>
    <row r="601" spans="1:2" x14ac:dyDescent="0.2">
      <c r="A601" s="173" t="s">
        <v>1512</v>
      </c>
      <c r="B601" s="173" t="s">
        <v>1513</v>
      </c>
    </row>
    <row r="602" spans="1:2" x14ac:dyDescent="0.2">
      <c r="A602" s="173" t="s">
        <v>1514</v>
      </c>
      <c r="B602" s="173" t="s">
        <v>1515</v>
      </c>
    </row>
    <row r="603" spans="1:2" x14ac:dyDescent="0.2">
      <c r="A603" s="173" t="s">
        <v>1516</v>
      </c>
      <c r="B603" s="173" t="s">
        <v>1517</v>
      </c>
    </row>
    <row r="604" spans="1:2" x14ac:dyDescent="0.2">
      <c r="A604" s="173" t="s">
        <v>132</v>
      </c>
      <c r="B604" s="173" t="s">
        <v>1518</v>
      </c>
    </row>
    <row r="605" spans="1:2" x14ac:dyDescent="0.2">
      <c r="A605" s="173" t="s">
        <v>1519</v>
      </c>
      <c r="B605" s="173" t="s">
        <v>1520</v>
      </c>
    </row>
    <row r="606" spans="1:2" x14ac:dyDescent="0.2">
      <c r="A606" s="173" t="s">
        <v>174</v>
      </c>
      <c r="B606" s="173" t="s">
        <v>1521</v>
      </c>
    </row>
    <row r="607" spans="1:2" x14ac:dyDescent="0.2">
      <c r="A607" s="173" t="s">
        <v>1522</v>
      </c>
      <c r="B607" s="173" t="s">
        <v>1523</v>
      </c>
    </row>
    <row r="608" spans="1:2" x14ac:dyDescent="0.2">
      <c r="A608" s="173" t="s">
        <v>1524</v>
      </c>
      <c r="B608" s="173" t="s">
        <v>1525</v>
      </c>
    </row>
    <row r="609" spans="1:2" x14ac:dyDescent="0.2">
      <c r="A609" s="173" t="s">
        <v>1526</v>
      </c>
      <c r="B609" s="173" t="s">
        <v>1157</v>
      </c>
    </row>
    <row r="610" spans="1:2" x14ac:dyDescent="0.2">
      <c r="A610" s="173" t="s">
        <v>1527</v>
      </c>
      <c r="B610" s="173" t="s">
        <v>1528</v>
      </c>
    </row>
    <row r="611" spans="1:2" x14ac:dyDescent="0.2">
      <c r="A611" s="173" t="s">
        <v>1529</v>
      </c>
      <c r="B611" s="173" t="s">
        <v>1530</v>
      </c>
    </row>
    <row r="612" spans="1:2" x14ac:dyDescent="0.2">
      <c r="A612" s="173" t="s">
        <v>1531</v>
      </c>
      <c r="B612" s="173" t="s">
        <v>1532</v>
      </c>
    </row>
    <row r="613" spans="1:2" x14ac:dyDescent="0.2">
      <c r="A613" s="173" t="s">
        <v>1533</v>
      </c>
      <c r="B613" s="173" t="s">
        <v>1014</v>
      </c>
    </row>
    <row r="614" spans="1:2" x14ac:dyDescent="0.2">
      <c r="A614" s="173" t="s">
        <v>297</v>
      </c>
      <c r="B614" s="173" t="s">
        <v>1534</v>
      </c>
    </row>
    <row r="615" spans="1:2" x14ac:dyDescent="0.2">
      <c r="A615" s="173" t="s">
        <v>304</v>
      </c>
      <c r="B615" s="173" t="s">
        <v>1535</v>
      </c>
    </row>
    <row r="616" spans="1:2" x14ac:dyDescent="0.2">
      <c r="A616" s="173" t="s">
        <v>1536</v>
      </c>
      <c r="B616" s="173" t="s">
        <v>1537</v>
      </c>
    </row>
    <row r="617" spans="1:2" x14ac:dyDescent="0.2">
      <c r="A617" s="173" t="s">
        <v>16</v>
      </c>
      <c r="B617" s="173" t="s">
        <v>1538</v>
      </c>
    </row>
    <row r="618" spans="1:2" x14ac:dyDescent="0.2">
      <c r="A618" s="173" t="s">
        <v>130</v>
      </c>
      <c r="B618" s="173" t="s">
        <v>1539</v>
      </c>
    </row>
    <row r="619" spans="1:2" x14ac:dyDescent="0.2">
      <c r="A619" s="173" t="s">
        <v>315</v>
      </c>
      <c r="B619" s="173" t="s">
        <v>1540</v>
      </c>
    </row>
    <row r="620" spans="1:2" x14ac:dyDescent="0.2">
      <c r="A620" s="173" t="s">
        <v>131</v>
      </c>
      <c r="B620" s="173" t="s">
        <v>1494</v>
      </c>
    </row>
    <row r="621" spans="1:2" x14ac:dyDescent="0.2">
      <c r="A621" s="173" t="s">
        <v>1541</v>
      </c>
      <c r="B621" s="173" t="s">
        <v>1542</v>
      </c>
    </row>
    <row r="622" spans="1:2" x14ac:dyDescent="0.2">
      <c r="A622" s="173" t="s">
        <v>134</v>
      </c>
      <c r="B622" s="173" t="s">
        <v>1543</v>
      </c>
    </row>
    <row r="623" spans="1:2" x14ac:dyDescent="0.2">
      <c r="A623" s="173" t="s">
        <v>3</v>
      </c>
      <c r="B623" s="173" t="s">
        <v>1544</v>
      </c>
    </row>
    <row r="624" spans="1:2" x14ac:dyDescent="0.2">
      <c r="A624" s="173" t="s">
        <v>217</v>
      </c>
      <c r="B624" s="173" t="s">
        <v>1545</v>
      </c>
    </row>
    <row r="625" spans="1:2" x14ac:dyDescent="0.2">
      <c r="A625" s="173" t="s">
        <v>110</v>
      </c>
      <c r="B625" s="173" t="s">
        <v>710</v>
      </c>
    </row>
    <row r="626" spans="1:2" x14ac:dyDescent="0.2">
      <c r="A626" s="173" t="s">
        <v>310</v>
      </c>
      <c r="B626" s="173" t="s">
        <v>1546</v>
      </c>
    </row>
    <row r="627" spans="1:2" x14ac:dyDescent="0.2">
      <c r="A627" s="173" t="s">
        <v>272</v>
      </c>
      <c r="B627" s="173" t="s">
        <v>1547</v>
      </c>
    </row>
    <row r="628" spans="1:2" x14ac:dyDescent="0.2">
      <c r="A628" s="173" t="s">
        <v>162</v>
      </c>
      <c r="B628" s="173" t="s">
        <v>1548</v>
      </c>
    </row>
    <row r="629" spans="1:2" x14ac:dyDescent="0.2">
      <c r="A629" s="173" t="s">
        <v>17</v>
      </c>
      <c r="B629" s="173" t="s">
        <v>1393</v>
      </c>
    </row>
    <row r="630" spans="1:2" x14ac:dyDescent="0.2">
      <c r="A630" s="173" t="s">
        <v>318</v>
      </c>
      <c r="B630" s="173" t="s">
        <v>1549</v>
      </c>
    </row>
    <row r="631" spans="1:2" x14ac:dyDescent="0.2">
      <c r="A631" s="173" t="s">
        <v>320</v>
      </c>
      <c r="B631" s="173" t="s">
        <v>1550</v>
      </c>
    </row>
    <row r="632" spans="1:2" x14ac:dyDescent="0.2">
      <c r="A632" s="173" t="s">
        <v>321</v>
      </c>
      <c r="B632" s="173" t="s">
        <v>1448</v>
      </c>
    </row>
    <row r="633" spans="1:2" x14ac:dyDescent="0.2">
      <c r="A633" s="173" t="s">
        <v>118</v>
      </c>
      <c r="B633" s="173" t="s">
        <v>1199</v>
      </c>
    </row>
    <row r="634" spans="1:2" x14ac:dyDescent="0.2">
      <c r="A634" s="173" t="s">
        <v>169</v>
      </c>
      <c r="B634" s="173" t="s">
        <v>1551</v>
      </c>
    </row>
    <row r="635" spans="1:2" x14ac:dyDescent="0.2">
      <c r="A635" s="173" t="s">
        <v>1552</v>
      </c>
      <c r="B635" s="173" t="s">
        <v>1553</v>
      </c>
    </row>
    <row r="636" spans="1:2" x14ac:dyDescent="0.2">
      <c r="A636" s="173" t="s">
        <v>1554</v>
      </c>
      <c r="B636" s="173" t="s">
        <v>1555</v>
      </c>
    </row>
    <row r="637" spans="1:2" x14ac:dyDescent="0.2">
      <c r="A637" s="173" t="s">
        <v>165</v>
      </c>
      <c r="B637" s="173" t="s">
        <v>1556</v>
      </c>
    </row>
    <row r="638" spans="1:2" x14ac:dyDescent="0.2">
      <c r="A638" s="173" t="s">
        <v>109</v>
      </c>
      <c r="B638" s="173" t="s">
        <v>1557</v>
      </c>
    </row>
    <row r="639" spans="1:2" x14ac:dyDescent="0.2">
      <c r="A639" s="173" t="s">
        <v>156</v>
      </c>
      <c r="B639" s="173" t="s">
        <v>1558</v>
      </c>
    </row>
    <row r="640" spans="1:2" x14ac:dyDescent="0.2">
      <c r="A640" s="173" t="s">
        <v>1559</v>
      </c>
      <c r="B640" s="173" t="s">
        <v>1560</v>
      </c>
    </row>
    <row r="641" spans="1:2" x14ac:dyDescent="0.2">
      <c r="A641" s="173" t="s">
        <v>313</v>
      </c>
      <c r="B641" s="173" t="s">
        <v>1561</v>
      </c>
    </row>
    <row r="642" spans="1:2" x14ac:dyDescent="0.2">
      <c r="A642" s="173" t="s">
        <v>1562</v>
      </c>
      <c r="B642" s="173" t="s">
        <v>1563</v>
      </c>
    </row>
    <row r="643" spans="1:2" x14ac:dyDescent="0.2">
      <c r="A643" s="173" t="s">
        <v>292</v>
      </c>
      <c r="B643" s="173" t="s">
        <v>1564</v>
      </c>
    </row>
    <row r="644" spans="1:2" x14ac:dyDescent="0.2">
      <c r="A644" s="173" t="s">
        <v>275</v>
      </c>
      <c r="B644" s="173" t="s">
        <v>1565</v>
      </c>
    </row>
    <row r="645" spans="1:2" x14ac:dyDescent="0.2">
      <c r="A645" s="173" t="s">
        <v>314</v>
      </c>
      <c r="B645" s="173" t="s">
        <v>1566</v>
      </c>
    </row>
    <row r="646" spans="1:2" x14ac:dyDescent="0.2">
      <c r="A646" s="173" t="s">
        <v>1567</v>
      </c>
      <c r="B646" s="173" t="s">
        <v>1568</v>
      </c>
    </row>
    <row r="647" spans="1:2" x14ac:dyDescent="0.2">
      <c r="A647" s="173" t="s">
        <v>1569</v>
      </c>
      <c r="B647" s="173" t="s">
        <v>1238</v>
      </c>
    </row>
    <row r="648" spans="1:2" x14ac:dyDescent="0.2">
      <c r="A648" s="173" t="s">
        <v>1570</v>
      </c>
      <c r="B648" s="173" t="s">
        <v>1440</v>
      </c>
    </row>
    <row r="649" spans="1:2" x14ac:dyDescent="0.2">
      <c r="A649" s="173" t="s">
        <v>127</v>
      </c>
      <c r="B649" s="173" t="s">
        <v>1571</v>
      </c>
    </row>
    <row r="650" spans="1:2" x14ac:dyDescent="0.2">
      <c r="A650" s="173" t="s">
        <v>1572</v>
      </c>
      <c r="B650" s="173" t="s">
        <v>561</v>
      </c>
    </row>
    <row r="651" spans="1:2" x14ac:dyDescent="0.2">
      <c r="A651" s="173" t="s">
        <v>1573</v>
      </c>
      <c r="B651" s="173" t="s">
        <v>1574</v>
      </c>
    </row>
    <row r="652" spans="1:2" x14ac:dyDescent="0.2">
      <c r="A652" s="173" t="s">
        <v>1575</v>
      </c>
      <c r="B652" s="173" t="s">
        <v>1576</v>
      </c>
    </row>
    <row r="653" spans="1:2" x14ac:dyDescent="0.2">
      <c r="A653" s="173" t="s">
        <v>1577</v>
      </c>
      <c r="B653" s="173" t="s">
        <v>1578</v>
      </c>
    </row>
    <row r="654" spans="1:2" x14ac:dyDescent="0.2">
      <c r="A654" s="173" t="s">
        <v>270</v>
      </c>
      <c r="B654" s="173" t="s">
        <v>1579</v>
      </c>
    </row>
    <row r="655" spans="1:2" x14ac:dyDescent="0.2">
      <c r="A655" s="173" t="s">
        <v>1580</v>
      </c>
      <c r="B655" s="173" t="s">
        <v>1016</v>
      </c>
    </row>
    <row r="656" spans="1:2" x14ac:dyDescent="0.2">
      <c r="A656" s="173" t="s">
        <v>1581</v>
      </c>
      <c r="B656" s="173" t="s">
        <v>1582</v>
      </c>
    </row>
    <row r="657" spans="1:2" x14ac:dyDescent="0.2">
      <c r="A657" s="173" t="s">
        <v>197</v>
      </c>
      <c r="B657" s="173" t="s">
        <v>1583</v>
      </c>
    </row>
    <row r="658" spans="1:2" x14ac:dyDescent="0.2">
      <c r="A658" s="173" t="s">
        <v>1584</v>
      </c>
      <c r="B658" s="173" t="s">
        <v>1585</v>
      </c>
    </row>
    <row r="659" spans="1:2" x14ac:dyDescent="0.2">
      <c r="A659" s="173" t="s">
        <v>1586</v>
      </c>
      <c r="B659" s="173" t="s">
        <v>1587</v>
      </c>
    </row>
    <row r="660" spans="1:2" x14ac:dyDescent="0.2">
      <c r="A660" s="173" t="s">
        <v>196</v>
      </c>
      <c r="B660" s="173" t="s">
        <v>1588</v>
      </c>
    </row>
    <row r="661" spans="1:2" x14ac:dyDescent="0.2">
      <c r="A661" s="173" t="s">
        <v>1589</v>
      </c>
      <c r="B661" s="173" t="s">
        <v>1590</v>
      </c>
    </row>
    <row r="662" spans="1:2" x14ac:dyDescent="0.2">
      <c r="A662" s="173" t="s">
        <v>1591</v>
      </c>
      <c r="B662" s="173" t="s">
        <v>1592</v>
      </c>
    </row>
    <row r="663" spans="1:2" x14ac:dyDescent="0.2">
      <c r="A663" s="173" t="s">
        <v>1593</v>
      </c>
      <c r="B663" s="173" t="s">
        <v>1594</v>
      </c>
    </row>
    <row r="664" spans="1:2" x14ac:dyDescent="0.2">
      <c r="A664" s="173" t="s">
        <v>1595</v>
      </c>
      <c r="B664" s="173" t="s">
        <v>1596</v>
      </c>
    </row>
    <row r="665" spans="1:2" x14ac:dyDescent="0.2">
      <c r="A665" s="173" t="s">
        <v>1597</v>
      </c>
      <c r="B665" s="173" t="s">
        <v>1598</v>
      </c>
    </row>
    <row r="666" spans="1:2" x14ac:dyDescent="0.2">
      <c r="A666" s="173" t="s">
        <v>213</v>
      </c>
      <c r="B666" s="173" t="s">
        <v>1599</v>
      </c>
    </row>
    <row r="667" spans="1:2" x14ac:dyDescent="0.2">
      <c r="A667" s="173" t="s">
        <v>1600</v>
      </c>
      <c r="B667" s="173" t="s">
        <v>1601</v>
      </c>
    </row>
    <row r="668" spans="1:2" x14ac:dyDescent="0.2">
      <c r="A668" s="173" t="s">
        <v>303</v>
      </c>
      <c r="B668" s="173" t="s">
        <v>1602</v>
      </c>
    </row>
    <row r="669" spans="1:2" x14ac:dyDescent="0.2">
      <c r="A669" s="173" t="s">
        <v>1603</v>
      </c>
      <c r="B669" s="173" t="s">
        <v>1604</v>
      </c>
    </row>
    <row r="670" spans="1:2" x14ac:dyDescent="0.2">
      <c r="A670" s="173" t="s">
        <v>1605</v>
      </c>
      <c r="B670" s="173" t="s">
        <v>1606</v>
      </c>
    </row>
    <row r="671" spans="1:2" x14ac:dyDescent="0.2">
      <c r="A671" s="173" t="s">
        <v>1607</v>
      </c>
      <c r="B671" s="173" t="s">
        <v>1608</v>
      </c>
    </row>
    <row r="672" spans="1:2" x14ac:dyDescent="0.2">
      <c r="A672" s="173" t="s">
        <v>1609</v>
      </c>
      <c r="B672" s="173" t="s">
        <v>1610</v>
      </c>
    </row>
    <row r="673" spans="1:2" x14ac:dyDescent="0.2">
      <c r="A673" s="173" t="s">
        <v>1611</v>
      </c>
      <c r="B673" s="173" t="s">
        <v>1612</v>
      </c>
    </row>
    <row r="674" spans="1:2" x14ac:dyDescent="0.2">
      <c r="A674" s="173" t="s">
        <v>1613</v>
      </c>
      <c r="B674" s="173" t="s">
        <v>1614</v>
      </c>
    </row>
    <row r="675" spans="1:2" x14ac:dyDescent="0.2">
      <c r="A675" s="173" t="s">
        <v>1615</v>
      </c>
      <c r="B675" s="173" t="s">
        <v>1616</v>
      </c>
    </row>
    <row r="676" spans="1:2" x14ac:dyDescent="0.2">
      <c r="A676" s="173" t="s">
        <v>1617</v>
      </c>
      <c r="B676" s="173" t="s">
        <v>1618</v>
      </c>
    </row>
    <row r="677" spans="1:2" x14ac:dyDescent="0.2">
      <c r="A677" s="173" t="s">
        <v>1619</v>
      </c>
      <c r="B677" s="173" t="s">
        <v>1620</v>
      </c>
    </row>
    <row r="678" spans="1:2" x14ac:dyDescent="0.2">
      <c r="A678" s="173" t="s">
        <v>190</v>
      </c>
      <c r="B678" s="173" t="s">
        <v>1621</v>
      </c>
    </row>
    <row r="679" spans="1:2" x14ac:dyDescent="0.2">
      <c r="A679" s="173" t="s">
        <v>1622</v>
      </c>
      <c r="B679" s="173" t="s">
        <v>1623</v>
      </c>
    </row>
    <row r="680" spans="1:2" x14ac:dyDescent="0.2">
      <c r="A680" s="173" t="s">
        <v>1624</v>
      </c>
      <c r="B680" s="173" t="s">
        <v>1625</v>
      </c>
    </row>
    <row r="681" spans="1:2" x14ac:dyDescent="0.2">
      <c r="A681" s="173" t="s">
        <v>1626</v>
      </c>
      <c r="B681" s="173" t="s">
        <v>1627</v>
      </c>
    </row>
    <row r="682" spans="1:2" x14ac:dyDescent="0.2">
      <c r="A682" s="173" t="s">
        <v>1628</v>
      </c>
      <c r="B682" s="173" t="s">
        <v>1629</v>
      </c>
    </row>
    <row r="683" spans="1:2" x14ac:dyDescent="0.2">
      <c r="A683" s="173" t="s">
        <v>1630</v>
      </c>
      <c r="B683" s="173" t="s">
        <v>1631</v>
      </c>
    </row>
    <row r="684" spans="1:2" x14ac:dyDescent="0.2">
      <c r="A684" s="173" t="s">
        <v>1632</v>
      </c>
      <c r="B684" s="173" t="s">
        <v>1633</v>
      </c>
    </row>
    <row r="685" spans="1:2" x14ac:dyDescent="0.2">
      <c r="A685" s="173" t="s">
        <v>1634</v>
      </c>
      <c r="B685" s="173" t="s">
        <v>1635</v>
      </c>
    </row>
    <row r="686" spans="1:2" x14ac:dyDescent="0.2">
      <c r="A686" s="173" t="s">
        <v>1636</v>
      </c>
      <c r="B686" s="173" t="s">
        <v>1637</v>
      </c>
    </row>
    <row r="687" spans="1:2" x14ac:dyDescent="0.2">
      <c r="A687" s="173" t="s">
        <v>1638</v>
      </c>
      <c r="B687" s="173" t="s">
        <v>1639</v>
      </c>
    </row>
    <row r="688" spans="1:2" x14ac:dyDescent="0.2">
      <c r="A688" s="173" t="s">
        <v>277</v>
      </c>
      <c r="B688" s="173" t="s">
        <v>1640</v>
      </c>
    </row>
    <row r="689" spans="1:2" x14ac:dyDescent="0.2">
      <c r="A689" s="173" t="s">
        <v>1641</v>
      </c>
      <c r="B689" s="173" t="s">
        <v>1642</v>
      </c>
    </row>
    <row r="690" spans="1:2" x14ac:dyDescent="0.2">
      <c r="A690" s="173" t="s">
        <v>1643</v>
      </c>
      <c r="B690" s="173" t="s">
        <v>1644</v>
      </c>
    </row>
    <row r="691" spans="1:2" x14ac:dyDescent="0.2">
      <c r="A691" s="173" t="s">
        <v>1645</v>
      </c>
      <c r="B691" s="173" t="s">
        <v>1646</v>
      </c>
    </row>
    <row r="692" spans="1:2" x14ac:dyDescent="0.2">
      <c r="A692" s="173" t="s">
        <v>1647</v>
      </c>
      <c r="B692" s="173" t="s">
        <v>1648</v>
      </c>
    </row>
    <row r="693" spans="1:2" x14ac:dyDescent="0.2">
      <c r="A693" s="173" t="s">
        <v>1649</v>
      </c>
      <c r="B693" s="173" t="s">
        <v>1650</v>
      </c>
    </row>
    <row r="694" spans="1:2" x14ac:dyDescent="0.2">
      <c r="A694" s="173" t="s">
        <v>149</v>
      </c>
      <c r="B694" s="173" t="s">
        <v>1651</v>
      </c>
    </row>
    <row r="695" spans="1:2" x14ac:dyDescent="0.2">
      <c r="A695" s="173" t="s">
        <v>1652</v>
      </c>
      <c r="B695" s="173" t="s">
        <v>1653</v>
      </c>
    </row>
    <row r="696" spans="1:2" x14ac:dyDescent="0.2">
      <c r="A696" s="173" t="s">
        <v>1654</v>
      </c>
      <c r="B696" s="173" t="s">
        <v>1655</v>
      </c>
    </row>
    <row r="697" spans="1:2" x14ac:dyDescent="0.2">
      <c r="A697" s="173" t="s">
        <v>1656</v>
      </c>
      <c r="B697" s="173" t="s">
        <v>1657</v>
      </c>
    </row>
    <row r="698" spans="1:2" x14ac:dyDescent="0.2">
      <c r="A698" s="173" t="s">
        <v>1658</v>
      </c>
      <c r="B698" s="173" t="s">
        <v>710</v>
      </c>
    </row>
    <row r="699" spans="1:2" x14ac:dyDescent="0.2">
      <c r="A699" s="173" t="s">
        <v>1659</v>
      </c>
      <c r="B699" s="173" t="s">
        <v>1660</v>
      </c>
    </row>
    <row r="700" spans="1:2" x14ac:dyDescent="0.2">
      <c r="A700" s="173" t="s">
        <v>1661</v>
      </c>
      <c r="B700" s="173" t="s">
        <v>1662</v>
      </c>
    </row>
    <row r="701" spans="1:2" x14ac:dyDescent="0.2">
      <c r="A701" s="173" t="s">
        <v>1663</v>
      </c>
      <c r="B701" s="173" t="s">
        <v>785</v>
      </c>
    </row>
    <row r="702" spans="1:2" x14ac:dyDescent="0.2">
      <c r="A702" s="173" t="s">
        <v>1664</v>
      </c>
      <c r="B702" s="173" t="s">
        <v>1665</v>
      </c>
    </row>
    <row r="703" spans="1:2" x14ac:dyDescent="0.2">
      <c r="A703" s="173" t="s">
        <v>225</v>
      </c>
      <c r="B703" s="173" t="s">
        <v>648</v>
      </c>
    </row>
    <row r="704" spans="1:2" x14ac:dyDescent="0.2">
      <c r="A704" s="173" t="s">
        <v>1666</v>
      </c>
      <c r="B704" s="173" t="s">
        <v>1667</v>
      </c>
    </row>
    <row r="705" spans="1:2" x14ac:dyDescent="0.2">
      <c r="A705" s="173" t="s">
        <v>1668</v>
      </c>
      <c r="B705" s="173" t="s">
        <v>1669</v>
      </c>
    </row>
    <row r="706" spans="1:2" x14ac:dyDescent="0.2">
      <c r="A706" s="173" t="s">
        <v>1670</v>
      </c>
      <c r="B706" s="173" t="s">
        <v>1671</v>
      </c>
    </row>
    <row r="707" spans="1:2" x14ac:dyDescent="0.2">
      <c r="A707" s="173" t="s">
        <v>1672</v>
      </c>
      <c r="B707" s="173" t="s">
        <v>1673</v>
      </c>
    </row>
    <row r="708" spans="1:2" x14ac:dyDescent="0.2">
      <c r="A708" s="173" t="s">
        <v>1674</v>
      </c>
      <c r="B708" s="173" t="s">
        <v>1675</v>
      </c>
    </row>
    <row r="709" spans="1:2" x14ac:dyDescent="0.2">
      <c r="A709" s="173" t="s">
        <v>1676</v>
      </c>
      <c r="B709" s="173" t="s">
        <v>1677</v>
      </c>
    </row>
    <row r="710" spans="1:2" x14ac:dyDescent="0.2">
      <c r="A710" s="173" t="s">
        <v>256</v>
      </c>
      <c r="B710" s="173" t="s">
        <v>1678</v>
      </c>
    </row>
    <row r="711" spans="1:2" x14ac:dyDescent="0.2">
      <c r="A711" s="173" t="s">
        <v>1679</v>
      </c>
      <c r="B711" s="173" t="s">
        <v>1680</v>
      </c>
    </row>
    <row r="712" spans="1:2" x14ac:dyDescent="0.2">
      <c r="A712" s="173" t="s">
        <v>1681</v>
      </c>
      <c r="B712" s="173" t="s">
        <v>1682</v>
      </c>
    </row>
    <row r="713" spans="1:2" x14ac:dyDescent="0.2">
      <c r="A713" s="173" t="s">
        <v>1683</v>
      </c>
      <c r="B713" s="173" t="s">
        <v>1684</v>
      </c>
    </row>
    <row r="714" spans="1:2" x14ac:dyDescent="0.2">
      <c r="A714" s="173" t="s">
        <v>1685</v>
      </c>
      <c r="B714" s="173" t="s">
        <v>1686</v>
      </c>
    </row>
    <row r="715" spans="1:2" x14ac:dyDescent="0.2">
      <c r="A715" s="173" t="s">
        <v>1687</v>
      </c>
      <c r="B715" s="173" t="s">
        <v>1688</v>
      </c>
    </row>
    <row r="716" spans="1:2" x14ac:dyDescent="0.2">
      <c r="A716" s="173" t="s">
        <v>1689</v>
      </c>
      <c r="B716" s="173" t="s">
        <v>1690</v>
      </c>
    </row>
    <row r="717" spans="1:2" x14ac:dyDescent="0.2">
      <c r="A717" s="173" t="s">
        <v>1691</v>
      </c>
      <c r="B717" s="173" t="s">
        <v>1692</v>
      </c>
    </row>
    <row r="718" spans="1:2" x14ac:dyDescent="0.2">
      <c r="A718" s="173" t="s">
        <v>1693</v>
      </c>
      <c r="B718" s="173" t="s">
        <v>1694</v>
      </c>
    </row>
    <row r="719" spans="1:2" x14ac:dyDescent="0.2">
      <c r="A719" s="173" t="s">
        <v>1695</v>
      </c>
      <c r="B719" s="173" t="s">
        <v>1696</v>
      </c>
    </row>
    <row r="720" spans="1:2" x14ac:dyDescent="0.2">
      <c r="A720" s="173" t="s">
        <v>1697</v>
      </c>
      <c r="B720" s="173" t="s">
        <v>1698</v>
      </c>
    </row>
    <row r="721" spans="1:2" x14ac:dyDescent="0.2">
      <c r="A721" s="173" t="s">
        <v>1699</v>
      </c>
      <c r="B721" s="173" t="s">
        <v>1700</v>
      </c>
    </row>
    <row r="722" spans="1:2" x14ac:dyDescent="0.2">
      <c r="A722" s="173" t="s">
        <v>1701</v>
      </c>
      <c r="B722" s="173" t="s">
        <v>1702</v>
      </c>
    </row>
    <row r="723" spans="1:2" x14ac:dyDescent="0.2">
      <c r="A723" s="173" t="s">
        <v>1703</v>
      </c>
      <c r="B723" s="173" t="s">
        <v>1704</v>
      </c>
    </row>
    <row r="724" spans="1:2" x14ac:dyDescent="0.2">
      <c r="A724" s="173" t="s">
        <v>161</v>
      </c>
      <c r="B724" s="173" t="s">
        <v>1231</v>
      </c>
    </row>
    <row r="725" spans="1:2" x14ac:dyDescent="0.2">
      <c r="A725" s="173" t="s">
        <v>1705</v>
      </c>
      <c r="B725" s="173" t="s">
        <v>1706</v>
      </c>
    </row>
    <row r="726" spans="1:2" x14ac:dyDescent="0.2">
      <c r="A726" s="173" t="s">
        <v>105</v>
      </c>
      <c r="B726" s="173" t="s">
        <v>1415</v>
      </c>
    </row>
    <row r="727" spans="1:2" x14ac:dyDescent="0.2">
      <c r="A727" s="173" t="s">
        <v>1707</v>
      </c>
      <c r="B727" s="173" t="s">
        <v>1708</v>
      </c>
    </row>
    <row r="728" spans="1:2" x14ac:dyDescent="0.2">
      <c r="A728" s="173" t="s">
        <v>1709</v>
      </c>
      <c r="B728" s="173" t="s">
        <v>1710</v>
      </c>
    </row>
    <row r="729" spans="1:2" x14ac:dyDescent="0.2">
      <c r="A729" s="173" t="s">
        <v>1711</v>
      </c>
      <c r="B729" s="173" t="s">
        <v>1712</v>
      </c>
    </row>
    <row r="730" spans="1:2" x14ac:dyDescent="0.2">
      <c r="A730" s="173" t="s">
        <v>1713</v>
      </c>
      <c r="B730" s="173" t="s">
        <v>1714</v>
      </c>
    </row>
    <row r="731" spans="1:2" x14ac:dyDescent="0.2">
      <c r="A731" s="173" t="s">
        <v>1715</v>
      </c>
      <c r="B731" s="173" t="s">
        <v>1716</v>
      </c>
    </row>
    <row r="732" spans="1:2" x14ac:dyDescent="0.2">
      <c r="A732" s="173" t="s">
        <v>1717</v>
      </c>
      <c r="B732" s="173" t="s">
        <v>1718</v>
      </c>
    </row>
    <row r="733" spans="1:2" x14ac:dyDescent="0.2">
      <c r="A733" s="173" t="s">
        <v>1719</v>
      </c>
      <c r="B733" s="173" t="s">
        <v>1720</v>
      </c>
    </row>
    <row r="734" spans="1:2" x14ac:dyDescent="0.2">
      <c r="A734" s="173" t="s">
        <v>1721</v>
      </c>
      <c r="B734" s="173" t="s">
        <v>1159</v>
      </c>
    </row>
    <row r="735" spans="1:2" x14ac:dyDescent="0.2">
      <c r="A735" s="173" t="s">
        <v>1722</v>
      </c>
      <c r="B735" s="173" t="s">
        <v>1723</v>
      </c>
    </row>
    <row r="736" spans="1:2" x14ac:dyDescent="0.2">
      <c r="A736" s="173" t="s">
        <v>1724</v>
      </c>
      <c r="B736" s="173" t="s">
        <v>1197</v>
      </c>
    </row>
    <row r="737" spans="1:2" x14ac:dyDescent="0.2">
      <c r="A737" s="173" t="s">
        <v>1725</v>
      </c>
      <c r="B737" s="173" t="s">
        <v>1726</v>
      </c>
    </row>
    <row r="738" spans="1:2" x14ac:dyDescent="0.2">
      <c r="A738" s="173" t="s">
        <v>311</v>
      </c>
      <c r="B738" s="173" t="s">
        <v>1546</v>
      </c>
    </row>
    <row r="739" spans="1:2" x14ac:dyDescent="0.2">
      <c r="A739" s="173" t="s">
        <v>1727</v>
      </c>
      <c r="B739" s="173" t="s">
        <v>1728</v>
      </c>
    </row>
    <row r="740" spans="1:2" x14ac:dyDescent="0.2">
      <c r="A740" s="173" t="s">
        <v>1729</v>
      </c>
      <c r="B740" s="173" t="s">
        <v>1730</v>
      </c>
    </row>
    <row r="741" spans="1:2" x14ac:dyDescent="0.2">
      <c r="A741" s="173" t="s">
        <v>309</v>
      </c>
      <c r="B741" s="173" t="s">
        <v>1731</v>
      </c>
    </row>
    <row r="742" spans="1:2" x14ac:dyDescent="0.2">
      <c r="A742" s="173" t="s">
        <v>1732</v>
      </c>
      <c r="B742" s="173" t="s">
        <v>1733</v>
      </c>
    </row>
    <row r="743" spans="1:2" x14ac:dyDescent="0.2">
      <c r="A743" s="173" t="s">
        <v>1734</v>
      </c>
      <c r="B743" s="173" t="s">
        <v>1735</v>
      </c>
    </row>
    <row r="744" spans="1:2" x14ac:dyDescent="0.2">
      <c r="A744" s="173" t="s">
        <v>1736</v>
      </c>
      <c r="B744" s="173" t="s">
        <v>1737</v>
      </c>
    </row>
    <row r="745" spans="1:2" x14ac:dyDescent="0.2">
      <c r="A745" s="173" t="s">
        <v>1738</v>
      </c>
      <c r="B745" s="173" t="s">
        <v>1488</v>
      </c>
    </row>
    <row r="746" spans="1:2" x14ac:dyDescent="0.2">
      <c r="A746" s="173" t="s">
        <v>1739</v>
      </c>
      <c r="B746" s="173" t="s">
        <v>1740</v>
      </c>
    </row>
    <row r="747" spans="1:2" x14ac:dyDescent="0.2">
      <c r="A747" s="173" t="s">
        <v>1741</v>
      </c>
      <c r="B747" s="173" t="s">
        <v>1742</v>
      </c>
    </row>
    <row r="748" spans="1:2" x14ac:dyDescent="0.2">
      <c r="A748" s="173" t="s">
        <v>1743</v>
      </c>
      <c r="B748" s="173" t="s">
        <v>1574</v>
      </c>
    </row>
    <row r="749" spans="1:2" x14ac:dyDescent="0.2">
      <c r="A749" s="173" t="s">
        <v>1744</v>
      </c>
      <c r="B749" s="173" t="s">
        <v>1745</v>
      </c>
    </row>
    <row r="750" spans="1:2" x14ac:dyDescent="0.2">
      <c r="A750" s="173" t="s">
        <v>1746</v>
      </c>
      <c r="B750" s="173" t="s">
        <v>1747</v>
      </c>
    </row>
    <row r="751" spans="1:2" x14ac:dyDescent="0.2">
      <c r="A751" s="173" t="s">
        <v>1748</v>
      </c>
      <c r="B751" s="173" t="s">
        <v>1749</v>
      </c>
    </row>
    <row r="752" spans="1:2" x14ac:dyDescent="0.2">
      <c r="A752" s="173" t="s">
        <v>1750</v>
      </c>
      <c r="B752" s="173" t="s">
        <v>1751</v>
      </c>
    </row>
    <row r="753" spans="1:2" x14ac:dyDescent="0.2">
      <c r="A753" s="173" t="s">
        <v>1752</v>
      </c>
      <c r="B753" s="173" t="s">
        <v>1753</v>
      </c>
    </row>
    <row r="754" spans="1:2" x14ac:dyDescent="0.2">
      <c r="A754" s="173" t="s">
        <v>1754</v>
      </c>
      <c r="B754" s="173" t="s">
        <v>1755</v>
      </c>
    </row>
    <row r="755" spans="1:2" x14ac:dyDescent="0.2">
      <c r="A755" s="173" t="s">
        <v>1756</v>
      </c>
      <c r="B755" s="173" t="s">
        <v>1757</v>
      </c>
    </row>
    <row r="756" spans="1:2" x14ac:dyDescent="0.2">
      <c r="A756" s="173" t="s">
        <v>177</v>
      </c>
      <c r="B756" s="173" t="s">
        <v>1758</v>
      </c>
    </row>
    <row r="757" spans="1:2" x14ac:dyDescent="0.2">
      <c r="A757" s="173" t="s">
        <v>1759</v>
      </c>
      <c r="B757" s="173" t="s">
        <v>1760</v>
      </c>
    </row>
    <row r="758" spans="1:2" x14ac:dyDescent="0.2">
      <c r="A758" s="173" t="s">
        <v>1761</v>
      </c>
      <c r="B758" s="173" t="s">
        <v>1762</v>
      </c>
    </row>
    <row r="759" spans="1:2" x14ac:dyDescent="0.2">
      <c r="A759" s="173" t="s">
        <v>1763</v>
      </c>
      <c r="B759" s="173" t="s">
        <v>1764</v>
      </c>
    </row>
    <row r="760" spans="1:2" x14ac:dyDescent="0.2">
      <c r="A760" s="173" t="s">
        <v>1765</v>
      </c>
      <c r="B760" s="173" t="s">
        <v>1766</v>
      </c>
    </row>
    <row r="761" spans="1:2" x14ac:dyDescent="0.2">
      <c r="A761" s="173" t="s">
        <v>1767</v>
      </c>
      <c r="B761" s="173" t="s">
        <v>1450</v>
      </c>
    </row>
    <row r="762" spans="1:2" x14ac:dyDescent="0.2">
      <c r="A762" s="173" t="s">
        <v>1768</v>
      </c>
      <c r="B762" s="173" t="s">
        <v>1769</v>
      </c>
    </row>
    <row r="763" spans="1:2" x14ac:dyDescent="0.2">
      <c r="A763" s="173" t="s">
        <v>1770</v>
      </c>
      <c r="B763" s="173" t="s">
        <v>1771</v>
      </c>
    </row>
    <row r="764" spans="1:2" x14ac:dyDescent="0.2">
      <c r="A764" s="173" t="s">
        <v>1772</v>
      </c>
      <c r="B764" s="173" t="s">
        <v>898</v>
      </c>
    </row>
    <row r="765" spans="1:2" x14ac:dyDescent="0.2">
      <c r="A765" s="173" t="s">
        <v>1773</v>
      </c>
      <c r="B765" s="173" t="s">
        <v>1774</v>
      </c>
    </row>
    <row r="766" spans="1:2" x14ac:dyDescent="0.2">
      <c r="A766" s="173" t="s">
        <v>1775</v>
      </c>
      <c r="B766" s="173" t="s">
        <v>1776</v>
      </c>
    </row>
    <row r="767" spans="1:2" x14ac:dyDescent="0.2">
      <c r="A767" s="173" t="s">
        <v>1777</v>
      </c>
      <c r="B767" s="173" t="s">
        <v>1778</v>
      </c>
    </row>
    <row r="768" spans="1:2" x14ac:dyDescent="0.2">
      <c r="A768" s="173" t="s">
        <v>1779</v>
      </c>
      <c r="B768" s="173" t="s">
        <v>1780</v>
      </c>
    </row>
    <row r="769" spans="1:2" x14ac:dyDescent="0.2">
      <c r="A769" s="173" t="s">
        <v>1781</v>
      </c>
      <c r="B769" s="173" t="s">
        <v>1782</v>
      </c>
    </row>
    <row r="770" spans="1:2" x14ac:dyDescent="0.2">
      <c r="A770" s="173" t="s">
        <v>1783</v>
      </c>
      <c r="B770" s="173" t="s">
        <v>1784</v>
      </c>
    </row>
    <row r="771" spans="1:2" x14ac:dyDescent="0.2">
      <c r="A771" s="173" t="s">
        <v>1785</v>
      </c>
      <c r="B771" s="173" t="s">
        <v>1786</v>
      </c>
    </row>
    <row r="772" spans="1:2" x14ac:dyDescent="0.2">
      <c r="A772" s="173" t="s">
        <v>1787</v>
      </c>
      <c r="B772" s="173" t="s">
        <v>1788</v>
      </c>
    </row>
    <row r="773" spans="1:2" x14ac:dyDescent="0.2">
      <c r="A773" s="173" t="s">
        <v>1789</v>
      </c>
      <c r="B773" s="173" t="s">
        <v>1790</v>
      </c>
    </row>
    <row r="774" spans="1:2" x14ac:dyDescent="0.2">
      <c r="A774" s="173" t="s">
        <v>247</v>
      </c>
      <c r="B774" s="173" t="s">
        <v>1791</v>
      </c>
    </row>
    <row r="775" spans="1:2" x14ac:dyDescent="0.2">
      <c r="A775" s="173" t="s">
        <v>1792</v>
      </c>
      <c r="B775" s="173" t="s">
        <v>1793</v>
      </c>
    </row>
    <row r="776" spans="1:2" x14ac:dyDescent="0.2">
      <c r="A776" s="173" t="s">
        <v>1794</v>
      </c>
      <c r="B776" s="173" t="s">
        <v>1795</v>
      </c>
    </row>
    <row r="777" spans="1:2" x14ac:dyDescent="0.2">
      <c r="A777" s="173" t="s">
        <v>1796</v>
      </c>
      <c r="B777" s="173" t="s">
        <v>1797</v>
      </c>
    </row>
    <row r="778" spans="1:2" x14ac:dyDescent="0.2">
      <c r="A778" s="173" t="s">
        <v>1798</v>
      </c>
      <c r="B778" s="173" t="s">
        <v>1462</v>
      </c>
    </row>
  </sheetData>
  <sheetProtection selectLockedCells="1"/>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80"/>
  <sheetViews>
    <sheetView topLeftCell="A25" workbookViewId="0">
      <selection activeCell="K57" sqref="K57"/>
    </sheetView>
  </sheetViews>
  <sheetFormatPr defaultRowHeight="12.75" x14ac:dyDescent="0.2"/>
  <cols>
    <col min="1" max="1" width="11.5703125" customWidth="1"/>
    <col min="2" max="2" width="44.5703125" style="179" customWidth="1"/>
    <col min="3" max="4" width="10.7109375" style="179" customWidth="1"/>
    <col min="5" max="11" width="10.7109375" customWidth="1"/>
    <col min="12" max="12" width="13.7109375" customWidth="1"/>
    <col min="13" max="13" width="16.5703125" customWidth="1"/>
    <col min="14" max="18" width="10.7109375" customWidth="1"/>
    <col min="19" max="19" width="6.85546875" bestFit="1" customWidth="1"/>
  </cols>
  <sheetData>
    <row r="1" spans="1:19" ht="20.25" x14ac:dyDescent="0.3">
      <c r="A1" s="176" t="s">
        <v>1801</v>
      </c>
      <c r="B1" s="177"/>
      <c r="C1" s="177"/>
      <c r="D1" s="177"/>
      <c r="E1" s="178"/>
      <c r="F1" s="179"/>
      <c r="G1" s="176"/>
      <c r="H1" s="176"/>
      <c r="I1" s="176"/>
      <c r="J1" s="176"/>
      <c r="K1" s="176"/>
      <c r="L1" s="176"/>
      <c r="M1" s="176"/>
      <c r="N1" s="179"/>
      <c r="O1" s="179"/>
      <c r="P1" s="179"/>
      <c r="Q1" s="179"/>
      <c r="R1" s="179"/>
      <c r="S1" s="179"/>
    </row>
    <row r="2" spans="1:19" ht="15.75" x14ac:dyDescent="0.25">
      <c r="A2" s="180" t="s">
        <v>1802</v>
      </c>
      <c r="B2" s="181"/>
      <c r="C2" s="181"/>
      <c r="D2" s="181"/>
      <c r="E2" s="1"/>
    </row>
    <row r="3" spans="1:19" ht="18.75" x14ac:dyDescent="0.3">
      <c r="A3" s="182" t="s">
        <v>1803</v>
      </c>
      <c r="B3" s="183"/>
      <c r="C3" s="184"/>
      <c r="D3" s="184"/>
      <c r="M3" s="185"/>
      <c r="O3" s="186"/>
    </row>
    <row r="4" spans="1:19" x14ac:dyDescent="0.2">
      <c r="B4" s="187"/>
      <c r="C4" s="187"/>
      <c r="D4" s="187"/>
    </row>
    <row r="5" spans="1:19" ht="15.75" thickBot="1" x14ac:dyDescent="0.3">
      <c r="A5" s="188" t="s">
        <v>1804</v>
      </c>
      <c r="B5" s="187"/>
      <c r="C5" s="189" t="s">
        <v>1805</v>
      </c>
      <c r="D5" s="189"/>
      <c r="E5" s="190"/>
      <c r="F5" s="188" t="s">
        <v>1806</v>
      </c>
    </row>
    <row r="6" spans="1:19" s="202" customFormat="1" ht="15.75" thickBot="1" x14ac:dyDescent="0.3">
      <c r="A6" s="191"/>
      <c r="B6" s="192" t="s">
        <v>1807</v>
      </c>
      <c r="C6" s="193" t="s">
        <v>1808</v>
      </c>
      <c r="D6" s="194" t="s">
        <v>1809</v>
      </c>
      <c r="E6" s="195"/>
      <c r="F6" s="196" t="s">
        <v>1810</v>
      </c>
      <c r="G6" s="197"/>
      <c r="H6" s="198" t="s">
        <v>1811</v>
      </c>
      <c r="I6" s="198" t="s">
        <v>1812</v>
      </c>
      <c r="J6" s="199"/>
      <c r="K6" s="191" t="s">
        <v>1813</v>
      </c>
      <c r="L6" s="200"/>
      <c r="M6" s="200"/>
      <c r="N6" s="200"/>
      <c r="O6" s="200"/>
      <c r="P6" s="200"/>
      <c r="Q6" s="200"/>
      <c r="R6" s="201"/>
    </row>
    <row r="7" spans="1:19" s="202" customFormat="1" ht="17.100000000000001" customHeight="1" x14ac:dyDescent="0.25">
      <c r="A7" s="203"/>
      <c r="B7" s="204" t="s">
        <v>1814</v>
      </c>
      <c r="C7" s="205">
        <f>G40/$H$22*$R$22</f>
        <v>0.13</v>
      </c>
      <c r="D7" s="206">
        <f t="shared" ref="D7:D18" si="0">C7*$E$5</f>
        <v>0</v>
      </c>
      <c r="E7" s="207"/>
      <c r="F7" s="208" t="s">
        <v>1815</v>
      </c>
      <c r="G7" s="209"/>
      <c r="H7" s="210">
        <f>C12</f>
        <v>0.53300000000000003</v>
      </c>
      <c r="I7" s="211">
        <f>+D12</f>
        <v>0</v>
      </c>
      <c r="J7" s="199"/>
      <c r="K7" s="212" t="s">
        <v>1816</v>
      </c>
      <c r="L7" s="213"/>
      <c r="M7" s="213"/>
      <c r="N7" s="213"/>
      <c r="O7" s="213"/>
      <c r="P7" s="213"/>
      <c r="Q7" s="213"/>
      <c r="R7" s="214"/>
    </row>
    <row r="8" spans="1:19" s="202" customFormat="1" ht="17.100000000000001" customHeight="1" x14ac:dyDescent="0.25">
      <c r="A8" s="203"/>
      <c r="B8" s="204" t="s">
        <v>1817</v>
      </c>
      <c r="C8" s="205">
        <f>R40</f>
        <v>0.17199999999999999</v>
      </c>
      <c r="D8" s="206">
        <f t="shared" si="0"/>
        <v>0</v>
      </c>
      <c r="E8" s="207"/>
      <c r="F8" s="209"/>
      <c r="G8" s="209"/>
      <c r="H8" s="215"/>
      <c r="I8" s="216"/>
      <c r="J8" s="199"/>
      <c r="K8" s="217"/>
      <c r="L8" s="213"/>
      <c r="M8" s="213"/>
      <c r="N8" s="213"/>
      <c r="O8" s="213"/>
      <c r="P8" s="213"/>
      <c r="Q8" s="213"/>
      <c r="R8" s="214"/>
    </row>
    <row r="9" spans="1:19" s="202" customFormat="1" ht="17.100000000000001" customHeight="1" x14ac:dyDescent="0.25">
      <c r="A9" s="203"/>
      <c r="B9" s="218" t="s">
        <v>1818</v>
      </c>
      <c r="C9" s="219">
        <f>+C7+C8</f>
        <v>0.30199999999999999</v>
      </c>
      <c r="D9" s="220">
        <f t="shared" si="0"/>
        <v>0</v>
      </c>
      <c r="E9" s="207"/>
      <c r="F9" s="209" t="s">
        <v>1819</v>
      </c>
      <c r="G9" s="209"/>
      <c r="H9" s="215">
        <f>+C12/0.7</f>
        <v>0.76100000000000001</v>
      </c>
      <c r="I9" s="216">
        <f>H9*$E$5</f>
        <v>0</v>
      </c>
      <c r="J9" s="221"/>
      <c r="K9" s="222"/>
      <c r="L9" s="213"/>
      <c r="M9" s="213"/>
      <c r="N9" s="213"/>
      <c r="O9" s="213"/>
      <c r="P9" s="213"/>
      <c r="Q9" s="213"/>
      <c r="R9" s="214"/>
    </row>
    <row r="10" spans="1:19" s="202" customFormat="1" ht="17.100000000000001" customHeight="1" x14ac:dyDescent="0.25">
      <c r="A10" s="203"/>
      <c r="B10" s="223" t="s">
        <v>1820</v>
      </c>
      <c r="C10" s="205">
        <f>SUM(C54:J54)</f>
        <v>0.21299999999999999</v>
      </c>
      <c r="D10" s="206">
        <f t="shared" si="0"/>
        <v>0</v>
      </c>
      <c r="E10" s="207"/>
      <c r="F10" s="209" t="s">
        <v>1821</v>
      </c>
      <c r="G10" s="209"/>
      <c r="H10" s="215">
        <f>+C12/0.6</f>
        <v>0.88800000000000001</v>
      </c>
      <c r="I10" s="216">
        <f>H10*$E$5</f>
        <v>0</v>
      </c>
      <c r="J10" s="199"/>
      <c r="K10" s="217"/>
      <c r="L10" s="213"/>
      <c r="M10" s="213"/>
      <c r="N10" s="213"/>
      <c r="O10" s="213"/>
      <c r="P10" s="213"/>
      <c r="Q10" s="213"/>
      <c r="R10" s="214"/>
    </row>
    <row r="11" spans="1:19" s="202" customFormat="1" ht="17.100000000000001" customHeight="1" x14ac:dyDescent="0.25">
      <c r="A11" s="203"/>
      <c r="B11" s="223" t="s">
        <v>1822</v>
      </c>
      <c r="C11" s="205">
        <f>SUM(C55:J55)</f>
        <v>1.7999999999999999E-2</v>
      </c>
      <c r="D11" s="206">
        <f t="shared" si="0"/>
        <v>0</v>
      </c>
      <c r="E11" s="207"/>
      <c r="F11" s="209" t="s">
        <v>1823</v>
      </c>
      <c r="G11" s="209"/>
      <c r="H11" s="215">
        <f>+C12/0.5</f>
        <v>1.0660000000000001</v>
      </c>
      <c r="I11" s="216">
        <f>H11*$E$5</f>
        <v>0</v>
      </c>
      <c r="J11" s="199"/>
      <c r="K11" s="217"/>
      <c r="L11" s="213"/>
      <c r="M11" s="213"/>
      <c r="N11" s="213"/>
      <c r="O11" s="213"/>
      <c r="P11" s="213"/>
      <c r="Q11" s="213"/>
      <c r="R11" s="214"/>
    </row>
    <row r="12" spans="1:19" s="202" customFormat="1" ht="17.100000000000001" customHeight="1" thickBot="1" x14ac:dyDescent="0.3">
      <c r="A12" s="203"/>
      <c r="B12" s="224" t="s">
        <v>1824</v>
      </c>
      <c r="C12" s="225">
        <f>SUM(C9:C11)</f>
        <v>0.53300000000000003</v>
      </c>
      <c r="D12" s="226">
        <f t="shared" si="0"/>
        <v>0</v>
      </c>
      <c r="E12" s="207"/>
      <c r="F12" s="209" t="s">
        <v>1825</v>
      </c>
      <c r="G12" s="209"/>
      <c r="H12" s="215">
        <f>+C12/0.4</f>
        <v>1.333</v>
      </c>
      <c r="I12" s="216">
        <f>H12*$E$5</f>
        <v>0</v>
      </c>
      <c r="J12" s="199"/>
      <c r="K12" s="212" t="s">
        <v>1826</v>
      </c>
      <c r="L12" s="213"/>
      <c r="M12" s="213"/>
      <c r="N12" s="213"/>
      <c r="O12" s="213"/>
      <c r="P12" s="213"/>
      <c r="Q12" s="213"/>
      <c r="R12" s="214"/>
    </row>
    <row r="13" spans="1:19" s="202" customFormat="1" ht="17.100000000000001" customHeight="1" x14ac:dyDescent="0.25">
      <c r="A13" s="203"/>
      <c r="B13" s="227" t="s">
        <v>1827</v>
      </c>
      <c r="C13" s="205">
        <f>SUM(C57:J57)</f>
        <v>0.36499999999999999</v>
      </c>
      <c r="D13" s="206">
        <f t="shared" si="0"/>
        <v>0</v>
      </c>
      <c r="E13" s="207"/>
      <c r="F13" s="209"/>
      <c r="G13" s="209"/>
      <c r="H13" s="205"/>
      <c r="I13" s="228"/>
      <c r="J13" s="199"/>
      <c r="K13" s="217"/>
      <c r="L13" s="213"/>
      <c r="M13" s="213"/>
      <c r="N13" s="213"/>
      <c r="O13" s="213"/>
      <c r="P13" s="213"/>
      <c r="Q13" s="213"/>
      <c r="R13" s="214"/>
    </row>
    <row r="14" spans="1:19" s="202" customFormat="1" ht="17.100000000000001" customHeight="1" x14ac:dyDescent="0.25">
      <c r="A14" s="203"/>
      <c r="B14" s="227" t="s">
        <v>1828</v>
      </c>
      <c r="C14" s="205">
        <f>C58</f>
        <v>0.27</v>
      </c>
      <c r="D14" s="206">
        <f t="shared" si="0"/>
        <v>0</v>
      </c>
      <c r="E14" s="207"/>
      <c r="F14" s="208" t="s">
        <v>1829</v>
      </c>
      <c r="G14" s="209"/>
      <c r="H14" s="229">
        <f>C18</f>
        <v>1.1679999999999999</v>
      </c>
      <c r="I14" s="211">
        <f>+D18</f>
        <v>0</v>
      </c>
      <c r="J14" s="199"/>
      <c r="K14" s="230"/>
      <c r="L14" s="213"/>
      <c r="M14" s="213"/>
      <c r="N14" s="213"/>
      <c r="O14" s="213"/>
      <c r="P14" s="213"/>
      <c r="Q14" s="213"/>
      <c r="R14" s="214"/>
    </row>
    <row r="15" spans="1:19" s="202" customFormat="1" ht="17.100000000000001" customHeight="1" thickBot="1" x14ac:dyDescent="0.3">
      <c r="A15" s="203"/>
      <c r="B15" s="231" t="s">
        <v>1830</v>
      </c>
      <c r="C15" s="232">
        <f>C14+C13+C12</f>
        <v>1.1679999999999999</v>
      </c>
      <c r="D15" s="233">
        <f t="shared" si="0"/>
        <v>0</v>
      </c>
      <c r="E15" s="207"/>
      <c r="F15" s="209"/>
      <c r="G15" s="209"/>
      <c r="H15" s="215"/>
      <c r="I15" s="216"/>
      <c r="J15" s="199"/>
      <c r="K15" s="230"/>
      <c r="L15" s="213"/>
      <c r="M15" s="213"/>
      <c r="N15" s="213"/>
      <c r="O15" s="213"/>
      <c r="P15" s="213"/>
      <c r="Q15" s="213"/>
      <c r="R15" s="214"/>
    </row>
    <row r="16" spans="1:19" s="202" customFormat="1" ht="17.100000000000001" customHeight="1" thickTop="1" x14ac:dyDescent="0.25">
      <c r="A16" s="203"/>
      <c r="B16" s="227" t="s">
        <v>1831</v>
      </c>
      <c r="C16" s="205">
        <v>0</v>
      </c>
      <c r="D16" s="206">
        <f t="shared" si="0"/>
        <v>0</v>
      </c>
      <c r="E16" s="207"/>
      <c r="F16" s="209" t="s">
        <v>1832</v>
      </c>
      <c r="G16" s="209"/>
      <c r="H16" s="215">
        <f>+C15/0.8</f>
        <v>1.46</v>
      </c>
      <c r="I16" s="216">
        <f>H16*$E$5</f>
        <v>0</v>
      </c>
      <c r="J16" s="199"/>
      <c r="K16" s="230"/>
      <c r="L16" s="213"/>
      <c r="M16" s="213"/>
      <c r="N16" s="213"/>
      <c r="O16" s="213"/>
      <c r="P16" s="213"/>
      <c r="Q16" s="213"/>
      <c r="R16" s="214"/>
    </row>
    <row r="17" spans="1:19" s="202" customFormat="1" ht="17.100000000000001" customHeight="1" x14ac:dyDescent="0.25">
      <c r="A17" s="203"/>
      <c r="B17" s="227" t="s">
        <v>1833</v>
      </c>
      <c r="C17" s="234">
        <v>0</v>
      </c>
      <c r="D17" s="235">
        <f t="shared" si="0"/>
        <v>0</v>
      </c>
      <c r="E17" s="207"/>
      <c r="F17" s="209" t="s">
        <v>1834</v>
      </c>
      <c r="G17" s="209"/>
      <c r="H17" s="215">
        <f>+C15/0.7</f>
        <v>1.669</v>
      </c>
      <c r="I17" s="216">
        <f>H17*$E$5</f>
        <v>0</v>
      </c>
      <c r="J17" s="199"/>
      <c r="K17" s="230"/>
      <c r="L17" s="213"/>
      <c r="M17" s="213"/>
      <c r="N17" s="213"/>
      <c r="O17" s="213"/>
      <c r="P17" s="213"/>
      <c r="Q17" s="213"/>
      <c r="R17" s="214"/>
    </row>
    <row r="18" spans="1:19" s="202" customFormat="1" ht="17.100000000000001" customHeight="1" thickBot="1" x14ac:dyDescent="0.3">
      <c r="A18" s="203"/>
      <c r="B18" s="231" t="s">
        <v>1835</v>
      </c>
      <c r="C18" s="236">
        <f>+C15+C17+C16</f>
        <v>1.1679999999999999</v>
      </c>
      <c r="D18" s="237">
        <f t="shared" si="0"/>
        <v>0</v>
      </c>
      <c r="E18" s="207"/>
      <c r="F18" s="209" t="s">
        <v>1836</v>
      </c>
      <c r="G18" s="209"/>
      <c r="H18" s="215">
        <f>+C15/0.6</f>
        <v>1.9470000000000001</v>
      </c>
      <c r="I18" s="216">
        <f>H18*$E$5</f>
        <v>0</v>
      </c>
      <c r="J18" s="199"/>
      <c r="K18" s="230"/>
      <c r="L18" s="213"/>
      <c r="M18" s="213"/>
      <c r="N18" s="213"/>
      <c r="O18" s="213"/>
      <c r="P18" s="213"/>
      <c r="Q18" s="213"/>
      <c r="R18" s="214"/>
    </row>
    <row r="19" spans="1:19" s="202" customFormat="1" ht="16.5" thickTop="1" thickBot="1" x14ac:dyDescent="0.3">
      <c r="A19" s="238"/>
      <c r="B19" s="239"/>
      <c r="C19" s="239"/>
      <c r="D19" s="240"/>
      <c r="E19" s="241"/>
      <c r="F19" s="242"/>
      <c r="G19" s="242"/>
      <c r="H19" s="243"/>
      <c r="I19" s="244"/>
      <c r="J19" s="199"/>
      <c r="K19" s="245"/>
      <c r="L19" s="246"/>
      <c r="M19" s="246"/>
      <c r="N19" s="246"/>
      <c r="O19" s="246"/>
      <c r="P19" s="246"/>
      <c r="Q19" s="246"/>
      <c r="R19" s="247"/>
    </row>
    <row r="20" spans="1:19" ht="15" x14ac:dyDescent="0.2">
      <c r="F20" s="248"/>
      <c r="G20" s="249"/>
      <c r="J20" s="199"/>
    </row>
    <row r="22" spans="1:19" ht="15.75" thickBot="1" x14ac:dyDescent="0.3">
      <c r="A22" s="188" t="s">
        <v>1837</v>
      </c>
      <c r="B22" s="184"/>
      <c r="C22" s="184"/>
      <c r="D22" s="184"/>
      <c r="E22" s="202"/>
      <c r="F22" s="202"/>
      <c r="G22" s="189" t="s">
        <v>1838</v>
      </c>
      <c r="H22" s="190">
        <f>'Manuf - BOM'!I28*95/100</f>
        <v>307800</v>
      </c>
      <c r="I22" s="250" t="s">
        <v>6598</v>
      </c>
      <c r="K22" s="188" t="s">
        <v>1839</v>
      </c>
      <c r="L22" s="184"/>
      <c r="M22" s="251" t="s">
        <v>1840</v>
      </c>
      <c r="N22" s="252">
        <f>Packaging!C3</f>
        <v>24</v>
      </c>
      <c r="O22" s="253" t="s">
        <v>1841</v>
      </c>
      <c r="P22" s="254">
        <v>1</v>
      </c>
      <c r="Q22" s="255" t="s">
        <v>1842</v>
      </c>
      <c r="R22" s="256">
        <f>P22*N22</f>
        <v>24</v>
      </c>
      <c r="S22" s="202"/>
    </row>
    <row r="23" spans="1:19" ht="15" x14ac:dyDescent="0.25">
      <c r="A23" s="257" t="s">
        <v>1843</v>
      </c>
      <c r="B23" s="258" t="s">
        <v>0</v>
      </c>
      <c r="C23" s="198" t="s">
        <v>1844</v>
      </c>
      <c r="D23" s="259" t="s">
        <v>1845</v>
      </c>
      <c r="E23" s="259" t="s">
        <v>1841</v>
      </c>
      <c r="F23" s="259" t="s">
        <v>1846</v>
      </c>
      <c r="G23" s="259" t="s">
        <v>1847</v>
      </c>
      <c r="H23" s="259" t="s">
        <v>1848</v>
      </c>
      <c r="I23" s="259" t="s">
        <v>1849</v>
      </c>
      <c r="K23" s="260" t="s">
        <v>1843</v>
      </c>
      <c r="L23" s="702" t="s">
        <v>0</v>
      </c>
      <c r="M23" s="703"/>
      <c r="N23" s="198" t="s">
        <v>1844</v>
      </c>
      <c r="O23" s="198" t="s">
        <v>1845</v>
      </c>
      <c r="P23" s="198" t="s">
        <v>1841</v>
      </c>
      <c r="Q23" s="198" t="s">
        <v>1846</v>
      </c>
      <c r="R23" s="259" t="s">
        <v>1849</v>
      </c>
      <c r="S23" s="261" t="s">
        <v>1850</v>
      </c>
    </row>
    <row r="24" spans="1:19" ht="15" x14ac:dyDescent="0.25">
      <c r="A24" s="262" t="str">
        <f>IF('Manuf - BOM'!C5="","",'Manuf - BOM'!C5)</f>
        <v>007046</v>
      </c>
      <c r="B24" s="262" t="str">
        <f>IF(ISERROR(VLOOKUP($A24,'cost extract'!$A:$U,2,0))," ",VLOOKUP($A24,'cost extract'!$A:$U,2,0))</f>
        <v>IBUPROFEN BP 40UM (IAT)(HERRON</v>
      </c>
      <c r="C24" s="265">
        <f>'Manuf - BOM'!K5</f>
        <v>64.8</v>
      </c>
      <c r="D24" s="264" t="str">
        <f>IF(ISERROR(VLOOKUP($A24,'cost extract'!$A:$U,6,0))," ",(VLOOKUP($A24,'cost extract'!$A:$U,6,0)))</f>
        <v xml:space="preserve">KG  </v>
      </c>
      <c r="E24" s="265">
        <v>1</v>
      </c>
      <c r="F24" s="266">
        <f>IF(ISERROR(VLOOKUP($A24,'cost extract'!$A:$U,20,0))," ",(VLOOKUP($A24,'cost extract'!$A:$U,20,0)))</f>
        <v>15.95</v>
      </c>
      <c r="G24" s="267">
        <f>IF(ISERROR(C24*E24*F24)," ",C24*E24*F24)</f>
        <v>1033.56</v>
      </c>
      <c r="H24" s="266">
        <f t="shared" ref="H24:H39" si="1">IF(ISERROR(G24/$H$22),"",G24/$H$22)</f>
        <v>3.0000000000000001E-3</v>
      </c>
      <c r="I24" s="268">
        <f>IF(ISERROR(H24*$R$22)," ",H24*$R$22)</f>
        <v>7.1999999999999995E-2</v>
      </c>
      <c r="K24" s="380" t="str">
        <f>IF(ISERROR(Packaging!C28), "", IF(Packaging!C28="", "", Packaging!C28))</f>
        <v>007055</v>
      </c>
      <c r="L24" s="262" t="str">
        <f>IF(ISERROR(VLOOKUP($K24,'cost extract'!$A:$U,2,0))," ",VLOOKUP($K24,'cost extract'!$A:$U,2,0))</f>
        <v>FOIL 116MM AMC IBUPROFEN 200MG</v>
      </c>
      <c r="M24" s="270"/>
      <c r="N24" s="379">
        <f>IF(ISERROR(Packaging!D28), "", IF(Packaging!D28="", "", Packaging!D28))</f>
        <v>6.5300000000000004E-4</v>
      </c>
      <c r="O24" s="365" t="str">
        <f>IF(ISERROR(VLOOKUP($K24,'cost extract'!$A:$U,6,0))," ",VLOOKUP($K24,'cost extract'!$A:$U,6,0))</f>
        <v xml:space="preserve">KG  </v>
      </c>
      <c r="P24" s="265">
        <v>1.0149999999999999</v>
      </c>
      <c r="Q24" s="368">
        <f>IF(ISERROR(VLOOKUP($K24,'cost extract'!$A:$U,20,0))," ",VLOOKUP($K24,'cost extract'!$A:$U,20,0))</f>
        <v>34.799999999999997</v>
      </c>
      <c r="R24" s="268">
        <f>IF(ISERROR(N24*P24*Q24)," ",N24*P24*Q24)</f>
        <v>2.3E-2</v>
      </c>
      <c r="S24" s="271"/>
    </row>
    <row r="25" spans="1:19" ht="15" x14ac:dyDescent="0.25">
      <c r="A25" s="262" t="str">
        <f>IF('Manuf - BOM'!C6="","",'Manuf - BOM'!C6)</f>
        <v>EPN023</v>
      </c>
      <c r="B25" s="262" t="str">
        <f>IF(ISERROR(VLOOKUP($A25,'cost extract'!$A:$U,2,0))," ",VLOOKUP($A25,'cost extract'!$A:$U,2,0))</f>
        <v xml:space="preserve">LACTOSE (100 MESH)            </v>
      </c>
      <c r="C25" s="265">
        <f>'Manuf - BOM'!K6</f>
        <v>12.96</v>
      </c>
      <c r="D25" s="264" t="str">
        <f>IF(ISERROR(VLOOKUP($A25,'cost extract'!$A:$U,6,0))," ",(VLOOKUP($A25,'cost extract'!$A:$U,6,0)))</f>
        <v xml:space="preserve">KG  </v>
      </c>
      <c r="E25" s="265">
        <v>1</v>
      </c>
      <c r="F25" s="266">
        <f>IF(ISERROR(VLOOKUP($A25,'cost extract'!$A:$U,20,0))," ",(VLOOKUP($A25,'cost extract'!$A:$U,20,0)))</f>
        <v>5.75</v>
      </c>
      <c r="G25" s="267">
        <f t="shared" ref="G25:G39" si="2">IF(ISERROR(C25*E25*F25)," ",C25*E25*F25)</f>
        <v>74.52</v>
      </c>
      <c r="H25" s="266">
        <f t="shared" si="1"/>
        <v>0</v>
      </c>
      <c r="I25" s="268">
        <f t="shared" ref="I25:I39" si="3">IF(ISERROR(H25*$R$22)," ",H25*$R$22)</f>
        <v>0</v>
      </c>
      <c r="K25" s="381" t="str">
        <f>IF(ISERROR(Packaging!C29), "", IF(Packaging!C29="", "", Packaging!C29))</f>
        <v>005707</v>
      </c>
      <c r="L25" s="262" t="str">
        <f>IF(ISERROR(VLOOKUP($K25,'cost extract'!$A:$U,2,0))," ",VLOOKUP($K25,'cost extract'!$A:$U,2,0))</f>
        <v xml:space="preserve">FILM 116MM PVC/PVDC 250UM/40  </v>
      </c>
      <c r="M25" s="272"/>
      <c r="N25" s="379">
        <f>IF(ISERROR(Packaging!D29), "", IF(Packaging!D29="", "", Packaging!D29))</f>
        <v>3.888E-3</v>
      </c>
      <c r="O25" s="366" t="str">
        <f>IF(ISERROR(VLOOKUP($K25,'cost extract'!$A:$U,6,0))," ",VLOOKUP($K25,'cost extract'!$A:$U,6,0))</f>
        <v xml:space="preserve">KG  </v>
      </c>
      <c r="P25" s="265">
        <v>1.0149999999999999</v>
      </c>
      <c r="Q25" s="369">
        <f>IF(ISERROR(VLOOKUP($K25,'cost extract'!$A:$U,20,0))," ",VLOOKUP($K25,'cost extract'!$A:$U,20,0))</f>
        <v>5.6</v>
      </c>
      <c r="R25" s="268">
        <f t="shared" ref="R25:R39" si="4">IF(ISERROR(N25*P25*Q25)," ",N25*P25*Q25)</f>
        <v>2.1999999999999999E-2</v>
      </c>
      <c r="S25" s="273">
        <v>0</v>
      </c>
    </row>
    <row r="26" spans="1:19" ht="15" x14ac:dyDescent="0.25">
      <c r="A26" s="262" t="str">
        <f>IF('Manuf - BOM'!C7="","",'Manuf - BOM'!C7)</f>
        <v>EPN152</v>
      </c>
      <c r="B26" s="262" t="str">
        <f>IF(ISERROR(VLOOKUP($A26,'cost extract'!$A:$U,2,0))," ",VLOOKUP($A26,'cost extract'!$A:$U,2,0))</f>
        <v xml:space="preserve">POVIDONE (K29-32)             </v>
      </c>
      <c r="C26" s="265">
        <f>'Manuf - BOM'!K7</f>
        <v>2.1059999999999999</v>
      </c>
      <c r="D26" s="264" t="str">
        <f>IF(ISERROR(VLOOKUP($A26,'cost extract'!$A:$U,6,0))," ",(VLOOKUP($A26,'cost extract'!$A:$U,6,0)))</f>
        <v xml:space="preserve">KG  </v>
      </c>
      <c r="E26" s="265">
        <v>1</v>
      </c>
      <c r="F26" s="266">
        <f>IF(ISERROR(VLOOKUP($A26,'cost extract'!$A:$U,20,0))," ",(VLOOKUP($A26,'cost extract'!$A:$U,20,0)))</f>
        <v>31.4</v>
      </c>
      <c r="G26" s="267">
        <f t="shared" si="2"/>
        <v>66.128</v>
      </c>
      <c r="H26" s="266">
        <f t="shared" si="1"/>
        <v>0</v>
      </c>
      <c r="I26" s="268">
        <f t="shared" si="3"/>
        <v>0</v>
      </c>
      <c r="K26" s="381" t="str">
        <f>IF(ISERROR(Packaging!C30), "", IF(Packaging!C30="", "", Packaging!C30))</f>
        <v>013969</v>
      </c>
      <c r="L26" s="262" t="str">
        <f>IF(ISERROR(VLOOKUP($K26,'cost extract'!$A:$U,2,0))," ",VLOOKUP($K26,'cost extract'!$A:$U,2,0))</f>
        <v>CTN AMC IBUPROFEN TAB 200MG 24</v>
      </c>
      <c r="M26" s="272"/>
      <c r="N26" s="379">
        <f>IF(ISERROR(Packaging!D30), "", IF(Packaging!D30="", "", Packaging!D30))</f>
        <v>1</v>
      </c>
      <c r="O26" s="366" t="str">
        <f>IF(ISERROR(VLOOKUP($K26,'cost extract'!$A:$U,6,0))," ",VLOOKUP($K26,'cost extract'!$A:$U,6,0))</f>
        <v xml:space="preserve">EA  </v>
      </c>
      <c r="P26" s="265">
        <v>1.0149999999999999</v>
      </c>
      <c r="Q26" s="369">
        <f>IF(ISERROR(VLOOKUP($K26,'cost extract'!$A:$U,20,0))," ",VLOOKUP($K26,'cost extract'!$A:$U,20,0))</f>
        <v>0.12275</v>
      </c>
      <c r="R26" s="268">
        <f t="shared" si="4"/>
        <v>0.125</v>
      </c>
      <c r="S26" s="273">
        <v>0</v>
      </c>
    </row>
    <row r="27" spans="1:19" ht="15" x14ac:dyDescent="0.25">
      <c r="A27" s="262" t="str">
        <f>IF('Manuf - BOM'!C8="","",'Manuf - BOM'!C8)</f>
        <v>EPN030</v>
      </c>
      <c r="B27" s="262" t="str">
        <f>IF(ISERROR(VLOOKUP($A27,'cost extract'!$A:$U,2,0))," ",VLOOKUP($A27,'cost extract'!$A:$U,2,0))</f>
        <v xml:space="preserve">STARCH MAIZE                  </v>
      </c>
      <c r="C27" s="265">
        <f>'Manuf - BOM'!K8</f>
        <v>3.24</v>
      </c>
      <c r="D27" s="264" t="str">
        <f>IF(ISERROR(VLOOKUP($A27,'cost extract'!$A:$U,6,0))," ",(VLOOKUP($A27,'cost extract'!$A:$U,6,0)))</f>
        <v xml:space="preserve">KG  </v>
      </c>
      <c r="E27" s="265">
        <v>1</v>
      </c>
      <c r="F27" s="266">
        <f>IF(ISERROR(VLOOKUP($A27,'cost extract'!$A:$U,20,0))," ",(VLOOKUP($A27,'cost extract'!$A:$U,20,0)))</f>
        <v>1.57</v>
      </c>
      <c r="G27" s="267">
        <f t="shared" si="2"/>
        <v>5.0869999999999997</v>
      </c>
      <c r="H27" s="266">
        <f t="shared" si="1"/>
        <v>0</v>
      </c>
      <c r="I27" s="268">
        <f t="shared" si="3"/>
        <v>0</v>
      </c>
      <c r="K27" s="381" t="str">
        <f>IF(ISERROR(Packaging!C31), "", IF(Packaging!C31="", "", Packaging!C31))</f>
        <v>007093</v>
      </c>
      <c r="L27" s="262" t="str">
        <f>IF(ISERROR(VLOOKUP($K27,'cost extract'!$A:$U,2,0))," ",VLOOKUP($K27,'cost extract'!$A:$U,2,0))</f>
        <v xml:space="preserve">OUTER 562X378X236MM           </v>
      </c>
      <c r="M27" s="272"/>
      <c r="N27" s="379">
        <f>IF(ISERROR(Packaging!D31), "", IF(Packaging!D31="", "", Packaging!D31))</f>
        <v>1.8940000000000001E-3</v>
      </c>
      <c r="O27" s="366" t="str">
        <f>IF(ISERROR(VLOOKUP($K27,'cost extract'!$A:$U,6,0))," ",VLOOKUP($K27,'cost extract'!$A:$U,6,0))</f>
        <v xml:space="preserve">EA  </v>
      </c>
      <c r="P27" s="265">
        <v>1.0149999999999999</v>
      </c>
      <c r="Q27" s="369">
        <f>IF(ISERROR(VLOOKUP($K27,'cost extract'!$A:$U,20,0))," ",VLOOKUP($K27,'cost extract'!$A:$U,20,0))</f>
        <v>1.296</v>
      </c>
      <c r="R27" s="268">
        <f t="shared" si="4"/>
        <v>2E-3</v>
      </c>
      <c r="S27" s="273">
        <v>0</v>
      </c>
    </row>
    <row r="28" spans="1:19" ht="15" x14ac:dyDescent="0.25">
      <c r="A28" s="262" t="str">
        <f>IF('Manuf - BOM'!C9="","",'Manuf - BOM'!C9)</f>
        <v>SLH002</v>
      </c>
      <c r="B28" s="262" t="str">
        <f>IF(ISERROR(VLOOKUP($A28,'cost extract'!$A:$U,2,0))," ",VLOOKUP($A28,'cost extract'!$A:$U,2,0))</f>
        <v xml:space="preserve">ETHANOL (DENATURED)           </v>
      </c>
      <c r="C28" s="265">
        <f>'Manuf - BOM'!K9</f>
        <v>3.5670000000000002</v>
      </c>
      <c r="D28" s="264" t="str">
        <f>IF(ISERROR(VLOOKUP($A28,'cost extract'!$A:$U,6,0))," ",(VLOOKUP($A28,'cost extract'!$A:$U,6,0)))</f>
        <v xml:space="preserve">KG  </v>
      </c>
      <c r="E28" s="265">
        <v>1</v>
      </c>
      <c r="F28" s="266">
        <f>IF(ISERROR(VLOOKUP($A28,'cost extract'!$A:$U,20,0))," ",(VLOOKUP($A28,'cost extract'!$A:$U,20,0)))</f>
        <v>2.2400000000000002</v>
      </c>
      <c r="G28" s="267">
        <f t="shared" si="2"/>
        <v>7.99</v>
      </c>
      <c r="H28" s="266">
        <f t="shared" si="1"/>
        <v>0</v>
      </c>
      <c r="I28" s="268">
        <f t="shared" si="3"/>
        <v>0</v>
      </c>
      <c r="K28" s="381" t="str">
        <f>IF(ISERROR(Packaging!C32), "", IF(Packaging!C32="", "", Packaging!C32))</f>
        <v/>
      </c>
      <c r="L28" s="262" t="str">
        <f>IF(ISERROR(VLOOKUP($K28,'cost extract'!$A:$U,2,0))," ",VLOOKUP($K28,'cost extract'!$A:$U,2,0))</f>
        <v xml:space="preserve"> </v>
      </c>
      <c r="M28" s="272"/>
      <c r="N28" s="379" t="str">
        <f>IF(ISERROR(Packaging!D32), "", IF(Packaging!D32="", "", Packaging!D32))</f>
        <v/>
      </c>
      <c r="O28" s="366" t="str">
        <f>IF(ISERROR(VLOOKUP($K28,'cost extract'!$A:$U,6,0))," ",VLOOKUP($K28,'cost extract'!$A:$U,6,0))</f>
        <v xml:space="preserve"> </v>
      </c>
      <c r="P28" s="265">
        <v>1.0149999999999999</v>
      </c>
      <c r="Q28" s="369" t="str">
        <f>IF(ISERROR(VLOOKUP($K28,'cost extract'!$A:$U,20,0))," ",VLOOKUP($K28,'cost extract'!$A:$U,20,0))</f>
        <v xml:space="preserve"> </v>
      </c>
      <c r="R28" s="268" t="str">
        <f t="shared" si="4"/>
        <v xml:space="preserve"> </v>
      </c>
      <c r="S28" s="273">
        <v>0</v>
      </c>
    </row>
    <row r="29" spans="1:19" ht="15" x14ac:dyDescent="0.25">
      <c r="A29" s="262" t="str">
        <f>IF('Manuf - BOM'!C10="","",'Manuf - BOM'!C10)</f>
        <v>EPH001</v>
      </c>
      <c r="B29" s="262" t="str">
        <f>IF(ISERROR(VLOOKUP($A29,'cost extract'!$A:$U,2,0))," ",VLOOKUP($A29,'cost extract'!$A:$U,2,0))</f>
        <v xml:space="preserve">SILICON DIOXIDE (AEROSIL)     </v>
      </c>
      <c r="C29" s="265">
        <f>'Manuf - BOM'!K10</f>
        <v>0.32400000000000001</v>
      </c>
      <c r="D29" s="264" t="str">
        <f>IF(ISERROR(VLOOKUP($A29,'cost extract'!$A:$U,6,0))," ",(VLOOKUP($A29,'cost extract'!$A:$U,6,0)))</f>
        <v xml:space="preserve">KG  </v>
      </c>
      <c r="E29" s="265">
        <v>1</v>
      </c>
      <c r="F29" s="266">
        <f>IF(ISERROR(VLOOKUP($A29,'cost extract'!$A:$U,20,0))," ",(VLOOKUP($A29,'cost extract'!$A:$U,20,0)))</f>
        <v>18.600000000000001</v>
      </c>
      <c r="G29" s="267">
        <f t="shared" si="2"/>
        <v>6.0259999999999998</v>
      </c>
      <c r="H29" s="266">
        <f t="shared" si="1"/>
        <v>0</v>
      </c>
      <c r="I29" s="268">
        <f t="shared" si="3"/>
        <v>0</v>
      </c>
      <c r="K29" s="381" t="str">
        <f>IF(ISERROR(Packaging!C33), "", IF(Packaging!C33="", "", Packaging!C33))</f>
        <v/>
      </c>
      <c r="L29" s="262" t="str">
        <f>IF(ISERROR(VLOOKUP($K29,'cost extract'!$A:$U,2,0))," ",VLOOKUP($K29,'cost extract'!$A:$U,2,0))</f>
        <v xml:space="preserve"> </v>
      </c>
      <c r="M29" s="272"/>
      <c r="N29" s="379" t="str">
        <f>IF(ISERROR(Packaging!D33), "", IF(Packaging!D33="", "", Packaging!D33))</f>
        <v/>
      </c>
      <c r="O29" s="366" t="str">
        <f>IF(ISERROR(VLOOKUP($K29,'cost extract'!$A:$U,6,0))," ",VLOOKUP($K29,'cost extract'!$A:$U,6,0))</f>
        <v xml:space="preserve"> </v>
      </c>
      <c r="P29" s="265">
        <v>1.0149999999999999</v>
      </c>
      <c r="Q29" s="369" t="str">
        <f>IF(ISERROR(VLOOKUP($K29,'cost extract'!$A:$U,20,0))," ",VLOOKUP($K29,'cost extract'!$A:$U,20,0))</f>
        <v xml:space="preserve"> </v>
      </c>
      <c r="R29" s="268" t="str">
        <f t="shared" si="4"/>
        <v xml:space="preserve"> </v>
      </c>
      <c r="S29" s="273">
        <v>0</v>
      </c>
    </row>
    <row r="30" spans="1:19" ht="15" x14ac:dyDescent="0.25">
      <c r="A30" s="262" t="str">
        <f>IF('Manuf - BOM'!C11="","",'Manuf - BOM'!C11)</f>
        <v>EPN002</v>
      </c>
      <c r="B30" s="262" t="str">
        <f>IF(ISERROR(VLOOKUP($A30,'cost extract'!$A:$U,2,0))," ",VLOOKUP($A30,'cost extract'!$A:$U,2,0))</f>
        <v>CELLULOSE MICROCRYST'INE PH102</v>
      </c>
      <c r="C30" s="265">
        <f>'Manuf - BOM'!K11</f>
        <v>14.256</v>
      </c>
      <c r="D30" s="264" t="str">
        <f>IF(ISERROR(VLOOKUP($A30,'cost extract'!$A:$U,6,0))," ",(VLOOKUP($A30,'cost extract'!$A:$U,6,0)))</f>
        <v xml:space="preserve">KG  </v>
      </c>
      <c r="E30" s="265">
        <v>1</v>
      </c>
      <c r="F30" s="266">
        <f>IF(ISERROR(VLOOKUP($A30,'cost extract'!$A:$U,20,0))," ",(VLOOKUP($A30,'cost extract'!$A:$U,20,0)))</f>
        <v>9.58</v>
      </c>
      <c r="G30" s="267">
        <f t="shared" si="2"/>
        <v>136.572</v>
      </c>
      <c r="H30" s="266">
        <f t="shared" si="1"/>
        <v>0</v>
      </c>
      <c r="I30" s="268">
        <f t="shared" si="3"/>
        <v>0</v>
      </c>
      <c r="K30" s="381" t="str">
        <f>IF(ISERROR(Packaging!C34), "", IF(Packaging!C34="", "", Packaging!C34))</f>
        <v/>
      </c>
      <c r="L30" s="262" t="str">
        <f>IF(ISERROR(VLOOKUP($K30,'cost extract'!$A:$U,2,0))," ",VLOOKUP($K30,'cost extract'!$A:$U,2,0))</f>
        <v xml:space="preserve"> </v>
      </c>
      <c r="M30" s="272"/>
      <c r="N30" s="265"/>
      <c r="O30" s="366" t="str">
        <f>IF(ISERROR(VLOOKUP($K30,'cost extract'!$A:$U,6,0))," ",VLOOKUP($K30,'cost extract'!$A:$U,6,0))</f>
        <v xml:space="preserve"> </v>
      </c>
      <c r="P30" s="265">
        <v>1.0149999999999999</v>
      </c>
      <c r="Q30" s="369" t="str">
        <f>IF(ISERROR(VLOOKUP($K30,'cost extract'!$A:$U,20,0))," ",VLOOKUP($K30,'cost extract'!$A:$U,20,0))</f>
        <v xml:space="preserve"> </v>
      </c>
      <c r="R30" s="268" t="str">
        <f t="shared" si="4"/>
        <v xml:space="preserve"> </v>
      </c>
      <c r="S30" s="273">
        <v>0</v>
      </c>
    </row>
    <row r="31" spans="1:19" ht="15" x14ac:dyDescent="0.25">
      <c r="A31" s="262" t="str">
        <f>IF('Manuf - BOM'!C12="","",'Manuf - BOM'!C12)</f>
        <v>EPN045</v>
      </c>
      <c r="B31" s="262" t="str">
        <f>IF(ISERROR(VLOOKUP($A31,'cost extract'!$A:$U,2,0))," ",VLOOKUP($A31,'cost extract'!$A:$U,2,0))</f>
        <v xml:space="preserve">SODIUM STARCH GLYCOLLATE      </v>
      </c>
      <c r="C31" s="265">
        <f>'Manuf - BOM'!K12</f>
        <v>4.8600000000000003</v>
      </c>
      <c r="D31" s="264" t="str">
        <f>IF(ISERROR(VLOOKUP($A31,'cost extract'!$A:$U,6,0))," ",(VLOOKUP($A31,'cost extract'!$A:$U,6,0)))</f>
        <v xml:space="preserve">KG  </v>
      </c>
      <c r="E31" s="265">
        <v>1</v>
      </c>
      <c r="F31" s="266">
        <f>IF(ISERROR(VLOOKUP($A31,'cost extract'!$A:$U,20,0))," ",(VLOOKUP($A31,'cost extract'!$A:$U,20,0)))</f>
        <v>19</v>
      </c>
      <c r="G31" s="267">
        <f t="shared" si="2"/>
        <v>92.34</v>
      </c>
      <c r="H31" s="266">
        <f t="shared" si="1"/>
        <v>0</v>
      </c>
      <c r="I31" s="268">
        <f t="shared" si="3"/>
        <v>0</v>
      </c>
      <c r="K31" s="381"/>
      <c r="L31" s="262" t="str">
        <f>IF(ISERROR(VLOOKUP($K31,'cost extract'!$A:$U,2,0))," ",VLOOKUP($K31,'cost extract'!$A:$U,2,0))</f>
        <v xml:space="preserve"> </v>
      </c>
      <c r="M31" s="272"/>
      <c r="N31" s="265"/>
      <c r="O31" s="366" t="str">
        <f>IF(ISERROR(VLOOKUP($K31,'cost extract'!$A:$U,6,0))," ",VLOOKUP($K31,'cost extract'!$A:$U,6,0))</f>
        <v xml:space="preserve"> </v>
      </c>
      <c r="P31" s="265">
        <v>1.0149999999999999</v>
      </c>
      <c r="Q31" s="369" t="str">
        <f>IF(ISERROR(VLOOKUP($K31,'cost extract'!$A:$U,20,0))," ",VLOOKUP($K31,'cost extract'!$A:$U,20,0))</f>
        <v xml:space="preserve"> </v>
      </c>
      <c r="R31" s="268" t="str">
        <f t="shared" si="4"/>
        <v xml:space="preserve"> </v>
      </c>
      <c r="S31" s="273">
        <v>0</v>
      </c>
    </row>
    <row r="32" spans="1:19" ht="15" x14ac:dyDescent="0.25">
      <c r="A32" s="262" t="str">
        <f>IF('Manuf - BOM'!C13="","",'Manuf - BOM'!C13)</f>
        <v>EPN020</v>
      </c>
      <c r="B32" s="262" t="str">
        <f>IF(ISERROR(VLOOKUP($A32,'cost extract'!$A:$U,2,0))," ",VLOOKUP($A32,'cost extract'!$A:$U,2,0))</f>
        <v xml:space="preserve">CALCIUM STEARATE              </v>
      </c>
      <c r="C32" s="265">
        <f>'Manuf - BOM'!K13</f>
        <v>1.1339999999999999</v>
      </c>
      <c r="D32" s="264" t="str">
        <f>IF(ISERROR(VLOOKUP($A32,'cost extract'!$A:$U,6,0))," ",(VLOOKUP($A32,'cost extract'!$A:$U,6,0)))</f>
        <v xml:space="preserve">KG  </v>
      </c>
      <c r="E32" s="265">
        <v>1</v>
      </c>
      <c r="F32" s="266">
        <f>IF(ISERROR(VLOOKUP($A32,'cost extract'!$A:$U,20,0))," ",(VLOOKUP($A32,'cost extract'!$A:$U,20,0)))</f>
        <v>21.5</v>
      </c>
      <c r="G32" s="267">
        <f t="shared" si="2"/>
        <v>24.381</v>
      </c>
      <c r="H32" s="266">
        <f t="shared" si="1"/>
        <v>0</v>
      </c>
      <c r="I32" s="268">
        <f t="shared" si="3"/>
        <v>0</v>
      </c>
      <c r="K32" s="381"/>
      <c r="L32" s="262" t="str">
        <f>IF(ISERROR(VLOOKUP($K32,'cost extract'!$A:$U,2,0))," ",VLOOKUP($K32,'cost extract'!$A:$U,2,0))</f>
        <v xml:space="preserve"> </v>
      </c>
      <c r="M32" s="272"/>
      <c r="N32" s="265"/>
      <c r="O32" s="366" t="str">
        <f>IF(ISERROR(VLOOKUP($K32,'cost extract'!$A:$U,6,0))," ",VLOOKUP($K32,'cost extract'!$A:$U,6,0))</f>
        <v xml:space="preserve"> </v>
      </c>
      <c r="P32" s="265">
        <v>1.0149999999999999</v>
      </c>
      <c r="Q32" s="369" t="str">
        <f>IF(ISERROR(VLOOKUP($K32,'cost extract'!$A:$U,20,0))," ",VLOOKUP($K32,'cost extract'!$A:$U,20,0))</f>
        <v xml:space="preserve"> </v>
      </c>
      <c r="R32" s="268" t="str">
        <f t="shared" si="4"/>
        <v xml:space="preserve"> </v>
      </c>
      <c r="S32" s="273"/>
    </row>
    <row r="33" spans="1:19" ht="15" x14ac:dyDescent="0.25">
      <c r="A33" s="262" t="str">
        <f>IF('Manuf - BOM'!C14="","",'Manuf - BOM'!C14)</f>
        <v/>
      </c>
      <c r="B33" s="262" t="str">
        <f>IF(ISERROR(VLOOKUP($A33,'cost extract'!$A:$U,2,0))," ",VLOOKUP($A33,'cost extract'!$A:$U,2,0))</f>
        <v xml:space="preserve"> </v>
      </c>
      <c r="C33" s="265">
        <f>'Manuf - BOM'!K14</f>
        <v>0</v>
      </c>
      <c r="D33" s="264" t="str">
        <f>IF(ISERROR(VLOOKUP($A33,'cost extract'!$A:$U,6,0))," ",(VLOOKUP($A33,'cost extract'!$A:$U,6,0)))</f>
        <v xml:space="preserve"> </v>
      </c>
      <c r="E33" s="265">
        <v>1</v>
      </c>
      <c r="F33" s="266" t="str">
        <f>IF(ISERROR(VLOOKUP($A33,'cost extract'!$A:$U,20,0))," ",(VLOOKUP($A33,'cost extract'!$A:$U,20,0)))</f>
        <v xml:space="preserve"> </v>
      </c>
      <c r="G33" s="267" t="str">
        <f t="shared" si="2"/>
        <v xml:space="preserve"> </v>
      </c>
      <c r="H33" s="266" t="str">
        <f t="shared" si="1"/>
        <v/>
      </c>
      <c r="I33" s="268" t="str">
        <f t="shared" si="3"/>
        <v xml:space="preserve"> </v>
      </c>
      <c r="K33" s="381"/>
      <c r="L33" s="262" t="str">
        <f>IF(ISERROR(VLOOKUP($K33,'cost extract'!$A:$U,2,0))," ",VLOOKUP($K33,'cost extract'!$A:$U,2,0))</f>
        <v xml:space="preserve"> </v>
      </c>
      <c r="M33" s="272"/>
      <c r="N33" s="265"/>
      <c r="O33" s="366" t="str">
        <f>IF(ISERROR(VLOOKUP($K33,'cost extract'!$A:$U,6,0))," ",VLOOKUP($K33,'cost extract'!$A:$U,6,0))</f>
        <v xml:space="preserve"> </v>
      </c>
      <c r="P33" s="265">
        <v>1.0149999999999999</v>
      </c>
      <c r="Q33" s="369" t="str">
        <f>IF(ISERROR(VLOOKUP($K33,'cost extract'!$A:$U,20,0))," ",VLOOKUP($K33,'cost extract'!$A:$U,20,0))</f>
        <v xml:space="preserve"> </v>
      </c>
      <c r="R33" s="268" t="str">
        <f t="shared" si="4"/>
        <v xml:space="preserve"> </v>
      </c>
      <c r="S33" s="273"/>
    </row>
    <row r="34" spans="1:19" ht="15" x14ac:dyDescent="0.25">
      <c r="A34" s="262" t="str">
        <f>IF('Manuf - BOM'!C15="","",'Manuf - BOM'!C15)</f>
        <v/>
      </c>
      <c r="B34" s="262" t="str">
        <f>IF(ISERROR(VLOOKUP($A34,'cost extract'!$A:$U,2,0))," ",VLOOKUP($A34,'cost extract'!$A:$U,2,0))</f>
        <v xml:space="preserve"> </v>
      </c>
      <c r="C34" s="265">
        <f>'Manuf - BOM'!K15</f>
        <v>0</v>
      </c>
      <c r="D34" s="264" t="str">
        <f>IF(ISERROR(VLOOKUP($A34,'cost extract'!$A:$U,6,0))," ",(VLOOKUP($A34,'cost extract'!$A:$U,6,0)))</f>
        <v xml:space="preserve"> </v>
      </c>
      <c r="E34" s="265">
        <v>1</v>
      </c>
      <c r="F34" s="266" t="str">
        <f>IF(ISERROR(VLOOKUP($A34,'cost extract'!$A:$U,20,0))," ",(VLOOKUP($A34,'cost extract'!$A:$U,20,0)))</f>
        <v xml:space="preserve"> </v>
      </c>
      <c r="G34" s="267" t="str">
        <f t="shared" si="2"/>
        <v xml:space="preserve"> </v>
      </c>
      <c r="H34" s="266" t="str">
        <f t="shared" si="1"/>
        <v/>
      </c>
      <c r="I34" s="268" t="str">
        <f t="shared" si="3"/>
        <v xml:space="preserve"> </v>
      </c>
      <c r="K34" s="269"/>
      <c r="L34" s="262" t="str">
        <f>IF(ISERROR(VLOOKUP($K34,'cost extract'!$A:$U,2,0))," ",VLOOKUP($K34,'cost extract'!$A:$U,2,0))</f>
        <v xml:space="preserve"> </v>
      </c>
      <c r="M34" s="272"/>
      <c r="N34" s="265"/>
      <c r="O34" s="366" t="str">
        <f>IF(ISERROR(VLOOKUP($K34,'cost extract'!$A:$U,6,0))," ",VLOOKUP($K34,'cost extract'!$A:$U,6,0))</f>
        <v xml:space="preserve"> </v>
      </c>
      <c r="P34" s="265">
        <v>1.0149999999999999</v>
      </c>
      <c r="Q34" s="369" t="str">
        <f>IF(ISERROR(VLOOKUP($K34,'cost extract'!$A:$U,20,0))," ",VLOOKUP($K34,'cost extract'!$A:$U,20,0))</f>
        <v xml:space="preserve"> </v>
      </c>
      <c r="R34" s="268" t="str">
        <f t="shared" si="4"/>
        <v xml:space="preserve"> </v>
      </c>
      <c r="S34" s="273"/>
    </row>
    <row r="35" spans="1:19" ht="15" x14ac:dyDescent="0.25">
      <c r="A35" s="262"/>
      <c r="B35" s="262" t="str">
        <f>IF(ISERROR(VLOOKUP($A35,'cost extract'!$A:$U,2,0))," ",VLOOKUP($A35,'cost extract'!$A:$U,2,0))</f>
        <v xml:space="preserve"> </v>
      </c>
      <c r="C35" s="265"/>
      <c r="D35" s="264" t="str">
        <f>IF(ISERROR(VLOOKUP($A35,'cost extract'!$A:$U,6,0))," ",(VLOOKUP($A35,'cost extract'!$A:$U,6,0)))</f>
        <v xml:space="preserve"> </v>
      </c>
      <c r="E35" s="265"/>
      <c r="F35" s="266" t="str">
        <f>IF(ISERROR(VLOOKUP($A35,'cost extract'!$A:$U,20,0))," ",(VLOOKUP($A35,'cost extract'!$A:$U,20,0)))</f>
        <v xml:space="preserve"> </v>
      </c>
      <c r="G35" s="267" t="str">
        <f t="shared" si="2"/>
        <v xml:space="preserve"> </v>
      </c>
      <c r="H35" s="266" t="str">
        <f t="shared" si="1"/>
        <v/>
      </c>
      <c r="I35" s="268" t="str">
        <f t="shared" si="3"/>
        <v xml:space="preserve"> </v>
      </c>
      <c r="K35" s="269"/>
      <c r="L35" s="262" t="str">
        <f>IF(ISERROR(VLOOKUP($K35,'cost extract'!$A:$U,2,0))," ",VLOOKUP($K35,'cost extract'!$A:$U,2,0))</f>
        <v xml:space="preserve"> </v>
      </c>
      <c r="M35" s="272"/>
      <c r="N35" s="265"/>
      <c r="O35" s="366" t="str">
        <f>IF(ISERROR(VLOOKUP($K35,'cost extract'!$A:$U,6,0))," ",VLOOKUP($K35,'cost extract'!$A:$U,6,0))</f>
        <v xml:space="preserve"> </v>
      </c>
      <c r="P35" s="265">
        <v>1.0149999999999999</v>
      </c>
      <c r="Q35" s="369" t="str">
        <f>IF(ISERROR(VLOOKUP($K35,'cost extract'!$A:$U,20,0))," ",VLOOKUP($K35,'cost extract'!$A:$U,20,0))</f>
        <v xml:space="preserve"> </v>
      </c>
      <c r="R35" s="268" t="str">
        <f t="shared" si="4"/>
        <v xml:space="preserve"> </v>
      </c>
      <c r="S35" s="273"/>
    </row>
    <row r="36" spans="1:19" ht="15" x14ac:dyDescent="0.25">
      <c r="A36" s="262" t="str">
        <f>IF('Manuf - BOM'!C20="","",'Manuf - BOM'!C20)</f>
        <v>099995</v>
      </c>
      <c r="B36" s="262" t="str">
        <f>IF(ISERROR(VLOOKUP($A36,'cost extract'!$A:$U,2,0))," ",VLOOKUP($A36,'cost extract'!$A:$U,2,0))</f>
        <v>PURIFIED WATER BP</v>
      </c>
      <c r="C36" s="265">
        <f>'Manuf - BOM'!K20</f>
        <v>31.995000000000001</v>
      </c>
      <c r="D36" s="264" t="str">
        <f>IF(ISERROR(VLOOKUP($A36,'cost extract'!$A:$U,6,0))," ",(VLOOKUP($A36,'cost extract'!$A:$U,6,0)))</f>
        <v xml:space="preserve">KG  </v>
      </c>
      <c r="E36" s="265">
        <v>1</v>
      </c>
      <c r="F36" s="266">
        <f>IF(ISERROR(VLOOKUP($A36,'cost extract'!$A:$U,20,0))," ",(VLOOKUP($A36,'cost extract'!$A:$U,20,0)))</f>
        <v>1E-3</v>
      </c>
      <c r="G36" s="267">
        <f t="shared" si="2"/>
        <v>3.2000000000000001E-2</v>
      </c>
      <c r="H36" s="266">
        <f t="shared" si="1"/>
        <v>0</v>
      </c>
      <c r="I36" s="268">
        <f t="shared" si="3"/>
        <v>0</v>
      </c>
      <c r="K36" s="269"/>
      <c r="L36" s="262" t="str">
        <f>IF(ISERROR(VLOOKUP($K36,'cost extract'!$A:$U,2,0))," ",VLOOKUP($K36,'cost extract'!$A:$U,2,0))</f>
        <v xml:space="preserve"> </v>
      </c>
      <c r="M36" s="272"/>
      <c r="N36" s="265"/>
      <c r="O36" s="366" t="str">
        <f>IF(ISERROR(VLOOKUP($K36,'cost extract'!$A:$U,6,0))," ",VLOOKUP($K36,'cost extract'!$A:$U,6,0))</f>
        <v xml:space="preserve"> </v>
      </c>
      <c r="P36" s="265">
        <v>1.0149999999999999</v>
      </c>
      <c r="Q36" s="369" t="str">
        <f>IF(ISERROR(VLOOKUP($K36,'cost extract'!$A:$U,20,0))," ",VLOOKUP($K36,'cost extract'!$A:$U,20,0))</f>
        <v xml:space="preserve"> </v>
      </c>
      <c r="R36" s="268" t="str">
        <f t="shared" si="4"/>
        <v xml:space="preserve"> </v>
      </c>
      <c r="S36" s="273"/>
    </row>
    <row r="37" spans="1:19" ht="15" x14ac:dyDescent="0.25">
      <c r="A37" s="262" t="str">
        <f>IF('Manuf - BOM'!C21="","",'Manuf - BOM'!C21)</f>
        <v>006945</v>
      </c>
      <c r="B37" s="262" t="str">
        <f>IF(ISERROR(VLOOKUP($A37,'cost extract'!$A:$U,2,0))," ",VLOOKUP($A37,'cost extract'!$A:$U,2,0))</f>
        <v xml:space="preserve">OPADRY OY-LS-58900 WHITE      </v>
      </c>
      <c r="C37" s="265">
        <f>'Manuf - BOM'!K21</f>
        <v>3.5379999999999998</v>
      </c>
      <c r="D37" s="264" t="str">
        <f>IF(ISERROR(VLOOKUP($A37,'cost extract'!$A:$U,6,0))," ",(VLOOKUP($A37,'cost extract'!$A:$U,6,0)))</f>
        <v xml:space="preserve">KG  </v>
      </c>
      <c r="E37" s="265">
        <v>1</v>
      </c>
      <c r="F37" s="266">
        <f>IF(ISERROR(VLOOKUP($A37,'cost extract'!$A:$U,20,0))," ",(VLOOKUP($A37,'cost extract'!$A:$U,20,0)))</f>
        <v>62.27</v>
      </c>
      <c r="G37" s="267">
        <f t="shared" si="2"/>
        <v>220.31100000000001</v>
      </c>
      <c r="H37" s="266">
        <f t="shared" si="1"/>
        <v>1E-3</v>
      </c>
      <c r="I37" s="268">
        <f t="shared" si="3"/>
        <v>2.4E-2</v>
      </c>
      <c r="K37" s="269"/>
      <c r="L37" s="262" t="str">
        <f>IF(ISERROR(VLOOKUP($K37,'cost extract'!$A:$U,2,0))," ",VLOOKUP($K37,'cost extract'!$A:$U,2,0))</f>
        <v xml:space="preserve"> </v>
      </c>
      <c r="M37" s="272"/>
      <c r="N37" s="265"/>
      <c r="O37" s="366" t="str">
        <f>IF(ISERROR(VLOOKUP($K37,'cost extract'!$A:$U,6,0))," ",VLOOKUP($K37,'cost extract'!$A:$U,6,0))</f>
        <v xml:space="preserve"> </v>
      </c>
      <c r="P37" s="265">
        <v>1.0149999999999999</v>
      </c>
      <c r="Q37" s="369" t="str">
        <f>IF(ISERROR(VLOOKUP($K37,'cost extract'!$A:$U,20,0))," ",VLOOKUP($K37,'cost extract'!$A:$U,20,0))</f>
        <v xml:space="preserve"> </v>
      </c>
      <c r="R37" s="268" t="str">
        <f t="shared" si="4"/>
        <v xml:space="preserve"> </v>
      </c>
      <c r="S37" s="273"/>
    </row>
    <row r="38" spans="1:19" ht="15" x14ac:dyDescent="0.25">
      <c r="A38" s="262" t="str">
        <f>IF('Manuf - BOM'!C22="","",'Manuf - BOM'!C22)</f>
        <v>J4521</v>
      </c>
      <c r="B38" s="262" t="str">
        <f>IF(ISERROR(VLOOKUP($A38,'cost extract'!$A:$U,2,0))," ",VLOOKUP($A38,'cost extract'!$A:$U,2,0))</f>
        <v xml:space="preserve">CARNAUBA WAX B.P/E.P          </v>
      </c>
      <c r="C38" s="265">
        <f>'Manuf - BOM'!K22</f>
        <v>3.2000000000000001E-2</v>
      </c>
      <c r="D38" s="264" t="str">
        <f>IF(ISERROR(VLOOKUP($A38,'cost extract'!$A:$U,6,0))," ",(VLOOKUP($A38,'cost extract'!$A:$U,6,0)))</f>
        <v xml:space="preserve">KG  </v>
      </c>
      <c r="E38" s="265">
        <v>1</v>
      </c>
      <c r="F38" s="266">
        <f>IF(ISERROR(VLOOKUP($A38,'cost extract'!$A:$U,20,0))," ",(VLOOKUP($A38,'cost extract'!$A:$U,20,0)))</f>
        <v>36.869999999999997</v>
      </c>
      <c r="G38" s="267">
        <f t="shared" si="2"/>
        <v>1.18</v>
      </c>
      <c r="H38" s="266">
        <f t="shared" si="1"/>
        <v>0</v>
      </c>
      <c r="I38" s="268">
        <f t="shared" si="3"/>
        <v>0</v>
      </c>
      <c r="K38" s="269"/>
      <c r="L38" s="262" t="str">
        <f>IF(ISERROR(VLOOKUP($K38,'cost extract'!$A:$U,2,0))," ",VLOOKUP($K38,'cost extract'!$A:$U,2,0))</f>
        <v xml:space="preserve"> </v>
      </c>
      <c r="M38" s="272"/>
      <c r="N38" s="265"/>
      <c r="O38" s="366" t="str">
        <f>IF(ISERROR(VLOOKUP($K38,'cost extract'!$A:$U,6,0))," ",VLOOKUP($K38,'cost extract'!$A:$U,6,0))</f>
        <v xml:space="preserve"> </v>
      </c>
      <c r="P38" s="265">
        <v>1.0149999999999999</v>
      </c>
      <c r="Q38" s="369" t="str">
        <f>IF(ISERROR(VLOOKUP($K38,'cost extract'!$A:$U,20,0))," ",VLOOKUP($K38,'cost extract'!$A:$U,20,0))</f>
        <v xml:space="preserve"> </v>
      </c>
      <c r="R38" s="268" t="str">
        <f t="shared" si="4"/>
        <v xml:space="preserve"> </v>
      </c>
      <c r="S38" s="273"/>
    </row>
    <row r="39" spans="1:19" ht="15" x14ac:dyDescent="0.25">
      <c r="A39" s="262" t="str">
        <f>IF('Manuf - BOM'!C23="","",'Manuf - BOM'!C23)</f>
        <v/>
      </c>
      <c r="B39" s="262" t="str">
        <f>IF(ISERROR(VLOOKUP($A39,'cost extract'!$A:$U,2,0))," ",VLOOKUP($A39,'cost extract'!$A:$U,2,0))</f>
        <v xml:space="preserve"> </v>
      </c>
      <c r="C39" s="265">
        <f>'Manuf - BOM'!K23</f>
        <v>0</v>
      </c>
      <c r="D39" s="264" t="str">
        <f>IF(ISERROR(VLOOKUP($A39,'cost extract'!$A:$U,6,0))," ",(VLOOKUP($A39,'cost extract'!$A:$U,6,0)))</f>
        <v xml:space="preserve"> </v>
      </c>
      <c r="E39" s="265">
        <v>1</v>
      </c>
      <c r="F39" s="266" t="str">
        <f>IF(ISERROR(VLOOKUP($A39,'cost extract'!$A:$U,20,0))," ",(VLOOKUP($A39,'cost extract'!$A:$U,20,0)))</f>
        <v xml:space="preserve"> </v>
      </c>
      <c r="G39" s="267" t="str">
        <f t="shared" si="2"/>
        <v xml:space="preserve"> </v>
      </c>
      <c r="H39" s="266" t="str">
        <f t="shared" si="1"/>
        <v/>
      </c>
      <c r="I39" s="268" t="str">
        <f t="shared" si="3"/>
        <v xml:space="preserve"> </v>
      </c>
      <c r="K39" s="269"/>
      <c r="L39" s="274" t="str">
        <f>IF(ISERROR(VLOOKUP($K39,'cost extract'!$A:$U,2,0))," ",VLOOKUP($K39,'cost extract'!$A:$U,2,0))</f>
        <v xml:space="preserve"> </v>
      </c>
      <c r="M39" s="275"/>
      <c r="N39" s="263"/>
      <c r="O39" s="367" t="str">
        <f>IF(ISERROR(VLOOKUP($K39,'cost extract'!$A:$U,6,0))," ",VLOOKUP($K39,'cost extract'!$A:$U,6,0))</f>
        <v xml:space="preserve"> </v>
      </c>
      <c r="P39" s="265">
        <v>1.0149999999999999</v>
      </c>
      <c r="Q39" s="370" t="str">
        <f>IF(ISERROR(VLOOKUP($K39,'cost extract'!$A:$U,20,0))," ",VLOOKUP($K39,'cost extract'!$A:$U,20,0))</f>
        <v xml:space="preserve"> </v>
      </c>
      <c r="R39" s="268" t="str">
        <f t="shared" si="4"/>
        <v xml:space="preserve"> </v>
      </c>
      <c r="S39" s="273"/>
    </row>
    <row r="40" spans="1:19" ht="15.75" thickBot="1" x14ac:dyDescent="0.3">
      <c r="A40" s="704" t="s">
        <v>1851</v>
      </c>
      <c r="B40" s="705"/>
      <c r="C40" s="276">
        <f>SUM(C24:C39)</f>
        <v>142.81200000000001</v>
      </c>
      <c r="D40" s="277"/>
      <c r="E40" s="277"/>
      <c r="F40" s="278"/>
      <c r="G40" s="279">
        <f>SUM(G24:G39)</f>
        <v>1668.127</v>
      </c>
      <c r="H40" s="279">
        <f>SUM(H24:H39)</f>
        <v>4.0000000000000001E-3</v>
      </c>
      <c r="I40" s="280">
        <f>SUM(I24:I39)</f>
        <v>9.6000000000000002E-2</v>
      </c>
      <c r="J40" s="281">
        <f>+I40-C7</f>
        <v>-0.03</v>
      </c>
      <c r="K40" s="282" t="s">
        <v>1852</v>
      </c>
      <c r="L40" s="283"/>
      <c r="M40" s="284"/>
      <c r="N40" s="285"/>
      <c r="O40" s="277"/>
      <c r="P40" s="277"/>
      <c r="Q40" s="278"/>
      <c r="R40" s="280">
        <f>SUM(R24:R39)</f>
        <v>0.17199999999999999</v>
      </c>
      <c r="S40" s="202"/>
    </row>
    <row r="41" spans="1:19" ht="12.75" customHeight="1" x14ac:dyDescent="0.2">
      <c r="A41" s="286"/>
      <c r="K41" s="287"/>
      <c r="L41" s="288"/>
    </row>
    <row r="42" spans="1:19" ht="13.5" thickBot="1" x14ac:dyDescent="0.25">
      <c r="B42" s="185"/>
      <c r="C42" s="185"/>
      <c r="D42" s="185"/>
      <c r="E42" s="289"/>
      <c r="F42" s="289"/>
      <c r="G42" s="289"/>
      <c r="H42" s="289"/>
      <c r="I42" s="289"/>
    </row>
    <row r="43" spans="1:19" ht="30.75" thickBot="1" x14ac:dyDescent="0.25">
      <c r="A43" s="290" t="s">
        <v>1853</v>
      </c>
      <c r="B43" s="290"/>
      <c r="C43" s="291" t="s">
        <v>1854</v>
      </c>
      <c r="D43" s="292" t="s">
        <v>1855</v>
      </c>
      <c r="E43" s="293" t="s">
        <v>1856</v>
      </c>
      <c r="F43" s="293" t="s">
        <v>1857</v>
      </c>
      <c r="G43" s="293" t="s">
        <v>1858</v>
      </c>
      <c r="H43" s="294" t="s">
        <v>1859</v>
      </c>
      <c r="I43" s="293" t="s">
        <v>1860</v>
      </c>
      <c r="J43" s="293" t="s">
        <v>1861</v>
      </c>
      <c r="K43" s="295" t="s">
        <v>1862</v>
      </c>
      <c r="M43" s="296"/>
      <c r="N43" s="296"/>
      <c r="O43" s="296"/>
      <c r="P43" s="296"/>
      <c r="Q43" s="297"/>
    </row>
    <row r="44" spans="1:19" x14ac:dyDescent="0.2">
      <c r="A44" s="298" t="s">
        <v>1863</v>
      </c>
      <c r="B44" s="299"/>
      <c r="C44" s="300">
        <v>70.36</v>
      </c>
      <c r="D44" s="300">
        <v>70.36</v>
      </c>
      <c r="E44" s="300">
        <v>70.36</v>
      </c>
      <c r="F44" s="300">
        <v>70.36</v>
      </c>
      <c r="G44" s="300">
        <v>70.36</v>
      </c>
      <c r="H44" s="301">
        <v>70.36</v>
      </c>
      <c r="I44" s="300">
        <v>70.36</v>
      </c>
      <c r="J44" s="300">
        <v>70.36</v>
      </c>
      <c r="K44" s="302">
        <v>0</v>
      </c>
      <c r="M44" s="303"/>
      <c r="N44" s="303"/>
      <c r="O44" s="303"/>
      <c r="P44" s="303"/>
      <c r="Q44" s="303"/>
    </row>
    <row r="45" spans="1:19" x14ac:dyDescent="0.2">
      <c r="A45" s="304" t="s">
        <v>1864</v>
      </c>
      <c r="B45" s="305"/>
      <c r="C45" s="306">
        <v>5.6</v>
      </c>
      <c r="D45" s="306">
        <v>5.6</v>
      </c>
      <c r="E45" s="306">
        <v>5.6</v>
      </c>
      <c r="F45" s="306">
        <v>5.6</v>
      </c>
      <c r="G45" s="306">
        <v>5.6</v>
      </c>
      <c r="H45" s="307">
        <v>5.6</v>
      </c>
      <c r="I45" s="306">
        <v>5.6</v>
      </c>
      <c r="J45" s="306">
        <v>5.6</v>
      </c>
      <c r="K45" s="308">
        <v>0</v>
      </c>
      <c r="M45" s="303"/>
      <c r="N45" s="303"/>
      <c r="O45" s="303"/>
      <c r="P45" s="303"/>
      <c r="Q45" s="303"/>
    </row>
    <row r="46" spans="1:19" ht="13.5" thickBot="1" x14ac:dyDescent="0.25">
      <c r="A46" s="309" t="s">
        <v>1865</v>
      </c>
      <c r="B46" s="310"/>
      <c r="C46" s="311">
        <v>118.43</v>
      </c>
      <c r="D46" s="311">
        <v>135.33000000000001</v>
      </c>
      <c r="E46" s="311">
        <v>68.7</v>
      </c>
      <c r="F46" s="311">
        <v>104.26</v>
      </c>
      <c r="G46" s="311">
        <v>281.99</v>
      </c>
      <c r="H46" s="312">
        <v>382.36</v>
      </c>
      <c r="I46" s="311">
        <v>224</v>
      </c>
      <c r="J46" s="311">
        <v>0</v>
      </c>
      <c r="K46" s="313">
        <v>150.69</v>
      </c>
      <c r="M46" s="303"/>
      <c r="N46" s="303"/>
      <c r="O46" s="303"/>
      <c r="P46" s="303"/>
      <c r="Q46" s="303"/>
    </row>
    <row r="47" spans="1:19" ht="13.5" thickBot="1" x14ac:dyDescent="0.25">
      <c r="B47"/>
      <c r="C47"/>
      <c r="D47"/>
      <c r="M47" s="287"/>
      <c r="N47" s="287"/>
      <c r="O47" s="287"/>
      <c r="P47" s="287"/>
      <c r="Q47" s="287"/>
    </row>
    <row r="48" spans="1:19" ht="30.75" thickBot="1" x14ac:dyDescent="0.25">
      <c r="A48" s="290" t="s">
        <v>1866</v>
      </c>
      <c r="B48" s="290"/>
      <c r="C48" s="291" t="s">
        <v>1854</v>
      </c>
      <c r="D48" s="292" t="s">
        <v>1855</v>
      </c>
      <c r="E48" s="293" t="s">
        <v>1856</v>
      </c>
      <c r="F48" s="293" t="s">
        <v>1857</v>
      </c>
      <c r="G48" s="293" t="s">
        <v>1858</v>
      </c>
      <c r="H48" s="294" t="s">
        <v>1859</v>
      </c>
      <c r="I48" s="293" t="s">
        <v>1860</v>
      </c>
      <c r="J48" s="293" t="s">
        <v>1861</v>
      </c>
      <c r="K48" s="295" t="s">
        <v>1862</v>
      </c>
      <c r="M48" s="314"/>
      <c r="N48" s="314"/>
      <c r="O48" s="314"/>
      <c r="P48" s="314"/>
      <c r="Q48" s="315"/>
    </row>
    <row r="49" spans="1:17" x14ac:dyDescent="0.2">
      <c r="A49" s="298" t="s">
        <v>1867</v>
      </c>
      <c r="B49" s="299"/>
      <c r="C49" s="316">
        <f>'Manuf - Route'!C4</f>
        <v>5.3</v>
      </c>
      <c r="D49" s="316">
        <f>SUM('Manuf - Route'!C5+'Manuf - Route'!C8+'Manuf - Route'!C12+'Manuf - Route'!C16)</f>
        <v>10.6</v>
      </c>
      <c r="E49" s="316">
        <f>'Manuf - Route'!C19</f>
        <v>5.8</v>
      </c>
      <c r="F49" s="316">
        <f>'Manuf - Route'!C20</f>
        <v>4.3</v>
      </c>
      <c r="G49" s="316">
        <f>Packaging!C37</f>
        <v>1</v>
      </c>
      <c r="H49" s="317"/>
      <c r="I49" s="316"/>
      <c r="J49" s="316"/>
      <c r="K49" s="318">
        <f>'Manuf - Route'!C30</f>
        <v>23</v>
      </c>
      <c r="M49" s="319"/>
      <c r="N49" s="319"/>
      <c r="O49" s="319"/>
      <c r="P49" s="319"/>
      <c r="Q49" s="319"/>
    </row>
    <row r="50" spans="1:17" x14ac:dyDescent="0.2">
      <c r="A50" s="304" t="s">
        <v>1868</v>
      </c>
      <c r="B50" s="305"/>
      <c r="C50" s="320">
        <f>C49</f>
        <v>5.3</v>
      </c>
      <c r="D50" s="321">
        <f>SUM('Manuf - Route'!B5+'Manuf - Route'!B8+'Manuf - Route'!B12+'Manuf - Route'!B16)</f>
        <v>10.6</v>
      </c>
      <c r="E50" s="321">
        <f>'Manuf - Route'!B19</f>
        <v>5.2</v>
      </c>
      <c r="F50" s="321">
        <f>'Manuf - Route'!B20</f>
        <v>4.3</v>
      </c>
      <c r="G50" s="321">
        <f>Packaging!C36</f>
        <v>0.5</v>
      </c>
      <c r="H50" s="322"/>
      <c r="I50" s="321"/>
      <c r="J50" s="320">
        <f>J49</f>
        <v>0</v>
      </c>
      <c r="K50" s="323">
        <v>0</v>
      </c>
      <c r="M50" s="319"/>
      <c r="N50" s="319"/>
      <c r="O50" s="319"/>
      <c r="P50" s="319"/>
      <c r="Q50" s="319"/>
    </row>
    <row r="51" spans="1:17" ht="13.5" thickBot="1" x14ac:dyDescent="0.25">
      <c r="A51" s="309" t="s">
        <v>1869</v>
      </c>
      <c r="B51" s="310"/>
      <c r="C51" s="324">
        <v>1</v>
      </c>
      <c r="D51" s="324">
        <v>1</v>
      </c>
      <c r="E51" s="324">
        <v>1</v>
      </c>
      <c r="F51" s="324">
        <v>1</v>
      </c>
      <c r="G51" s="324">
        <v>2</v>
      </c>
      <c r="H51" s="324"/>
      <c r="I51" s="324"/>
      <c r="J51" s="324"/>
      <c r="K51" s="313"/>
    </row>
    <row r="52" spans="1:17" ht="13.5" thickBot="1" x14ac:dyDescent="0.25"/>
    <row r="53" spans="1:17" ht="30.75" thickBot="1" x14ac:dyDescent="0.25">
      <c r="A53" s="290" t="s">
        <v>1870</v>
      </c>
      <c r="B53" s="325"/>
      <c r="C53" s="291" t="s">
        <v>1854</v>
      </c>
      <c r="D53" s="292" t="s">
        <v>1855</v>
      </c>
      <c r="E53" s="293" t="s">
        <v>1856</v>
      </c>
      <c r="F53" s="293" t="s">
        <v>1857</v>
      </c>
      <c r="G53" s="293" t="s">
        <v>1858</v>
      </c>
      <c r="H53" s="294" t="s">
        <v>1859</v>
      </c>
      <c r="I53" s="293" t="s">
        <v>1860</v>
      </c>
      <c r="J53" s="293" t="s">
        <v>1861</v>
      </c>
      <c r="K53" s="295" t="s">
        <v>1862</v>
      </c>
      <c r="O53" s="314"/>
      <c r="P53" s="314"/>
      <c r="Q53" s="315"/>
    </row>
    <row r="54" spans="1:17" x14ac:dyDescent="0.2">
      <c r="A54" s="326" t="s">
        <v>1871</v>
      </c>
      <c r="B54" s="327"/>
      <c r="C54" s="328">
        <f>IF(ISERROR(C49*C44/$H$22*$R$22),0,C49*C44/$H$22*$R$22)</f>
        <v>2.9000000000000001E-2</v>
      </c>
      <c r="D54" s="328">
        <f>IF(ISERROR(D49*D44/$H$22*$R$22),0,D49*D44/$H$22*$R$22)</f>
        <v>5.8000000000000003E-2</v>
      </c>
      <c r="E54" s="328">
        <f>IF(ISERROR(E49*E44/$H$22*$R$22),0,E49*E44/$H$22*$R$22)</f>
        <v>3.2000000000000001E-2</v>
      </c>
      <c r="F54" s="328">
        <f>IF(ISERROR(F49*F44/$H$22*$R$22),0,F49*F44/$H$22*$R$22)</f>
        <v>2.4E-2</v>
      </c>
      <c r="G54" s="329">
        <f>G49*G44/1000</f>
        <v>7.0000000000000007E-2</v>
      </c>
      <c r="H54" s="329">
        <f>H49*H44/1000</f>
        <v>0</v>
      </c>
      <c r="I54" s="329">
        <f>I49*I44/1000</f>
        <v>0</v>
      </c>
      <c r="J54" s="329">
        <f>J49*J44/1000</f>
        <v>0</v>
      </c>
      <c r="K54" s="330">
        <f>SUM(C54:J54)</f>
        <v>0.21299999999999999</v>
      </c>
      <c r="L54" s="281">
        <f>K54-C10</f>
        <v>0</v>
      </c>
      <c r="O54" s="331"/>
      <c r="P54" s="331"/>
      <c r="Q54" s="287"/>
    </row>
    <row r="55" spans="1:17" x14ac:dyDescent="0.2">
      <c r="A55" s="332" t="s">
        <v>1872</v>
      </c>
      <c r="B55" s="333"/>
      <c r="C55" s="334">
        <f>IF(ISERROR(C49*C45/$H$22*$R$22),0,C49*C45/$H$22*$R$22)</f>
        <v>2E-3</v>
      </c>
      <c r="D55" s="334">
        <f>IF(ISERROR(D49*D45/$H$22*$R$22),0,D49*D45/$H$22*$R$22)</f>
        <v>5.0000000000000001E-3</v>
      </c>
      <c r="E55" s="334">
        <f>IF(ISERROR(E49*E45/$H$22*$R$22),0,E49*E45/$H$22*$R$22)</f>
        <v>3.0000000000000001E-3</v>
      </c>
      <c r="F55" s="334">
        <f>IF(ISERROR(F49*F45/$H$22*$R$22),0,F49*F45/$H$22*$R$22)</f>
        <v>2E-3</v>
      </c>
      <c r="G55" s="335">
        <f>G49*G45/1000</f>
        <v>6.0000000000000001E-3</v>
      </c>
      <c r="H55" s="335">
        <f>H49*H45/1000</f>
        <v>0</v>
      </c>
      <c r="I55" s="335">
        <f>I49*I45/1000</f>
        <v>0</v>
      </c>
      <c r="J55" s="335">
        <f>J49*J45/1000</f>
        <v>0</v>
      </c>
      <c r="K55" s="330">
        <f>SUM(C55:J55)</f>
        <v>1.7999999999999999E-2</v>
      </c>
      <c r="L55" s="281">
        <f>K55-C11</f>
        <v>0</v>
      </c>
      <c r="O55" s="336"/>
      <c r="P55" s="336"/>
      <c r="Q55" s="336"/>
    </row>
    <row r="56" spans="1:17" x14ac:dyDescent="0.2">
      <c r="A56" s="337" t="s">
        <v>1873</v>
      </c>
      <c r="B56" s="338"/>
      <c r="C56" s="339">
        <f t="shared" ref="C56:J56" si="5">C55+C54</f>
        <v>3.1E-2</v>
      </c>
      <c r="D56" s="339">
        <f t="shared" si="5"/>
        <v>6.3E-2</v>
      </c>
      <c r="E56" s="339">
        <f t="shared" si="5"/>
        <v>3.5000000000000003E-2</v>
      </c>
      <c r="F56" s="339">
        <f t="shared" si="5"/>
        <v>2.5999999999999999E-2</v>
      </c>
      <c r="G56" s="340">
        <f t="shared" si="5"/>
        <v>7.5999999999999998E-2</v>
      </c>
      <c r="H56" s="340">
        <f t="shared" si="5"/>
        <v>0</v>
      </c>
      <c r="I56" s="340">
        <f t="shared" si="5"/>
        <v>0</v>
      </c>
      <c r="J56" s="340">
        <f t="shared" si="5"/>
        <v>0</v>
      </c>
      <c r="K56" s="341">
        <f>K55+K54</f>
        <v>0.23100000000000001</v>
      </c>
      <c r="L56" s="281">
        <f>K56-C12+C9</f>
        <v>0</v>
      </c>
      <c r="O56" s="336"/>
      <c r="P56" s="336"/>
      <c r="Q56" s="336"/>
    </row>
    <row r="57" spans="1:17" x14ac:dyDescent="0.2">
      <c r="A57" s="342" t="s">
        <v>1874</v>
      </c>
      <c r="B57" s="343"/>
      <c r="C57" s="344">
        <f>IF(ISERROR(C50*C46/$H$22*$R$22),0,C50*C46/$H$22*$R$22)</f>
        <v>4.9000000000000002E-2</v>
      </c>
      <c r="D57" s="344">
        <f>IF(ISERROR(D50*D46/$H$22*$R$22),0,D50*D46/$H$22*$R$22)</f>
        <v>0.112</v>
      </c>
      <c r="E57" s="344">
        <f>IF(ISERROR(E50*E46/$H$22*$R$22),0,E50*E46/$H$22*$R$22)</f>
        <v>2.8000000000000001E-2</v>
      </c>
      <c r="F57" s="344">
        <f>IF(ISERROR(F50*F46/$H$22*$R$22),0,F50*F46/$H$22*$R$22)</f>
        <v>3.5000000000000003E-2</v>
      </c>
      <c r="G57" s="345">
        <f>G50*G46/1000</f>
        <v>0.14099999999999999</v>
      </c>
      <c r="H57" s="345">
        <f>H50*H46/1000</f>
        <v>0</v>
      </c>
      <c r="I57" s="345">
        <f>I50*I46/1000</f>
        <v>0</v>
      </c>
      <c r="J57" s="345">
        <f>J50*J46/1000</f>
        <v>0</v>
      </c>
      <c r="K57" s="330">
        <f>SUM(C57:J57)</f>
        <v>0.36499999999999999</v>
      </c>
      <c r="L57" s="281">
        <f>K57-C13</f>
        <v>0</v>
      </c>
      <c r="O57" s="336"/>
      <c r="P57" s="336"/>
      <c r="Q57" s="336"/>
    </row>
    <row r="58" spans="1:17" x14ac:dyDescent="0.2">
      <c r="A58" s="332" t="s">
        <v>1875</v>
      </c>
      <c r="B58" s="346"/>
      <c r="C58" s="334">
        <f>IF(ISERROR(K49*K46/$H$22*$R$22),0,K49*K46/$H$22*$R$22)</f>
        <v>0.27</v>
      </c>
      <c r="D58" s="347"/>
      <c r="E58" s="334"/>
      <c r="F58" s="334"/>
      <c r="G58" s="345"/>
      <c r="H58" s="345"/>
      <c r="I58" s="345"/>
      <c r="J58" s="345"/>
      <c r="K58" s="330">
        <f>SUM(C58:J58)</f>
        <v>0.27</v>
      </c>
      <c r="L58" s="281">
        <f>K58-C14</f>
        <v>0</v>
      </c>
      <c r="O58" s="336"/>
      <c r="P58" s="336"/>
      <c r="Q58" s="336"/>
    </row>
    <row r="59" spans="1:17" ht="13.5" thickBot="1" x14ac:dyDescent="0.25">
      <c r="A59" s="348" t="s">
        <v>1876</v>
      </c>
      <c r="B59" s="349"/>
      <c r="C59" s="350">
        <f>SUM(C56:C58)</f>
        <v>0.35</v>
      </c>
      <c r="D59" s="350">
        <f t="shared" ref="D59:J59" si="6">SUM(D56:D58)</f>
        <v>0.17499999999999999</v>
      </c>
      <c r="E59" s="350">
        <f t="shared" si="6"/>
        <v>6.3E-2</v>
      </c>
      <c r="F59" s="350">
        <f t="shared" si="6"/>
        <v>6.0999999999999999E-2</v>
      </c>
      <c r="G59" s="351">
        <f t="shared" si="6"/>
        <v>0.217</v>
      </c>
      <c r="H59" s="351">
        <f t="shared" si="6"/>
        <v>0</v>
      </c>
      <c r="I59" s="351">
        <f t="shared" si="6"/>
        <v>0</v>
      </c>
      <c r="J59" s="351">
        <f t="shared" si="6"/>
        <v>0</v>
      </c>
      <c r="K59" s="352">
        <f>K58+K57+K56</f>
        <v>0.86599999999999999</v>
      </c>
      <c r="L59" s="281">
        <f>K59+C9-C15</f>
        <v>0</v>
      </c>
      <c r="O59" s="336"/>
      <c r="P59" s="336"/>
      <c r="Q59" s="336"/>
    </row>
    <row r="60" spans="1:17" x14ac:dyDescent="0.2">
      <c r="K60" s="353"/>
      <c r="L60" s="353"/>
    </row>
    <row r="63" spans="1:17" ht="15" x14ac:dyDescent="0.2">
      <c r="B63" s="354"/>
      <c r="C63" s="355"/>
      <c r="D63" s="355"/>
      <c r="E63" s="355"/>
      <c r="F63" s="355"/>
      <c r="G63" s="355"/>
      <c r="H63" s="355"/>
      <c r="I63" s="355"/>
      <c r="J63" s="355"/>
      <c r="K63" s="355"/>
    </row>
    <row r="64" spans="1:17" x14ac:dyDescent="0.2">
      <c r="C64" s="356"/>
      <c r="D64" s="355"/>
      <c r="E64" s="355"/>
      <c r="F64" s="355"/>
      <c r="G64" s="355"/>
      <c r="H64" s="355"/>
      <c r="I64" s="355"/>
      <c r="J64" s="355"/>
      <c r="K64" s="355"/>
    </row>
    <row r="65" spans="4:11" x14ac:dyDescent="0.2">
      <c r="D65" s="355"/>
      <c r="E65" s="355"/>
      <c r="F65" s="355"/>
      <c r="G65" s="355"/>
      <c r="H65" s="355"/>
      <c r="I65" s="355"/>
      <c r="J65" s="355"/>
      <c r="K65" s="355"/>
    </row>
    <row r="66" spans="4:11" x14ac:dyDescent="0.2">
      <c r="D66" s="355"/>
      <c r="E66" s="355"/>
      <c r="F66" s="355"/>
      <c r="G66" s="355"/>
      <c r="H66" s="355"/>
      <c r="I66" s="355"/>
      <c r="J66" s="355"/>
      <c r="K66" s="355"/>
    </row>
    <row r="67" spans="4:11" x14ac:dyDescent="0.2">
      <c r="D67" s="355"/>
      <c r="E67" s="355"/>
      <c r="F67" s="355"/>
      <c r="G67" s="355"/>
      <c r="H67" s="355"/>
      <c r="I67" s="355"/>
      <c r="J67" s="355"/>
      <c r="K67" s="355"/>
    </row>
    <row r="68" spans="4:11" x14ac:dyDescent="0.2">
      <c r="D68" s="355"/>
      <c r="E68" s="355"/>
    </row>
    <row r="69" spans="4:11" x14ac:dyDescent="0.2">
      <c r="D69" s="355"/>
      <c r="E69" s="355"/>
    </row>
    <row r="70" spans="4:11" x14ac:dyDescent="0.2">
      <c r="D70" s="355"/>
      <c r="E70" s="355"/>
    </row>
    <row r="71" spans="4:11" x14ac:dyDescent="0.2">
      <c r="E71" s="179"/>
      <c r="F71" s="179"/>
      <c r="G71" s="179"/>
      <c r="H71" s="179"/>
      <c r="I71" s="179"/>
      <c r="J71" s="179"/>
      <c r="K71" s="179"/>
    </row>
    <row r="72" spans="4:11" x14ac:dyDescent="0.2">
      <c r="E72" s="179"/>
      <c r="F72" s="179"/>
      <c r="G72" s="179"/>
      <c r="H72" s="179"/>
      <c r="I72" s="179"/>
      <c r="J72" s="179"/>
      <c r="K72" s="179"/>
    </row>
    <row r="73" spans="4:11" x14ac:dyDescent="0.2">
      <c r="E73" s="179"/>
      <c r="F73" s="179"/>
      <c r="G73" s="179"/>
      <c r="H73" s="179"/>
      <c r="I73" s="179"/>
      <c r="J73" s="179"/>
      <c r="K73" s="179"/>
    </row>
    <row r="74" spans="4:11" x14ac:dyDescent="0.2">
      <c r="E74" s="179"/>
      <c r="F74" s="179"/>
      <c r="G74" s="179"/>
      <c r="H74" s="179"/>
      <c r="I74" s="179"/>
      <c r="J74" s="179"/>
      <c r="K74" s="179"/>
    </row>
    <row r="75" spans="4:11" x14ac:dyDescent="0.2">
      <c r="E75" s="179"/>
      <c r="F75" s="179"/>
      <c r="G75" s="179"/>
      <c r="H75" s="179"/>
      <c r="I75" s="179"/>
      <c r="J75" s="179"/>
      <c r="K75" s="179"/>
    </row>
    <row r="76" spans="4:11" x14ac:dyDescent="0.2">
      <c r="E76" s="179"/>
      <c r="F76" s="179"/>
      <c r="G76" s="179"/>
      <c r="H76" s="179"/>
      <c r="I76" s="179"/>
      <c r="J76" s="179"/>
      <c r="K76" s="179"/>
    </row>
    <row r="77" spans="4:11" x14ac:dyDescent="0.2">
      <c r="E77" s="179"/>
      <c r="F77" s="179"/>
      <c r="G77" s="179"/>
      <c r="H77" s="179"/>
      <c r="I77" s="179"/>
      <c r="J77" s="179"/>
      <c r="K77" s="179"/>
    </row>
    <row r="78" spans="4:11" x14ac:dyDescent="0.2">
      <c r="E78" s="179"/>
      <c r="F78" s="179"/>
      <c r="G78" s="179"/>
      <c r="H78" s="179"/>
      <c r="I78" s="179"/>
      <c r="J78" s="179"/>
      <c r="K78" s="179"/>
    </row>
    <row r="79" spans="4:11" x14ac:dyDescent="0.2">
      <c r="E79" s="179"/>
      <c r="F79" s="179"/>
      <c r="G79" s="179"/>
      <c r="H79" s="179"/>
      <c r="I79" s="179"/>
      <c r="J79" s="179"/>
    </row>
    <row r="80" spans="4:11" x14ac:dyDescent="0.2">
      <c r="D80" s="357"/>
      <c r="E80" s="358"/>
      <c r="F80" s="358"/>
      <c r="G80" s="358"/>
      <c r="H80" s="358"/>
      <c r="J80" s="358"/>
    </row>
  </sheetData>
  <sheetProtection selectLockedCells="1"/>
  <mergeCells count="2">
    <mergeCell ref="L23:M23"/>
    <mergeCell ref="A40:B40"/>
  </mergeCells>
  <conditionalFormatting sqref="I9">
    <cfRule type="cellIs" dxfId="5" priority="6" operator="lessThan">
      <formula>$D$18</formula>
    </cfRule>
  </conditionalFormatting>
  <conditionalFormatting sqref="I10:I12">
    <cfRule type="cellIs" dxfId="4" priority="5" operator="lessThan">
      <formula>$D$18</formula>
    </cfRule>
  </conditionalFormatting>
  <conditionalFormatting sqref="I16:I18">
    <cfRule type="cellIs" dxfId="3" priority="4" operator="lessThan">
      <formula>$D$18</formula>
    </cfRule>
  </conditionalFormatting>
  <conditionalFormatting sqref="H9">
    <cfRule type="cellIs" dxfId="2" priority="3" operator="lessThan">
      <formula>$C$18</formula>
    </cfRule>
  </conditionalFormatting>
  <conditionalFormatting sqref="H10:H12">
    <cfRule type="cellIs" dxfId="1" priority="2" operator="lessThan">
      <formula>$C$18</formula>
    </cfRule>
  </conditionalFormatting>
  <conditionalFormatting sqref="H16:H18">
    <cfRule type="cellIs" dxfId="0" priority="1" operator="lessThan">
      <formula>$C$18</formula>
    </cfRule>
  </conditionalFormatting>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9123"/>
  <sheetViews>
    <sheetView workbookViewId="0">
      <selection activeCell="L7" sqref="L7"/>
    </sheetView>
  </sheetViews>
  <sheetFormatPr defaultRowHeight="15" x14ac:dyDescent="0.25"/>
  <cols>
    <col min="1" max="1" width="9.140625" style="361"/>
    <col min="2" max="2" width="37.140625" style="361" bestFit="1" customWidth="1"/>
    <col min="3" max="6" width="9.140625" style="361"/>
    <col min="7" max="7" width="16" style="361" bestFit="1" customWidth="1"/>
    <col min="8" max="16384" width="9.140625" style="361"/>
  </cols>
  <sheetData>
    <row r="1" spans="1:21" x14ac:dyDescent="0.25">
      <c r="A1" s="359" t="s">
        <v>1877</v>
      </c>
      <c r="B1" s="360" t="s">
        <v>1878</v>
      </c>
      <c r="C1" s="360" t="s">
        <v>1879</v>
      </c>
      <c r="D1" s="360" t="s">
        <v>1879</v>
      </c>
      <c r="E1" s="360" t="s">
        <v>1879</v>
      </c>
      <c r="F1" s="361" t="s">
        <v>1879</v>
      </c>
      <c r="G1" s="362" t="s">
        <v>1880</v>
      </c>
      <c r="H1" s="361" t="s">
        <v>1881</v>
      </c>
      <c r="I1" s="361" t="s">
        <v>1881</v>
      </c>
      <c r="J1" s="361" t="s">
        <v>1881</v>
      </c>
      <c r="K1" s="361" t="s">
        <v>1881</v>
      </c>
      <c r="L1" s="361" t="s">
        <v>1881</v>
      </c>
      <c r="M1" s="361" t="s">
        <v>1881</v>
      </c>
      <c r="N1" s="361" t="s">
        <v>1881</v>
      </c>
      <c r="O1" s="361" t="s">
        <v>1881</v>
      </c>
      <c r="P1" s="361" t="s">
        <v>1881</v>
      </c>
      <c r="Q1" s="361" t="s">
        <v>1881</v>
      </c>
      <c r="R1" s="361" t="s">
        <v>1881</v>
      </c>
      <c r="S1" s="361" t="s">
        <v>1881</v>
      </c>
      <c r="U1" s="362"/>
    </row>
    <row r="2" spans="1:21" x14ac:dyDescent="0.25">
      <c r="A2" s="360" t="s">
        <v>1882</v>
      </c>
      <c r="B2" s="360" t="s">
        <v>1878</v>
      </c>
      <c r="C2" s="360" t="s">
        <v>91</v>
      </c>
      <c r="D2" s="360" t="s">
        <v>91</v>
      </c>
      <c r="E2" s="360" t="s">
        <v>1879</v>
      </c>
      <c r="F2" s="361" t="s">
        <v>1879</v>
      </c>
      <c r="G2" s="361" t="s">
        <v>1883</v>
      </c>
      <c r="H2" s="361" t="s">
        <v>1884</v>
      </c>
      <c r="I2" s="361" t="s">
        <v>1885</v>
      </c>
      <c r="J2" s="361" t="s">
        <v>1886</v>
      </c>
      <c r="K2" s="361" t="s">
        <v>1887</v>
      </c>
      <c r="L2" s="361" t="s">
        <v>1888</v>
      </c>
      <c r="M2" s="361" t="s">
        <v>1889</v>
      </c>
      <c r="N2" s="361" t="s">
        <v>1890</v>
      </c>
      <c r="O2" s="361" t="s">
        <v>1891</v>
      </c>
      <c r="P2" s="361" t="s">
        <v>1892</v>
      </c>
      <c r="Q2" s="361" t="s">
        <v>1893</v>
      </c>
      <c r="R2" s="361" t="s">
        <v>1894</v>
      </c>
      <c r="S2" s="361" t="s">
        <v>1895</v>
      </c>
    </row>
    <row r="3" spans="1:21" x14ac:dyDescent="0.25">
      <c r="A3" s="360" t="s">
        <v>1896</v>
      </c>
      <c r="B3" s="360" t="s">
        <v>1897</v>
      </c>
      <c r="C3" s="360" t="s">
        <v>1898</v>
      </c>
      <c r="D3" s="360" t="s">
        <v>1899</v>
      </c>
      <c r="E3" s="360" t="s">
        <v>1900</v>
      </c>
      <c r="F3" s="361" t="s">
        <v>1901</v>
      </c>
      <c r="G3" s="361" t="s">
        <v>1902</v>
      </c>
      <c r="H3" s="361" t="s">
        <v>1903</v>
      </c>
      <c r="I3" s="361" t="s">
        <v>1904</v>
      </c>
      <c r="J3" s="361" t="s">
        <v>1905</v>
      </c>
      <c r="K3" s="361" t="s">
        <v>1906</v>
      </c>
      <c r="L3" s="361" t="s">
        <v>1907</v>
      </c>
      <c r="M3" s="361" t="s">
        <v>1908</v>
      </c>
      <c r="N3" s="361" t="s">
        <v>1909</v>
      </c>
      <c r="O3" s="361" t="s">
        <v>1910</v>
      </c>
      <c r="P3" s="361" t="s">
        <v>1911</v>
      </c>
      <c r="Q3" s="361" t="s">
        <v>1912</v>
      </c>
      <c r="R3" s="361" t="s">
        <v>1913</v>
      </c>
      <c r="S3" s="361" t="s">
        <v>1914</v>
      </c>
      <c r="T3" s="363" t="s">
        <v>1915</v>
      </c>
    </row>
    <row r="4" spans="1:21" x14ac:dyDescent="0.25">
      <c r="A4" s="364" t="s">
        <v>500</v>
      </c>
      <c r="B4" s="361" t="s">
        <v>501</v>
      </c>
      <c r="C4" t="s">
        <v>1916</v>
      </c>
      <c r="D4" s="361">
        <v>1</v>
      </c>
      <c r="E4" s="364"/>
      <c r="F4" s="361" t="s">
        <v>1917</v>
      </c>
      <c r="T4" s="361">
        <v>11.65</v>
      </c>
    </row>
    <row r="5" spans="1:21" x14ac:dyDescent="0.25">
      <c r="A5" s="364" t="s">
        <v>1918</v>
      </c>
      <c r="B5" s="361" t="s">
        <v>1919</v>
      </c>
      <c r="C5" t="s">
        <v>1920</v>
      </c>
      <c r="D5" s="361">
        <v>20</v>
      </c>
      <c r="E5" s="364"/>
      <c r="F5" s="361" t="s">
        <v>1921</v>
      </c>
      <c r="T5" s="361">
        <v>3.4000000000000002E-2</v>
      </c>
    </row>
    <row r="6" spans="1:21" x14ac:dyDescent="0.25">
      <c r="A6" s="364" t="s">
        <v>502</v>
      </c>
      <c r="B6" s="361" t="s">
        <v>503</v>
      </c>
      <c r="C6" t="s">
        <v>1922</v>
      </c>
      <c r="D6" s="361">
        <v>1</v>
      </c>
      <c r="E6" s="364"/>
      <c r="F6" s="361" t="s">
        <v>1917</v>
      </c>
      <c r="T6" s="361">
        <v>110</v>
      </c>
    </row>
    <row r="7" spans="1:21" x14ac:dyDescent="0.25">
      <c r="A7" s="364" t="s">
        <v>1923</v>
      </c>
      <c r="B7" s="361" t="s">
        <v>1924</v>
      </c>
      <c r="C7" t="s">
        <v>1920</v>
      </c>
      <c r="D7" s="361">
        <v>11</v>
      </c>
      <c r="E7" s="364"/>
      <c r="F7" s="361" t="s">
        <v>1921</v>
      </c>
      <c r="T7" s="361">
        <v>8.4070000000000006E-2</v>
      </c>
    </row>
    <row r="8" spans="1:21" x14ac:dyDescent="0.25">
      <c r="A8" s="364" t="s">
        <v>1925</v>
      </c>
      <c r="B8" s="361" t="s">
        <v>1926</v>
      </c>
      <c r="C8" t="s">
        <v>1920</v>
      </c>
      <c r="D8" s="361">
        <v>11</v>
      </c>
      <c r="E8" s="364"/>
      <c r="F8" s="361" t="s">
        <v>1921</v>
      </c>
      <c r="T8" s="361">
        <v>6.6979999999999998E-2</v>
      </c>
    </row>
    <row r="9" spans="1:21" x14ac:dyDescent="0.25">
      <c r="A9" s="364" t="s">
        <v>1927</v>
      </c>
      <c r="B9" s="361" t="s">
        <v>1928</v>
      </c>
      <c r="C9" t="s">
        <v>1920</v>
      </c>
      <c r="D9" s="361">
        <v>11</v>
      </c>
      <c r="E9" s="364"/>
      <c r="F9" s="361" t="s">
        <v>1921</v>
      </c>
      <c r="T9" s="361">
        <v>0.13100000000000001</v>
      </c>
    </row>
    <row r="10" spans="1:21" x14ac:dyDescent="0.25">
      <c r="A10" s="364" t="s">
        <v>1929</v>
      </c>
      <c r="B10" s="361" t="s">
        <v>1930</v>
      </c>
      <c r="C10" t="s">
        <v>1920</v>
      </c>
      <c r="D10" s="361">
        <v>11</v>
      </c>
      <c r="E10" s="364"/>
      <c r="F10" s="361" t="s">
        <v>1921</v>
      </c>
      <c r="T10" s="361">
        <v>0.17269999999999999</v>
      </c>
    </row>
    <row r="11" spans="1:21" x14ac:dyDescent="0.25">
      <c r="A11" s="364" t="s">
        <v>1931</v>
      </c>
      <c r="B11" s="361" t="s">
        <v>1932</v>
      </c>
      <c r="C11" t="s">
        <v>1920</v>
      </c>
      <c r="D11" s="361">
        <v>11</v>
      </c>
      <c r="E11" s="364"/>
      <c r="F11" s="361" t="s">
        <v>1921</v>
      </c>
      <c r="T11" s="361">
        <v>0.17299999999999999</v>
      </c>
    </row>
    <row r="12" spans="1:21" x14ac:dyDescent="0.25">
      <c r="A12" s="364" t="s">
        <v>1933</v>
      </c>
      <c r="B12" s="361" t="s">
        <v>1934</v>
      </c>
      <c r="C12" t="s">
        <v>1920</v>
      </c>
      <c r="D12" s="361">
        <v>12</v>
      </c>
      <c r="E12" s="364"/>
      <c r="F12" s="361" t="s">
        <v>1921</v>
      </c>
      <c r="T12" s="361">
        <v>5.5190000000000003E-2</v>
      </c>
    </row>
    <row r="13" spans="1:21" x14ac:dyDescent="0.25">
      <c r="A13" s="364" t="s">
        <v>1935</v>
      </c>
      <c r="B13" s="361" t="s">
        <v>1936</v>
      </c>
      <c r="C13" t="s">
        <v>1920</v>
      </c>
      <c r="D13" s="361">
        <v>59</v>
      </c>
      <c r="E13" s="364"/>
      <c r="F13" s="361" t="s">
        <v>1921</v>
      </c>
      <c r="T13" s="361">
        <v>0.67979999999999996</v>
      </c>
    </row>
    <row r="14" spans="1:21" x14ac:dyDescent="0.25">
      <c r="A14" s="364" t="s">
        <v>1937</v>
      </c>
      <c r="B14" s="361" t="s">
        <v>1938</v>
      </c>
      <c r="C14" t="s">
        <v>1920</v>
      </c>
      <c r="D14" s="361">
        <v>12</v>
      </c>
      <c r="E14" s="364"/>
      <c r="F14" s="361" t="s">
        <v>1921</v>
      </c>
      <c r="T14" s="361">
        <v>7.4700000000000003E-2</v>
      </c>
    </row>
    <row r="15" spans="1:21" x14ac:dyDescent="0.25">
      <c r="A15" s="364" t="s">
        <v>504</v>
      </c>
      <c r="B15" s="361" t="s">
        <v>505</v>
      </c>
      <c r="C15" t="s">
        <v>1922</v>
      </c>
      <c r="D15" s="361">
        <v>1</v>
      </c>
      <c r="E15" s="364"/>
      <c r="F15" s="361" t="s">
        <v>1917</v>
      </c>
      <c r="T15" s="361">
        <v>22.6</v>
      </c>
    </row>
    <row r="16" spans="1:21" x14ac:dyDescent="0.25">
      <c r="A16" s="364" t="s">
        <v>506</v>
      </c>
      <c r="B16" s="361" t="s">
        <v>507</v>
      </c>
      <c r="C16" t="s">
        <v>1922</v>
      </c>
      <c r="D16" s="361">
        <v>5</v>
      </c>
      <c r="E16" s="364"/>
      <c r="F16" s="361" t="s">
        <v>1917</v>
      </c>
      <c r="T16" s="361">
        <v>117.42</v>
      </c>
    </row>
    <row r="17" spans="1:20" x14ac:dyDescent="0.25">
      <c r="A17" s="364" t="s">
        <v>508</v>
      </c>
      <c r="B17" s="361" t="s">
        <v>509</v>
      </c>
      <c r="C17" t="s">
        <v>1922</v>
      </c>
      <c r="D17" s="361">
        <v>5</v>
      </c>
      <c r="E17" s="364"/>
      <c r="F17" s="361" t="s">
        <v>1917</v>
      </c>
      <c r="T17" s="361">
        <v>125.13</v>
      </c>
    </row>
    <row r="18" spans="1:20" x14ac:dyDescent="0.25">
      <c r="A18" s="364" t="s">
        <v>1939</v>
      </c>
      <c r="B18" s="361" t="s">
        <v>1940</v>
      </c>
      <c r="C18" t="s">
        <v>1920</v>
      </c>
      <c r="D18" s="361">
        <v>12</v>
      </c>
      <c r="E18" s="364"/>
      <c r="F18" s="361" t="s">
        <v>1921</v>
      </c>
      <c r="T18" s="361">
        <v>6.5229999999999996E-2</v>
      </c>
    </row>
    <row r="19" spans="1:20" x14ac:dyDescent="0.25">
      <c r="A19" s="364" t="s">
        <v>1941</v>
      </c>
      <c r="B19" s="361" t="s">
        <v>1942</v>
      </c>
      <c r="C19" t="s">
        <v>1920</v>
      </c>
      <c r="D19" s="361">
        <v>12</v>
      </c>
      <c r="E19" s="364"/>
      <c r="F19" s="361" t="s">
        <v>1921</v>
      </c>
      <c r="T19" s="361">
        <v>7.1419999999999997E-2</v>
      </c>
    </row>
    <row r="20" spans="1:20" x14ac:dyDescent="0.25">
      <c r="A20" s="364" t="s">
        <v>178</v>
      </c>
      <c r="B20" s="361" t="s">
        <v>510</v>
      </c>
      <c r="C20" t="s">
        <v>1922</v>
      </c>
      <c r="D20" s="361">
        <v>1</v>
      </c>
      <c r="E20" s="364"/>
      <c r="F20" s="361" t="s">
        <v>1917</v>
      </c>
      <c r="T20" s="361">
        <v>2.02</v>
      </c>
    </row>
    <row r="21" spans="1:20" x14ac:dyDescent="0.25">
      <c r="A21" s="364" t="s">
        <v>226</v>
      </c>
      <c r="B21" s="361" t="s">
        <v>511</v>
      </c>
      <c r="C21" t="s">
        <v>1922</v>
      </c>
      <c r="D21" s="361">
        <v>1</v>
      </c>
      <c r="E21" s="364"/>
      <c r="F21" s="361" t="s">
        <v>1917</v>
      </c>
      <c r="T21" s="361">
        <v>3.83</v>
      </c>
    </row>
    <row r="22" spans="1:20" x14ac:dyDescent="0.25">
      <c r="A22" s="364" t="s">
        <v>1943</v>
      </c>
      <c r="B22" s="361" t="s">
        <v>1944</v>
      </c>
      <c r="C22" t="s">
        <v>1920</v>
      </c>
      <c r="D22" s="361">
        <v>26</v>
      </c>
      <c r="E22" s="364"/>
      <c r="F22" s="361" t="s">
        <v>1921</v>
      </c>
      <c r="T22" s="361">
        <v>0.79159999999999997</v>
      </c>
    </row>
    <row r="23" spans="1:20" x14ac:dyDescent="0.25">
      <c r="A23" s="364" t="s">
        <v>1945</v>
      </c>
      <c r="B23" s="361" t="s">
        <v>1946</v>
      </c>
      <c r="C23" t="s">
        <v>1920</v>
      </c>
      <c r="D23" s="361">
        <v>46</v>
      </c>
      <c r="E23" s="364"/>
      <c r="F23" s="361" t="s">
        <v>1917</v>
      </c>
      <c r="T23" s="361">
        <v>7.5</v>
      </c>
    </row>
    <row r="24" spans="1:20" x14ac:dyDescent="0.25">
      <c r="A24" s="364" t="s">
        <v>1947</v>
      </c>
      <c r="B24" s="361" t="s">
        <v>1948</v>
      </c>
      <c r="C24" t="s">
        <v>1920</v>
      </c>
      <c r="D24" s="361">
        <v>26</v>
      </c>
      <c r="E24" s="364"/>
      <c r="F24" s="361" t="s">
        <v>1921</v>
      </c>
      <c r="T24" s="361">
        <v>0.495</v>
      </c>
    </row>
    <row r="25" spans="1:20" x14ac:dyDescent="0.25">
      <c r="A25" s="364" t="s">
        <v>512</v>
      </c>
      <c r="B25" s="361" t="s">
        <v>513</v>
      </c>
      <c r="C25" t="s">
        <v>1916</v>
      </c>
      <c r="D25" s="361">
        <v>2</v>
      </c>
      <c r="E25" s="364"/>
      <c r="F25" s="361" t="s">
        <v>1917</v>
      </c>
      <c r="T25" s="361">
        <v>7.77</v>
      </c>
    </row>
    <row r="26" spans="1:20" x14ac:dyDescent="0.25">
      <c r="A26" s="364" t="s">
        <v>1949</v>
      </c>
      <c r="B26" s="361" t="s">
        <v>1950</v>
      </c>
      <c r="C26" t="s">
        <v>1920</v>
      </c>
      <c r="D26" s="361">
        <v>26</v>
      </c>
      <c r="E26" s="364"/>
      <c r="F26" s="361" t="s">
        <v>1921</v>
      </c>
      <c r="T26" s="361">
        <v>0.85799999999999998</v>
      </c>
    </row>
    <row r="27" spans="1:20" x14ac:dyDescent="0.25">
      <c r="A27" s="364" t="s">
        <v>514</v>
      </c>
      <c r="B27" s="361" t="s">
        <v>515</v>
      </c>
      <c r="C27" t="s">
        <v>1922</v>
      </c>
      <c r="D27" s="361">
        <v>90</v>
      </c>
      <c r="E27" s="364"/>
      <c r="F27" s="361" t="s">
        <v>1917</v>
      </c>
      <c r="T27" s="361">
        <v>35</v>
      </c>
    </row>
    <row r="28" spans="1:20" x14ac:dyDescent="0.25">
      <c r="A28" s="364" t="s">
        <v>516</v>
      </c>
      <c r="B28" s="361" t="s">
        <v>517</v>
      </c>
      <c r="C28" t="s">
        <v>1922</v>
      </c>
      <c r="D28" s="361">
        <v>1</v>
      </c>
      <c r="E28" s="364"/>
      <c r="F28" s="361" t="s">
        <v>1917</v>
      </c>
      <c r="T28" s="361">
        <v>4.49</v>
      </c>
    </row>
    <row r="29" spans="1:20" x14ac:dyDescent="0.25">
      <c r="A29" s="364" t="s">
        <v>518</v>
      </c>
      <c r="B29" s="361" t="s">
        <v>519</v>
      </c>
      <c r="C29" t="s">
        <v>1916</v>
      </c>
      <c r="D29" s="361">
        <v>2</v>
      </c>
      <c r="E29" s="364"/>
      <c r="F29" s="361" t="s">
        <v>1917</v>
      </c>
      <c r="T29" s="361">
        <v>47.842109999999998</v>
      </c>
    </row>
    <row r="30" spans="1:20" x14ac:dyDescent="0.25">
      <c r="A30" s="364" t="s">
        <v>1951</v>
      </c>
      <c r="B30" s="361" t="s">
        <v>1924</v>
      </c>
      <c r="C30" t="s">
        <v>1920</v>
      </c>
      <c r="D30" s="361">
        <v>11</v>
      </c>
      <c r="E30" s="364"/>
      <c r="F30" s="361" t="s">
        <v>1921</v>
      </c>
      <c r="T30" s="361">
        <v>6.5019999999999994E-2</v>
      </c>
    </row>
    <row r="31" spans="1:20" x14ac:dyDescent="0.25">
      <c r="A31" s="364" t="s">
        <v>283</v>
      </c>
      <c r="B31" s="361" t="s">
        <v>520</v>
      </c>
      <c r="C31" t="s">
        <v>1916</v>
      </c>
      <c r="D31" s="361">
        <v>3</v>
      </c>
      <c r="E31" s="364"/>
      <c r="F31" s="361" t="s">
        <v>1917</v>
      </c>
      <c r="T31" s="361">
        <v>6.55</v>
      </c>
    </row>
    <row r="32" spans="1:20" x14ac:dyDescent="0.25">
      <c r="A32" s="364" t="s">
        <v>521</v>
      </c>
      <c r="B32" s="361" t="s">
        <v>522</v>
      </c>
      <c r="C32" t="s">
        <v>1922</v>
      </c>
      <c r="D32" s="361">
        <v>1</v>
      </c>
      <c r="E32" s="364"/>
      <c r="F32" s="361" t="s">
        <v>1917</v>
      </c>
      <c r="T32" s="361">
        <v>4.2</v>
      </c>
    </row>
    <row r="33" spans="1:20" x14ac:dyDescent="0.25">
      <c r="A33" s="364" t="s">
        <v>1952</v>
      </c>
      <c r="B33" s="361" t="s">
        <v>1953</v>
      </c>
      <c r="C33" t="s">
        <v>1920</v>
      </c>
      <c r="D33" s="361">
        <v>16</v>
      </c>
      <c r="E33" s="364"/>
      <c r="F33" s="361" t="s">
        <v>1917</v>
      </c>
      <c r="T33" s="361">
        <v>7.5</v>
      </c>
    </row>
    <row r="34" spans="1:20" x14ac:dyDescent="0.25">
      <c r="A34" s="364" t="s">
        <v>1954</v>
      </c>
      <c r="B34" s="361" t="s">
        <v>1955</v>
      </c>
      <c r="C34" t="s">
        <v>1920</v>
      </c>
      <c r="D34" s="361">
        <v>26</v>
      </c>
      <c r="E34" s="364"/>
      <c r="F34" s="361" t="s">
        <v>1921</v>
      </c>
      <c r="T34" s="361">
        <v>0.53500000000000003</v>
      </c>
    </row>
    <row r="35" spans="1:20" x14ac:dyDescent="0.25">
      <c r="A35" s="364" t="s">
        <v>523</v>
      </c>
      <c r="B35" s="361" t="s">
        <v>524</v>
      </c>
      <c r="C35" t="s">
        <v>1922</v>
      </c>
      <c r="D35" s="361">
        <v>1</v>
      </c>
      <c r="E35" s="364"/>
      <c r="F35" s="361" t="s">
        <v>1917</v>
      </c>
      <c r="T35" s="361">
        <v>1.17</v>
      </c>
    </row>
    <row r="36" spans="1:20" x14ac:dyDescent="0.25">
      <c r="A36" s="364" t="s">
        <v>525</v>
      </c>
      <c r="B36" s="361" t="s">
        <v>526</v>
      </c>
      <c r="C36" t="s">
        <v>1922</v>
      </c>
      <c r="D36" s="361">
        <v>1</v>
      </c>
      <c r="E36" s="364"/>
      <c r="F36" s="361" t="s">
        <v>1917</v>
      </c>
      <c r="T36" s="361">
        <v>5.7</v>
      </c>
    </row>
    <row r="37" spans="1:20" x14ac:dyDescent="0.25">
      <c r="A37" s="364" t="s">
        <v>527</v>
      </c>
      <c r="B37" s="361" t="s">
        <v>528</v>
      </c>
      <c r="C37" t="s">
        <v>1922</v>
      </c>
      <c r="D37" s="361">
        <v>1</v>
      </c>
      <c r="E37" s="364"/>
      <c r="F37" s="361" t="s">
        <v>1917</v>
      </c>
      <c r="T37" s="361">
        <v>80.95</v>
      </c>
    </row>
    <row r="38" spans="1:20" x14ac:dyDescent="0.25">
      <c r="A38" s="364" t="s">
        <v>529</v>
      </c>
      <c r="B38" s="361" t="s">
        <v>530</v>
      </c>
      <c r="C38" t="s">
        <v>1916</v>
      </c>
      <c r="D38" s="361">
        <v>2</v>
      </c>
      <c r="E38" s="364"/>
      <c r="F38" s="361" t="s">
        <v>1917</v>
      </c>
      <c r="T38" s="361">
        <v>23300</v>
      </c>
    </row>
    <row r="39" spans="1:20" x14ac:dyDescent="0.25">
      <c r="A39" s="364" t="s">
        <v>531</v>
      </c>
      <c r="B39" s="361" t="s">
        <v>532</v>
      </c>
      <c r="C39" t="s">
        <v>1916</v>
      </c>
      <c r="D39" s="361">
        <v>2</v>
      </c>
      <c r="E39" s="364"/>
      <c r="F39" s="361" t="s">
        <v>1917</v>
      </c>
      <c r="T39" s="361">
        <v>33.85</v>
      </c>
    </row>
    <row r="40" spans="1:20" x14ac:dyDescent="0.25">
      <c r="A40" s="364" t="s">
        <v>1956</v>
      </c>
      <c r="B40" s="361" t="s">
        <v>1957</v>
      </c>
      <c r="C40" t="s">
        <v>1920</v>
      </c>
      <c r="D40" s="361">
        <v>11</v>
      </c>
      <c r="E40" s="364"/>
      <c r="F40" s="361" t="s">
        <v>1921</v>
      </c>
      <c r="T40" s="361">
        <v>0.23799999999999999</v>
      </c>
    </row>
    <row r="41" spans="1:20" x14ac:dyDescent="0.25">
      <c r="A41" s="364" t="s">
        <v>1958</v>
      </c>
      <c r="B41" s="361" t="s">
        <v>1959</v>
      </c>
      <c r="C41" t="s">
        <v>1920</v>
      </c>
      <c r="D41" s="361">
        <v>12</v>
      </c>
      <c r="E41" s="364"/>
      <c r="F41" s="361" t="s">
        <v>1921</v>
      </c>
      <c r="T41" s="361">
        <v>6.966E-2</v>
      </c>
    </row>
    <row r="42" spans="1:20" x14ac:dyDescent="0.25">
      <c r="A42" s="364" t="s">
        <v>533</v>
      </c>
      <c r="B42" s="361" t="s">
        <v>534</v>
      </c>
      <c r="C42" t="s">
        <v>1922</v>
      </c>
      <c r="D42" s="361">
        <v>5</v>
      </c>
      <c r="E42" s="364"/>
      <c r="F42" s="361" t="s">
        <v>1917</v>
      </c>
      <c r="T42" s="361">
        <v>39.229999999999997</v>
      </c>
    </row>
    <row r="43" spans="1:20" x14ac:dyDescent="0.25">
      <c r="A43" s="364" t="s">
        <v>1960</v>
      </c>
      <c r="B43" s="361" t="s">
        <v>1961</v>
      </c>
      <c r="C43" t="s">
        <v>1920</v>
      </c>
      <c r="D43" s="361">
        <v>20</v>
      </c>
      <c r="E43" s="364"/>
      <c r="F43" s="361" t="s">
        <v>1921</v>
      </c>
      <c r="T43" s="361">
        <v>3.2399999999999998E-2</v>
      </c>
    </row>
    <row r="44" spans="1:20" x14ac:dyDescent="0.25">
      <c r="A44" s="364" t="s">
        <v>1962</v>
      </c>
      <c r="B44" s="361" t="s">
        <v>1963</v>
      </c>
      <c r="C44" t="s">
        <v>1920</v>
      </c>
      <c r="D44" s="361">
        <v>20</v>
      </c>
      <c r="E44" s="364"/>
      <c r="F44" s="361" t="s">
        <v>1921</v>
      </c>
      <c r="T44" s="361">
        <v>3.2399999999999998E-2</v>
      </c>
    </row>
    <row r="45" spans="1:20" x14ac:dyDescent="0.25">
      <c r="A45" s="364" t="s">
        <v>535</v>
      </c>
      <c r="B45" s="361" t="s">
        <v>536</v>
      </c>
      <c r="C45" t="s">
        <v>1922</v>
      </c>
      <c r="D45" s="361">
        <v>1</v>
      </c>
      <c r="E45" s="364"/>
      <c r="F45" s="361" t="s">
        <v>1917</v>
      </c>
      <c r="T45" s="361">
        <v>302.64</v>
      </c>
    </row>
    <row r="46" spans="1:20" x14ac:dyDescent="0.25">
      <c r="A46" s="364" t="s">
        <v>537</v>
      </c>
      <c r="B46" s="361" t="s">
        <v>538</v>
      </c>
      <c r="C46" t="s">
        <v>1922</v>
      </c>
      <c r="D46" s="361">
        <v>5</v>
      </c>
      <c r="E46" s="364"/>
      <c r="F46" s="361" t="s">
        <v>1917</v>
      </c>
      <c r="T46" s="361">
        <v>31.4</v>
      </c>
    </row>
    <row r="47" spans="1:20" x14ac:dyDescent="0.25">
      <c r="A47" s="364" t="s">
        <v>1964</v>
      </c>
      <c r="B47" s="361" t="s">
        <v>1965</v>
      </c>
      <c r="C47" t="s">
        <v>1920</v>
      </c>
      <c r="D47" s="361">
        <v>24</v>
      </c>
      <c r="E47" s="364"/>
      <c r="F47" s="361" t="s">
        <v>1921</v>
      </c>
      <c r="T47" s="361">
        <v>7.9899999999999999E-2</v>
      </c>
    </row>
    <row r="48" spans="1:20" x14ac:dyDescent="0.25">
      <c r="A48" s="364" t="s">
        <v>1966</v>
      </c>
      <c r="B48" s="361" t="s">
        <v>1967</v>
      </c>
      <c r="C48" t="s">
        <v>1920</v>
      </c>
      <c r="D48" s="361">
        <v>15</v>
      </c>
      <c r="E48" s="364"/>
      <c r="F48" s="361" t="s">
        <v>1917</v>
      </c>
      <c r="T48" s="361">
        <v>75.359870000000001</v>
      </c>
    </row>
    <row r="49" spans="1:20" x14ac:dyDescent="0.25">
      <c r="A49" s="364" t="s">
        <v>1968</v>
      </c>
      <c r="B49" s="361" t="s">
        <v>1969</v>
      </c>
      <c r="C49">
        <v>2</v>
      </c>
      <c r="D49" s="361">
        <v>97</v>
      </c>
      <c r="E49" s="364"/>
      <c r="F49" s="361" t="s">
        <v>1921</v>
      </c>
      <c r="T49" s="361">
        <v>1.2</v>
      </c>
    </row>
    <row r="50" spans="1:20" x14ac:dyDescent="0.25">
      <c r="A50" s="364" t="s">
        <v>539</v>
      </c>
      <c r="B50" s="361" t="s">
        <v>540</v>
      </c>
      <c r="C50" t="s">
        <v>1922</v>
      </c>
      <c r="D50" s="361">
        <v>1</v>
      </c>
      <c r="E50" s="364"/>
      <c r="F50" s="361" t="s">
        <v>1917</v>
      </c>
      <c r="T50" s="361">
        <v>2.4500000000000002</v>
      </c>
    </row>
    <row r="51" spans="1:20" x14ac:dyDescent="0.25">
      <c r="A51" s="364" t="s">
        <v>1970</v>
      </c>
      <c r="B51" s="361" t="s">
        <v>1971</v>
      </c>
      <c r="C51" t="s">
        <v>1920</v>
      </c>
      <c r="D51" s="361">
        <v>46</v>
      </c>
      <c r="E51" s="364"/>
      <c r="F51" s="361" t="s">
        <v>1917</v>
      </c>
      <c r="T51" s="361">
        <v>5.6</v>
      </c>
    </row>
    <row r="52" spans="1:20" x14ac:dyDescent="0.25">
      <c r="A52" s="364" t="s">
        <v>1972</v>
      </c>
      <c r="B52" s="361" t="s">
        <v>1973</v>
      </c>
      <c r="C52" t="s">
        <v>1920</v>
      </c>
      <c r="D52" s="361">
        <v>20</v>
      </c>
      <c r="E52" s="364"/>
      <c r="F52" s="361" t="s">
        <v>1921</v>
      </c>
      <c r="T52" s="361">
        <v>3.0800000000000001E-2</v>
      </c>
    </row>
    <row r="53" spans="1:20" x14ac:dyDescent="0.25">
      <c r="A53" s="364" t="s">
        <v>1974</v>
      </c>
      <c r="B53" s="361" t="s">
        <v>1975</v>
      </c>
      <c r="C53" t="s">
        <v>1920</v>
      </c>
      <c r="D53" s="361">
        <v>20</v>
      </c>
      <c r="E53" s="364"/>
      <c r="F53" s="361" t="s">
        <v>1921</v>
      </c>
      <c r="T53" s="361">
        <v>3.0800000000000001E-2</v>
      </c>
    </row>
    <row r="54" spans="1:20" x14ac:dyDescent="0.25">
      <c r="A54" s="364" t="s">
        <v>1976</v>
      </c>
      <c r="B54" s="361" t="s">
        <v>1977</v>
      </c>
      <c r="C54" t="s">
        <v>1920</v>
      </c>
      <c r="D54" s="361">
        <v>20</v>
      </c>
      <c r="E54" s="364"/>
      <c r="F54" s="361" t="s">
        <v>1921</v>
      </c>
      <c r="T54" s="361">
        <v>3.1600000000000003E-2</v>
      </c>
    </row>
    <row r="55" spans="1:20" x14ac:dyDescent="0.25">
      <c r="A55" s="364" t="s">
        <v>1978</v>
      </c>
      <c r="B55" s="361" t="s">
        <v>1979</v>
      </c>
      <c r="C55" t="s">
        <v>1920</v>
      </c>
      <c r="D55" s="361">
        <v>20</v>
      </c>
      <c r="E55" s="364"/>
      <c r="F55" s="361" t="s">
        <v>1921</v>
      </c>
      <c r="T55" s="361">
        <v>3.1600000000000003E-2</v>
      </c>
    </row>
    <row r="56" spans="1:20" x14ac:dyDescent="0.25">
      <c r="A56" s="364" t="s">
        <v>1980</v>
      </c>
      <c r="B56" s="361" t="s">
        <v>1981</v>
      </c>
      <c r="C56" t="s">
        <v>1920</v>
      </c>
      <c r="D56" s="361">
        <v>20</v>
      </c>
      <c r="E56" s="364"/>
      <c r="F56" s="361" t="s">
        <v>1921</v>
      </c>
      <c r="T56" s="361">
        <v>3.2300000000000002E-2</v>
      </c>
    </row>
    <row r="57" spans="1:20" x14ac:dyDescent="0.25">
      <c r="A57" s="364" t="s">
        <v>1982</v>
      </c>
      <c r="B57" s="361" t="s">
        <v>1983</v>
      </c>
      <c r="C57" t="s">
        <v>1920</v>
      </c>
      <c r="D57" s="361">
        <v>20</v>
      </c>
      <c r="E57" s="364"/>
      <c r="F57" s="361" t="s">
        <v>1921</v>
      </c>
      <c r="T57" s="361">
        <v>3.1399999999999997E-2</v>
      </c>
    </row>
    <row r="58" spans="1:20" x14ac:dyDescent="0.25">
      <c r="A58" s="364" t="s">
        <v>202</v>
      </c>
      <c r="B58" s="361" t="s">
        <v>541</v>
      </c>
      <c r="C58" t="s">
        <v>1922</v>
      </c>
      <c r="D58" s="361">
        <v>14</v>
      </c>
      <c r="E58" s="364"/>
      <c r="F58" s="361" t="s">
        <v>1921</v>
      </c>
      <c r="T58" s="361">
        <v>5.7299999999999999E-3</v>
      </c>
    </row>
    <row r="59" spans="1:20" x14ac:dyDescent="0.25">
      <c r="A59" s="364" t="s">
        <v>542</v>
      </c>
      <c r="B59" s="361" t="s">
        <v>543</v>
      </c>
      <c r="C59" t="s">
        <v>1916</v>
      </c>
      <c r="D59" s="361">
        <v>2</v>
      </c>
      <c r="E59" s="364"/>
      <c r="F59" s="361" t="s">
        <v>1917</v>
      </c>
      <c r="T59" s="361">
        <v>667.72614999999996</v>
      </c>
    </row>
    <row r="60" spans="1:20" x14ac:dyDescent="0.25">
      <c r="A60" s="364" t="s">
        <v>544</v>
      </c>
      <c r="B60" s="361" t="s">
        <v>545</v>
      </c>
      <c r="C60" t="s">
        <v>1922</v>
      </c>
      <c r="D60" s="361">
        <v>5</v>
      </c>
      <c r="E60" s="364"/>
      <c r="F60" s="361" t="s">
        <v>1917</v>
      </c>
      <c r="T60" s="361">
        <v>474.81</v>
      </c>
    </row>
    <row r="61" spans="1:20" x14ac:dyDescent="0.25">
      <c r="A61" s="364" t="s">
        <v>1984</v>
      </c>
      <c r="B61" s="361" t="s">
        <v>1985</v>
      </c>
      <c r="C61" t="s">
        <v>1920</v>
      </c>
      <c r="D61" s="361">
        <v>26</v>
      </c>
      <c r="E61" s="364"/>
      <c r="F61" s="361" t="s">
        <v>1921</v>
      </c>
      <c r="T61" s="361">
        <v>0.65800000000000003</v>
      </c>
    </row>
    <row r="62" spans="1:20" x14ac:dyDescent="0.25">
      <c r="A62" s="364" t="s">
        <v>546</v>
      </c>
      <c r="B62" s="361" t="s">
        <v>547</v>
      </c>
      <c r="C62" t="s">
        <v>1922</v>
      </c>
      <c r="D62" s="361">
        <v>5</v>
      </c>
      <c r="E62" s="364"/>
      <c r="F62" s="361" t="s">
        <v>1917</v>
      </c>
      <c r="T62" s="361">
        <v>8.2899999999999991</v>
      </c>
    </row>
    <row r="63" spans="1:20" x14ac:dyDescent="0.25">
      <c r="A63" s="364" t="s">
        <v>548</v>
      </c>
      <c r="B63" s="361" t="s">
        <v>549</v>
      </c>
      <c r="C63" t="s">
        <v>1922</v>
      </c>
      <c r="D63" s="361">
        <v>5</v>
      </c>
      <c r="E63" s="364"/>
      <c r="F63" s="361" t="s">
        <v>1917</v>
      </c>
      <c r="T63" s="361">
        <v>225.97</v>
      </c>
    </row>
    <row r="64" spans="1:20" x14ac:dyDescent="0.25">
      <c r="A64" s="364" t="s">
        <v>550</v>
      </c>
      <c r="B64" s="361" t="s">
        <v>551</v>
      </c>
      <c r="C64" t="s">
        <v>1922</v>
      </c>
      <c r="D64" s="361">
        <v>5</v>
      </c>
      <c r="E64" s="364"/>
      <c r="F64" s="361" t="s">
        <v>1917</v>
      </c>
      <c r="T64" s="361">
        <v>45.2</v>
      </c>
    </row>
    <row r="65" spans="1:20" x14ac:dyDescent="0.25">
      <c r="A65" s="364" t="s">
        <v>552</v>
      </c>
      <c r="B65" s="361" t="s">
        <v>553</v>
      </c>
      <c r="C65" t="s">
        <v>1922</v>
      </c>
      <c r="D65" s="361">
        <v>5</v>
      </c>
      <c r="E65" s="364"/>
      <c r="F65" s="361" t="s">
        <v>1917</v>
      </c>
      <c r="T65" s="361">
        <v>48.9</v>
      </c>
    </row>
    <row r="66" spans="1:20" x14ac:dyDescent="0.25">
      <c r="A66" s="364" t="s">
        <v>554</v>
      </c>
      <c r="B66" s="361" t="s">
        <v>555</v>
      </c>
      <c r="C66" t="s">
        <v>1922</v>
      </c>
      <c r="D66" s="361">
        <v>1</v>
      </c>
      <c r="E66" s="364"/>
      <c r="F66" s="361" t="s">
        <v>1917</v>
      </c>
      <c r="T66" s="361">
        <v>22.02</v>
      </c>
    </row>
    <row r="67" spans="1:20" x14ac:dyDescent="0.25">
      <c r="A67" s="364" t="s">
        <v>1986</v>
      </c>
      <c r="B67" s="361" t="s">
        <v>1987</v>
      </c>
      <c r="C67" t="s">
        <v>1920</v>
      </c>
      <c r="D67" s="361">
        <v>15</v>
      </c>
      <c r="E67" s="364"/>
      <c r="F67" s="361" t="s">
        <v>1917</v>
      </c>
      <c r="T67" s="361">
        <v>26.06</v>
      </c>
    </row>
    <row r="68" spans="1:20" x14ac:dyDescent="0.25">
      <c r="A68" s="364" t="s">
        <v>1988</v>
      </c>
      <c r="B68" s="361" t="s">
        <v>1989</v>
      </c>
      <c r="C68" t="s">
        <v>1920</v>
      </c>
      <c r="D68" s="361">
        <v>11</v>
      </c>
      <c r="E68" s="364"/>
      <c r="F68" s="361" t="s">
        <v>1921</v>
      </c>
      <c r="T68" s="361">
        <v>0.94230000000000003</v>
      </c>
    </row>
    <row r="69" spans="1:20" x14ac:dyDescent="0.25">
      <c r="A69" s="364" t="s">
        <v>1990</v>
      </c>
      <c r="B69" s="361" t="s">
        <v>1991</v>
      </c>
      <c r="C69" t="s">
        <v>1920</v>
      </c>
      <c r="D69" s="361">
        <v>12</v>
      </c>
      <c r="E69" s="364"/>
      <c r="F69" s="361" t="s">
        <v>1921</v>
      </c>
      <c r="T69" s="361">
        <v>0.32715</v>
      </c>
    </row>
    <row r="70" spans="1:20" x14ac:dyDescent="0.25">
      <c r="A70" s="364" t="s">
        <v>1992</v>
      </c>
      <c r="B70" s="361" t="s">
        <v>1993</v>
      </c>
      <c r="C70" t="s">
        <v>1920</v>
      </c>
      <c r="D70" s="361">
        <v>20</v>
      </c>
      <c r="E70" s="364"/>
      <c r="F70" s="361" t="s">
        <v>1921</v>
      </c>
      <c r="T70" s="361">
        <v>0.28239999999999998</v>
      </c>
    </row>
    <row r="71" spans="1:20" x14ac:dyDescent="0.25">
      <c r="A71" s="364" t="s">
        <v>1994</v>
      </c>
      <c r="B71" s="361" t="s">
        <v>1995</v>
      </c>
      <c r="C71" t="s">
        <v>1920</v>
      </c>
      <c r="D71" s="361">
        <v>11</v>
      </c>
      <c r="E71" s="364"/>
      <c r="F71" s="361" t="s">
        <v>1921</v>
      </c>
      <c r="T71" s="361">
        <v>0.24675</v>
      </c>
    </row>
    <row r="72" spans="1:20" x14ac:dyDescent="0.25">
      <c r="A72" s="364" t="s">
        <v>1996</v>
      </c>
      <c r="B72" s="361" t="s">
        <v>1997</v>
      </c>
      <c r="C72" t="s">
        <v>1920</v>
      </c>
      <c r="D72" s="361">
        <v>12</v>
      </c>
      <c r="E72" s="364"/>
      <c r="F72" s="361" t="s">
        <v>1921</v>
      </c>
      <c r="T72" s="361">
        <v>0.12003</v>
      </c>
    </row>
    <row r="73" spans="1:20" x14ac:dyDescent="0.25">
      <c r="A73" s="364" t="s">
        <v>556</v>
      </c>
      <c r="B73" s="361" t="s">
        <v>557</v>
      </c>
      <c r="C73" t="s">
        <v>1922</v>
      </c>
      <c r="D73" s="361">
        <v>5</v>
      </c>
      <c r="E73" s="364"/>
      <c r="F73" s="361" t="s">
        <v>1917</v>
      </c>
      <c r="T73" s="361">
        <v>23.99</v>
      </c>
    </row>
    <row r="74" spans="1:20" x14ac:dyDescent="0.25">
      <c r="A74" s="364" t="s">
        <v>1998</v>
      </c>
      <c r="B74" s="361" t="s">
        <v>1999</v>
      </c>
      <c r="C74" t="s">
        <v>1920</v>
      </c>
      <c r="D74" s="361">
        <v>16</v>
      </c>
      <c r="E74" s="364"/>
      <c r="F74" s="361" t="s">
        <v>1917</v>
      </c>
      <c r="T74" s="361">
        <v>4.3</v>
      </c>
    </row>
    <row r="75" spans="1:20" x14ac:dyDescent="0.25">
      <c r="A75" s="364" t="s">
        <v>2000</v>
      </c>
      <c r="B75" s="361" t="s">
        <v>2001</v>
      </c>
      <c r="C75" t="s">
        <v>1920</v>
      </c>
      <c r="D75" s="361">
        <v>16</v>
      </c>
      <c r="E75" s="364"/>
      <c r="F75" s="361" t="s">
        <v>1917</v>
      </c>
      <c r="T75" s="361">
        <v>4.2</v>
      </c>
    </row>
    <row r="76" spans="1:20" x14ac:dyDescent="0.25">
      <c r="A76" s="364" t="s">
        <v>2002</v>
      </c>
      <c r="B76" s="361" t="s">
        <v>2003</v>
      </c>
      <c r="C76" t="s">
        <v>1920</v>
      </c>
      <c r="D76" s="361">
        <v>15</v>
      </c>
      <c r="E76" s="364"/>
      <c r="F76" s="361" t="s">
        <v>1917</v>
      </c>
      <c r="T76" s="361">
        <v>34.799999999999997</v>
      </c>
    </row>
    <row r="77" spans="1:20" x14ac:dyDescent="0.25">
      <c r="A77" s="364" t="s">
        <v>2004</v>
      </c>
      <c r="B77" s="361" t="s">
        <v>2005</v>
      </c>
      <c r="C77" t="s">
        <v>1920</v>
      </c>
      <c r="D77" s="361">
        <v>15</v>
      </c>
      <c r="E77" s="364"/>
      <c r="F77" s="361" t="s">
        <v>1917</v>
      </c>
      <c r="T77" s="361">
        <v>37.299999999999997</v>
      </c>
    </row>
    <row r="78" spans="1:20" x14ac:dyDescent="0.25">
      <c r="A78" s="364" t="s">
        <v>2006</v>
      </c>
      <c r="B78" s="361" t="s">
        <v>2007</v>
      </c>
      <c r="C78" t="s">
        <v>1920</v>
      </c>
      <c r="D78" s="361">
        <v>26</v>
      </c>
      <c r="E78" s="364"/>
      <c r="F78" s="361" t="s">
        <v>1921</v>
      </c>
      <c r="T78" s="361">
        <v>1.1919999999999999</v>
      </c>
    </row>
    <row r="79" spans="1:20" x14ac:dyDescent="0.25">
      <c r="A79" s="364" t="s">
        <v>2008</v>
      </c>
      <c r="B79" s="361" t="s">
        <v>2009</v>
      </c>
      <c r="C79" t="s">
        <v>1920</v>
      </c>
      <c r="D79" s="361">
        <v>26</v>
      </c>
      <c r="E79" s="364"/>
      <c r="F79" s="361" t="s">
        <v>1921</v>
      </c>
      <c r="T79" s="361">
        <v>0.77100000000000002</v>
      </c>
    </row>
    <row r="80" spans="1:20" x14ac:dyDescent="0.25">
      <c r="A80" s="364" t="s">
        <v>558</v>
      </c>
      <c r="B80" s="361" t="s">
        <v>559</v>
      </c>
      <c r="C80" t="s">
        <v>1922</v>
      </c>
      <c r="D80" s="361">
        <v>5</v>
      </c>
      <c r="E80" s="364"/>
      <c r="F80" s="361" t="s">
        <v>1917</v>
      </c>
      <c r="T80" s="361">
        <v>40.92</v>
      </c>
    </row>
    <row r="81" spans="1:20" x14ac:dyDescent="0.25">
      <c r="A81" s="364" t="s">
        <v>2010</v>
      </c>
      <c r="B81" s="361" t="s">
        <v>2011</v>
      </c>
      <c r="C81" t="s">
        <v>1920</v>
      </c>
      <c r="D81" s="361">
        <v>26</v>
      </c>
      <c r="E81" s="364"/>
      <c r="F81" s="361" t="s">
        <v>1921</v>
      </c>
      <c r="T81" s="361">
        <v>0.24617</v>
      </c>
    </row>
    <row r="82" spans="1:20" x14ac:dyDescent="0.25">
      <c r="A82" s="364" t="s">
        <v>2012</v>
      </c>
      <c r="B82" s="361" t="s">
        <v>2013</v>
      </c>
      <c r="C82" t="s">
        <v>1920</v>
      </c>
      <c r="D82" s="361">
        <v>56</v>
      </c>
      <c r="E82" s="364"/>
      <c r="F82" s="361" t="s">
        <v>1921</v>
      </c>
      <c r="T82" s="361">
        <v>1.113</v>
      </c>
    </row>
    <row r="83" spans="1:20" x14ac:dyDescent="0.25">
      <c r="A83" s="364" t="s">
        <v>560</v>
      </c>
      <c r="B83" s="361" t="s">
        <v>561</v>
      </c>
      <c r="C83" t="s">
        <v>1922</v>
      </c>
      <c r="D83" s="361">
        <v>1</v>
      </c>
      <c r="E83" s="364"/>
      <c r="F83" s="361" t="s">
        <v>1917</v>
      </c>
      <c r="T83" s="361">
        <v>182</v>
      </c>
    </row>
    <row r="84" spans="1:20" x14ac:dyDescent="0.25">
      <c r="A84" s="364" t="s">
        <v>2014</v>
      </c>
      <c r="B84" s="361" t="s">
        <v>2015</v>
      </c>
      <c r="C84" t="s">
        <v>1920</v>
      </c>
      <c r="D84" s="361">
        <v>15</v>
      </c>
      <c r="E84" s="364"/>
      <c r="F84" s="361" t="s">
        <v>1917</v>
      </c>
      <c r="T84" s="361">
        <v>37.299999999999997</v>
      </c>
    </row>
    <row r="85" spans="1:20" x14ac:dyDescent="0.25">
      <c r="A85" s="364" t="s">
        <v>2016</v>
      </c>
      <c r="B85" s="361" t="s">
        <v>2017</v>
      </c>
      <c r="C85" t="s">
        <v>1920</v>
      </c>
      <c r="D85" s="361">
        <v>46</v>
      </c>
      <c r="E85" s="364"/>
      <c r="F85" s="361" t="s">
        <v>1917</v>
      </c>
      <c r="T85" s="361">
        <v>5.6</v>
      </c>
    </row>
    <row r="86" spans="1:20" x14ac:dyDescent="0.25">
      <c r="A86" s="364" t="s">
        <v>2018</v>
      </c>
      <c r="B86" s="361" t="s">
        <v>2019</v>
      </c>
      <c r="C86" t="s">
        <v>1920</v>
      </c>
      <c r="D86" s="361">
        <v>15</v>
      </c>
      <c r="E86" s="364"/>
      <c r="F86" s="361" t="s">
        <v>1917</v>
      </c>
      <c r="T86" s="361">
        <v>49.6</v>
      </c>
    </row>
    <row r="87" spans="1:20" x14ac:dyDescent="0.25">
      <c r="A87" s="364" t="s">
        <v>2020</v>
      </c>
      <c r="B87" s="361" t="s">
        <v>2021</v>
      </c>
      <c r="C87" t="s">
        <v>1920</v>
      </c>
      <c r="D87" s="361">
        <v>26</v>
      </c>
      <c r="E87" s="364"/>
      <c r="F87" s="361" t="s">
        <v>1921</v>
      </c>
      <c r="T87" s="361">
        <v>1.399</v>
      </c>
    </row>
    <row r="88" spans="1:20" x14ac:dyDescent="0.25">
      <c r="A88" s="364" t="s">
        <v>562</v>
      </c>
      <c r="B88" s="361" t="s">
        <v>563</v>
      </c>
      <c r="C88" t="s">
        <v>1922</v>
      </c>
      <c r="D88" s="361">
        <v>97</v>
      </c>
      <c r="E88" s="364"/>
      <c r="F88" s="361" t="s">
        <v>1917</v>
      </c>
      <c r="T88" s="361">
        <v>3.3260000000000001</v>
      </c>
    </row>
    <row r="89" spans="1:20" x14ac:dyDescent="0.25">
      <c r="A89" s="364" t="s">
        <v>564</v>
      </c>
      <c r="B89" s="361" t="s">
        <v>565</v>
      </c>
      <c r="C89" t="s">
        <v>1922</v>
      </c>
      <c r="D89" s="361">
        <v>97</v>
      </c>
      <c r="E89" s="364"/>
      <c r="F89" s="361" t="s">
        <v>2022</v>
      </c>
      <c r="T89" s="361">
        <v>3.2383999999999999</v>
      </c>
    </row>
    <row r="90" spans="1:20" x14ac:dyDescent="0.25">
      <c r="A90" s="364" t="s">
        <v>566</v>
      </c>
      <c r="B90" s="361" t="s">
        <v>567</v>
      </c>
      <c r="C90" t="s">
        <v>1922</v>
      </c>
      <c r="D90" s="361">
        <v>97</v>
      </c>
      <c r="E90" s="364"/>
      <c r="F90" s="361" t="s">
        <v>1921</v>
      </c>
      <c r="T90" s="361">
        <v>203.5</v>
      </c>
    </row>
    <row r="91" spans="1:20" x14ac:dyDescent="0.25">
      <c r="A91" s="364" t="s">
        <v>568</v>
      </c>
      <c r="B91" s="361" t="s">
        <v>569</v>
      </c>
      <c r="C91" t="s">
        <v>1922</v>
      </c>
      <c r="D91" s="361">
        <v>1</v>
      </c>
      <c r="E91" s="364"/>
      <c r="F91" s="361" t="s">
        <v>1921</v>
      </c>
      <c r="T91" s="361">
        <v>78</v>
      </c>
    </row>
    <row r="92" spans="1:20" x14ac:dyDescent="0.25">
      <c r="A92" s="364" t="s">
        <v>570</v>
      </c>
      <c r="B92" s="361" t="s">
        <v>571</v>
      </c>
      <c r="C92" t="s">
        <v>1922</v>
      </c>
      <c r="D92" s="361">
        <v>1</v>
      </c>
      <c r="E92" s="364"/>
      <c r="F92" s="361" t="s">
        <v>1921</v>
      </c>
      <c r="T92" s="361">
        <v>51</v>
      </c>
    </row>
    <row r="93" spans="1:20" x14ac:dyDescent="0.25">
      <c r="A93" s="364" t="s">
        <v>572</v>
      </c>
      <c r="B93" s="361" t="s">
        <v>573</v>
      </c>
      <c r="C93" t="s">
        <v>1922</v>
      </c>
      <c r="D93" s="361">
        <v>1</v>
      </c>
      <c r="E93" s="364"/>
      <c r="F93" s="361" t="s">
        <v>1917</v>
      </c>
      <c r="T93" s="361">
        <v>1.64</v>
      </c>
    </row>
    <row r="94" spans="1:20" x14ac:dyDescent="0.25">
      <c r="A94" s="364" t="s">
        <v>108</v>
      </c>
      <c r="B94" s="361" t="s">
        <v>574</v>
      </c>
      <c r="C94" t="s">
        <v>1922</v>
      </c>
      <c r="D94" s="361">
        <v>1</v>
      </c>
      <c r="E94" s="364"/>
      <c r="F94" s="361" t="s">
        <v>1917</v>
      </c>
      <c r="T94" s="361">
        <v>1.2</v>
      </c>
    </row>
    <row r="95" spans="1:20" x14ac:dyDescent="0.25">
      <c r="A95" s="364" t="s">
        <v>2023</v>
      </c>
      <c r="B95" s="361" t="s">
        <v>2024</v>
      </c>
      <c r="C95" t="s">
        <v>1920</v>
      </c>
      <c r="D95" s="361">
        <v>56</v>
      </c>
      <c r="E95" s="364"/>
      <c r="F95" s="361" t="s">
        <v>1921</v>
      </c>
      <c r="T95" s="361">
        <v>0.83599999999999997</v>
      </c>
    </row>
    <row r="96" spans="1:20" x14ac:dyDescent="0.25">
      <c r="A96" s="364" t="s">
        <v>2025</v>
      </c>
      <c r="B96" s="361" t="s">
        <v>2026</v>
      </c>
      <c r="C96" t="s">
        <v>1920</v>
      </c>
      <c r="D96" s="361">
        <v>41</v>
      </c>
      <c r="E96" s="364"/>
      <c r="F96" s="361" t="s">
        <v>1921</v>
      </c>
      <c r="T96" s="361">
        <v>0.34050999999999998</v>
      </c>
    </row>
    <row r="97" spans="1:20" x14ac:dyDescent="0.25">
      <c r="A97" s="364" t="s">
        <v>2027</v>
      </c>
      <c r="B97" s="361" t="s">
        <v>2028</v>
      </c>
      <c r="C97" t="s">
        <v>1920</v>
      </c>
      <c r="D97" s="361">
        <v>20</v>
      </c>
      <c r="E97" s="364"/>
      <c r="F97" s="361" t="s">
        <v>1921</v>
      </c>
      <c r="T97" s="361">
        <v>0.26</v>
      </c>
    </row>
    <row r="98" spans="1:20" x14ac:dyDescent="0.25">
      <c r="A98" s="364" t="s">
        <v>575</v>
      </c>
      <c r="B98" s="361" t="s">
        <v>576</v>
      </c>
      <c r="C98" t="s">
        <v>1922</v>
      </c>
      <c r="D98" s="361">
        <v>5</v>
      </c>
      <c r="E98" s="364"/>
      <c r="F98" s="361" t="s">
        <v>1917</v>
      </c>
      <c r="T98" s="361">
        <v>8.9</v>
      </c>
    </row>
    <row r="99" spans="1:20" x14ac:dyDescent="0.25">
      <c r="A99" s="364" t="s">
        <v>577</v>
      </c>
      <c r="B99" s="361" t="s">
        <v>578</v>
      </c>
      <c r="C99" t="s">
        <v>1922</v>
      </c>
      <c r="D99" s="361">
        <v>5</v>
      </c>
      <c r="E99" s="364"/>
      <c r="F99" s="361" t="s">
        <v>1917</v>
      </c>
      <c r="T99" s="361">
        <v>179.5</v>
      </c>
    </row>
    <row r="100" spans="1:20" x14ac:dyDescent="0.25">
      <c r="A100" s="364" t="s">
        <v>579</v>
      </c>
      <c r="B100" s="361" t="s">
        <v>580</v>
      </c>
      <c r="C100" t="s">
        <v>1922</v>
      </c>
      <c r="D100" s="361">
        <v>5</v>
      </c>
      <c r="E100" s="364"/>
      <c r="F100" s="361" t="s">
        <v>1917</v>
      </c>
      <c r="T100" s="361">
        <v>9.0500000000000007</v>
      </c>
    </row>
    <row r="101" spans="1:20" x14ac:dyDescent="0.25">
      <c r="A101" s="364" t="s">
        <v>581</v>
      </c>
      <c r="B101" s="361" t="s">
        <v>582</v>
      </c>
      <c r="C101" t="s">
        <v>1922</v>
      </c>
      <c r="D101" s="361">
        <v>5</v>
      </c>
      <c r="E101" s="364"/>
      <c r="F101" s="361" t="s">
        <v>1917</v>
      </c>
      <c r="T101" s="361">
        <v>5.49</v>
      </c>
    </row>
    <row r="102" spans="1:20" x14ac:dyDescent="0.25">
      <c r="A102" s="364" t="s">
        <v>583</v>
      </c>
      <c r="B102" s="361" t="s">
        <v>584</v>
      </c>
      <c r="C102" t="s">
        <v>1922</v>
      </c>
      <c r="D102" s="361">
        <v>5</v>
      </c>
      <c r="E102" s="364"/>
      <c r="F102" s="361" t="s">
        <v>1917</v>
      </c>
      <c r="T102" s="361">
        <v>28.49</v>
      </c>
    </row>
    <row r="103" spans="1:20" x14ac:dyDescent="0.25">
      <c r="A103" s="364" t="s">
        <v>585</v>
      </c>
      <c r="B103" s="361" t="s">
        <v>586</v>
      </c>
      <c r="C103" t="s">
        <v>1916</v>
      </c>
      <c r="D103" s="361">
        <v>2</v>
      </c>
      <c r="E103" s="364"/>
      <c r="F103" s="361" t="s">
        <v>1917</v>
      </c>
      <c r="T103" s="361">
        <v>135.44999999999999</v>
      </c>
    </row>
    <row r="104" spans="1:20" x14ac:dyDescent="0.25">
      <c r="A104" s="364" t="s">
        <v>587</v>
      </c>
      <c r="B104" s="361" t="s">
        <v>588</v>
      </c>
      <c r="C104" t="s">
        <v>1916</v>
      </c>
      <c r="D104" s="361">
        <v>2</v>
      </c>
      <c r="E104" s="364"/>
      <c r="F104" s="361" t="s">
        <v>1917</v>
      </c>
      <c r="T104" s="361">
        <v>115.6014</v>
      </c>
    </row>
    <row r="105" spans="1:20" x14ac:dyDescent="0.25">
      <c r="A105" s="364" t="s">
        <v>589</v>
      </c>
      <c r="B105" s="361" t="s">
        <v>590</v>
      </c>
      <c r="C105" t="s">
        <v>1922</v>
      </c>
      <c r="D105" s="361">
        <v>5</v>
      </c>
      <c r="E105" s="364"/>
      <c r="F105" s="361" t="s">
        <v>1917</v>
      </c>
      <c r="T105" s="361">
        <v>31.46</v>
      </c>
    </row>
    <row r="106" spans="1:20" x14ac:dyDescent="0.25">
      <c r="A106" s="364" t="s">
        <v>591</v>
      </c>
      <c r="B106" s="361" t="s">
        <v>592</v>
      </c>
      <c r="C106" t="s">
        <v>1922</v>
      </c>
      <c r="D106" s="361">
        <v>5</v>
      </c>
      <c r="E106" s="364"/>
      <c r="F106" s="361" t="s">
        <v>1917</v>
      </c>
      <c r="T106" s="361">
        <v>42.33</v>
      </c>
    </row>
    <row r="107" spans="1:20" x14ac:dyDescent="0.25">
      <c r="A107" s="364" t="s">
        <v>2029</v>
      </c>
      <c r="B107" s="361" t="s">
        <v>2030</v>
      </c>
      <c r="C107" t="s">
        <v>1920</v>
      </c>
      <c r="D107" s="361">
        <v>56</v>
      </c>
      <c r="E107" s="364"/>
      <c r="F107" s="361" t="s">
        <v>1921</v>
      </c>
      <c r="T107" s="361">
        <v>0.54400000000000004</v>
      </c>
    </row>
    <row r="108" spans="1:20" x14ac:dyDescent="0.25">
      <c r="A108" s="364" t="s">
        <v>593</v>
      </c>
      <c r="B108" s="361" t="s">
        <v>594</v>
      </c>
      <c r="C108" t="s">
        <v>1922</v>
      </c>
      <c r="D108" s="361">
        <v>5</v>
      </c>
      <c r="E108" s="364"/>
      <c r="F108" s="361" t="s">
        <v>1917</v>
      </c>
      <c r="T108" s="361">
        <v>72</v>
      </c>
    </row>
    <row r="109" spans="1:20" x14ac:dyDescent="0.25">
      <c r="A109" s="364" t="s">
        <v>2031</v>
      </c>
      <c r="B109" s="361" t="s">
        <v>2032</v>
      </c>
      <c r="C109" t="s">
        <v>1920</v>
      </c>
      <c r="D109" s="361">
        <v>41</v>
      </c>
      <c r="E109" s="364"/>
      <c r="F109" s="361" t="s">
        <v>1921</v>
      </c>
      <c r="T109" s="361">
        <v>0.37019999999999997</v>
      </c>
    </row>
    <row r="110" spans="1:20" x14ac:dyDescent="0.25">
      <c r="A110" s="364" t="s">
        <v>2033</v>
      </c>
      <c r="B110" s="361" t="s">
        <v>2034</v>
      </c>
      <c r="C110" t="s">
        <v>1920</v>
      </c>
      <c r="D110" s="361">
        <v>39</v>
      </c>
      <c r="E110" s="364"/>
      <c r="F110" s="361" t="s">
        <v>1917</v>
      </c>
      <c r="T110" s="361">
        <v>4.0999999999999996</v>
      </c>
    </row>
    <row r="111" spans="1:20" x14ac:dyDescent="0.25">
      <c r="A111" s="364" t="s">
        <v>2035</v>
      </c>
      <c r="B111" s="361" t="s">
        <v>2036</v>
      </c>
      <c r="C111" t="s">
        <v>1920</v>
      </c>
      <c r="D111" s="361">
        <v>42</v>
      </c>
      <c r="E111" s="364"/>
      <c r="F111" s="361" t="s">
        <v>1921</v>
      </c>
      <c r="T111" s="361">
        <v>0.08</v>
      </c>
    </row>
    <row r="112" spans="1:20" x14ac:dyDescent="0.25">
      <c r="A112" s="364" t="s">
        <v>2037</v>
      </c>
      <c r="B112" s="361" t="s">
        <v>2038</v>
      </c>
      <c r="C112" t="s">
        <v>1920</v>
      </c>
      <c r="D112" s="361">
        <v>11</v>
      </c>
      <c r="E112" s="364"/>
      <c r="F112" s="361" t="s">
        <v>1921</v>
      </c>
      <c r="T112" s="361">
        <v>0.12640000000000001</v>
      </c>
    </row>
    <row r="113" spans="1:20" x14ac:dyDescent="0.25">
      <c r="A113" s="364" t="s">
        <v>2039</v>
      </c>
      <c r="B113" s="361" t="s">
        <v>2040</v>
      </c>
      <c r="C113" t="s">
        <v>1920</v>
      </c>
      <c r="D113" s="361">
        <v>46</v>
      </c>
      <c r="E113" s="364"/>
      <c r="F113" s="361" t="s">
        <v>1917</v>
      </c>
      <c r="T113" s="361">
        <v>13.39</v>
      </c>
    </row>
    <row r="114" spans="1:20" x14ac:dyDescent="0.25">
      <c r="A114" s="364" t="s">
        <v>2041</v>
      </c>
      <c r="B114" s="361" t="s">
        <v>2042</v>
      </c>
      <c r="C114" t="s">
        <v>1920</v>
      </c>
      <c r="D114" s="361">
        <v>39</v>
      </c>
      <c r="E114" s="364"/>
      <c r="F114" s="361" t="s">
        <v>1921</v>
      </c>
      <c r="T114" s="361">
        <v>4.25</v>
      </c>
    </row>
    <row r="115" spans="1:20" x14ac:dyDescent="0.25">
      <c r="A115" s="364" t="s">
        <v>2043</v>
      </c>
      <c r="B115" s="361" t="s">
        <v>2044</v>
      </c>
      <c r="C115" t="s">
        <v>1920</v>
      </c>
      <c r="D115" s="361">
        <v>39</v>
      </c>
      <c r="E115" s="364"/>
      <c r="F115" s="361" t="s">
        <v>1921</v>
      </c>
      <c r="T115" s="361">
        <v>6.37</v>
      </c>
    </row>
    <row r="116" spans="1:20" x14ac:dyDescent="0.25">
      <c r="A116" s="364" t="s">
        <v>2045</v>
      </c>
      <c r="B116" s="361" t="s">
        <v>2046</v>
      </c>
      <c r="C116" t="s">
        <v>1920</v>
      </c>
      <c r="D116" s="361">
        <v>27</v>
      </c>
      <c r="E116" s="364"/>
      <c r="F116" s="361" t="s">
        <v>1921</v>
      </c>
      <c r="T116" s="361">
        <v>4.83</v>
      </c>
    </row>
    <row r="117" spans="1:20" x14ac:dyDescent="0.25">
      <c r="A117" s="364" t="s">
        <v>2047</v>
      </c>
      <c r="B117" s="361" t="s">
        <v>2048</v>
      </c>
      <c r="C117" t="s">
        <v>1920</v>
      </c>
      <c r="D117" s="361">
        <v>24</v>
      </c>
      <c r="E117" s="364"/>
      <c r="F117" s="361" t="s">
        <v>1921</v>
      </c>
      <c r="T117" s="361">
        <v>8.7599999999999997E-2</v>
      </c>
    </row>
    <row r="118" spans="1:20" x14ac:dyDescent="0.25">
      <c r="A118" s="364" t="s">
        <v>2049</v>
      </c>
      <c r="B118" s="361" t="s">
        <v>2050</v>
      </c>
      <c r="C118" t="s">
        <v>1920</v>
      </c>
      <c r="D118" s="361">
        <v>24</v>
      </c>
      <c r="E118" s="364"/>
      <c r="F118" s="361" t="s">
        <v>1921</v>
      </c>
      <c r="T118" s="361">
        <v>7.7399999999999997E-2</v>
      </c>
    </row>
    <row r="119" spans="1:20" x14ac:dyDescent="0.25">
      <c r="A119" s="364" t="s">
        <v>595</v>
      </c>
      <c r="B119" s="361" t="s">
        <v>596</v>
      </c>
      <c r="C119" t="s">
        <v>1916</v>
      </c>
      <c r="D119" s="361">
        <v>2</v>
      </c>
      <c r="E119" s="364"/>
      <c r="F119" s="361" t="s">
        <v>1917</v>
      </c>
      <c r="T119" s="361">
        <v>370</v>
      </c>
    </row>
    <row r="120" spans="1:20" x14ac:dyDescent="0.25">
      <c r="A120" s="364" t="s">
        <v>597</v>
      </c>
      <c r="B120" s="361" t="s">
        <v>598</v>
      </c>
      <c r="C120" t="s">
        <v>1922</v>
      </c>
      <c r="D120" s="361">
        <v>5</v>
      </c>
      <c r="E120" s="364"/>
      <c r="F120" s="361" t="s">
        <v>1917</v>
      </c>
      <c r="T120" s="361">
        <v>4.5999999999999996</v>
      </c>
    </row>
    <row r="121" spans="1:20" x14ac:dyDescent="0.25">
      <c r="A121" s="364" t="s">
        <v>599</v>
      </c>
      <c r="B121" s="361" t="s">
        <v>600</v>
      </c>
      <c r="C121" t="s">
        <v>1916</v>
      </c>
      <c r="D121" s="361">
        <v>2</v>
      </c>
      <c r="E121" s="364"/>
      <c r="F121" s="361" t="s">
        <v>1917</v>
      </c>
      <c r="T121" s="361">
        <v>883.33333000000005</v>
      </c>
    </row>
    <row r="122" spans="1:20" x14ac:dyDescent="0.25">
      <c r="A122" s="364" t="s">
        <v>271</v>
      </c>
      <c r="B122" s="361" t="s">
        <v>601</v>
      </c>
      <c r="C122" t="s">
        <v>1922</v>
      </c>
      <c r="D122" s="361">
        <v>5</v>
      </c>
      <c r="E122" s="364"/>
      <c r="F122" s="361" t="s">
        <v>1917</v>
      </c>
      <c r="T122" s="361">
        <v>63.25</v>
      </c>
    </row>
    <row r="123" spans="1:20" x14ac:dyDescent="0.25">
      <c r="A123" s="364" t="s">
        <v>184</v>
      </c>
      <c r="B123" s="361" t="s">
        <v>602</v>
      </c>
      <c r="C123" t="s">
        <v>1922</v>
      </c>
      <c r="D123" s="361">
        <v>5</v>
      </c>
      <c r="E123" s="364"/>
      <c r="F123" s="361" t="s">
        <v>1917</v>
      </c>
      <c r="T123" s="361">
        <v>75.17</v>
      </c>
    </row>
    <row r="124" spans="1:20" x14ac:dyDescent="0.25">
      <c r="A124" s="364" t="s">
        <v>603</v>
      </c>
      <c r="B124" s="361" t="s">
        <v>604</v>
      </c>
      <c r="C124" t="s">
        <v>1922</v>
      </c>
      <c r="D124" s="361">
        <v>5</v>
      </c>
      <c r="E124" s="364"/>
      <c r="F124" s="361" t="s">
        <v>1917</v>
      </c>
      <c r="T124" s="361">
        <v>14</v>
      </c>
    </row>
    <row r="125" spans="1:20" x14ac:dyDescent="0.25">
      <c r="A125" s="364" t="s">
        <v>286</v>
      </c>
      <c r="B125" s="361" t="s">
        <v>605</v>
      </c>
      <c r="C125" t="s">
        <v>1922</v>
      </c>
      <c r="D125" s="361">
        <v>5</v>
      </c>
      <c r="E125" s="364"/>
      <c r="F125" s="361" t="s">
        <v>1917</v>
      </c>
      <c r="T125" s="361">
        <v>98.65</v>
      </c>
    </row>
    <row r="126" spans="1:20" x14ac:dyDescent="0.25">
      <c r="A126" s="364" t="s">
        <v>606</v>
      </c>
      <c r="B126" s="361" t="s">
        <v>607</v>
      </c>
      <c r="C126" t="s">
        <v>1922</v>
      </c>
      <c r="D126" s="361">
        <v>5</v>
      </c>
      <c r="E126" s="364"/>
      <c r="F126" s="361" t="s">
        <v>1917</v>
      </c>
      <c r="T126" s="361">
        <v>55.7</v>
      </c>
    </row>
    <row r="127" spans="1:20" x14ac:dyDescent="0.25">
      <c r="A127" s="364" t="s">
        <v>608</v>
      </c>
      <c r="B127" s="361" t="s">
        <v>609</v>
      </c>
      <c r="C127" t="s">
        <v>1922</v>
      </c>
      <c r="D127" s="361">
        <v>5</v>
      </c>
      <c r="E127" s="364"/>
      <c r="F127" s="361" t="s">
        <v>1917</v>
      </c>
      <c r="T127" s="361">
        <v>90.8</v>
      </c>
    </row>
    <row r="128" spans="1:20" x14ac:dyDescent="0.25">
      <c r="A128" s="364" t="s">
        <v>610</v>
      </c>
      <c r="B128" s="361" t="s">
        <v>611</v>
      </c>
      <c r="C128" t="s">
        <v>1922</v>
      </c>
      <c r="D128" s="361">
        <v>90</v>
      </c>
      <c r="E128" s="364"/>
      <c r="F128" s="361" t="s">
        <v>1917</v>
      </c>
      <c r="T128" s="361">
        <v>1.66</v>
      </c>
    </row>
    <row r="129" spans="1:20" x14ac:dyDescent="0.25">
      <c r="A129" s="364" t="s">
        <v>2051</v>
      </c>
      <c r="B129" s="361" t="s">
        <v>2052</v>
      </c>
      <c r="C129" t="s">
        <v>1920</v>
      </c>
      <c r="D129" s="361">
        <v>46</v>
      </c>
      <c r="E129" s="364"/>
      <c r="F129" s="361" t="s">
        <v>1917</v>
      </c>
      <c r="T129" s="361">
        <v>4.3</v>
      </c>
    </row>
    <row r="130" spans="1:20" x14ac:dyDescent="0.25">
      <c r="A130" s="364" t="s">
        <v>2053</v>
      </c>
      <c r="B130" s="361" t="s">
        <v>2054</v>
      </c>
      <c r="C130" t="s">
        <v>1920</v>
      </c>
      <c r="D130" s="361">
        <v>46</v>
      </c>
      <c r="E130" s="364"/>
      <c r="F130" s="361" t="s">
        <v>1917</v>
      </c>
      <c r="T130" s="361">
        <v>4.3</v>
      </c>
    </row>
    <row r="131" spans="1:20" x14ac:dyDescent="0.25">
      <c r="A131" s="364" t="s">
        <v>2055</v>
      </c>
      <c r="B131" s="361" t="s">
        <v>2056</v>
      </c>
      <c r="C131" t="s">
        <v>1920</v>
      </c>
      <c r="D131" s="361">
        <v>41</v>
      </c>
      <c r="E131" s="364"/>
      <c r="F131" s="361" t="s">
        <v>1921</v>
      </c>
      <c r="T131" s="361">
        <v>9.7509999999999999E-2</v>
      </c>
    </row>
    <row r="132" spans="1:20" x14ac:dyDescent="0.25">
      <c r="A132" s="364" t="s">
        <v>2057</v>
      </c>
      <c r="B132" s="361" t="s">
        <v>2058</v>
      </c>
      <c r="C132" t="s">
        <v>1920</v>
      </c>
      <c r="D132" s="361">
        <v>50</v>
      </c>
      <c r="E132" s="364"/>
      <c r="F132" s="361" t="s">
        <v>1921</v>
      </c>
      <c r="T132" s="361">
        <v>3.2399999999999998E-2</v>
      </c>
    </row>
    <row r="133" spans="1:20" x14ac:dyDescent="0.25">
      <c r="A133" s="364" t="s">
        <v>2059</v>
      </c>
      <c r="B133" s="361" t="s">
        <v>2060</v>
      </c>
      <c r="C133" t="s">
        <v>1920</v>
      </c>
      <c r="D133" s="361">
        <v>42</v>
      </c>
      <c r="E133" s="364"/>
      <c r="F133" s="361" t="s">
        <v>1921</v>
      </c>
      <c r="T133" s="361">
        <v>7.3020000000000002E-2</v>
      </c>
    </row>
    <row r="134" spans="1:20" x14ac:dyDescent="0.25">
      <c r="A134" s="364" t="s">
        <v>236</v>
      </c>
      <c r="B134" s="361" t="s">
        <v>612</v>
      </c>
      <c r="C134" t="s">
        <v>1916</v>
      </c>
      <c r="D134" s="361">
        <v>5</v>
      </c>
      <c r="E134" s="364"/>
      <c r="F134" s="361" t="s">
        <v>1917</v>
      </c>
      <c r="T134" s="361">
        <v>198</v>
      </c>
    </row>
    <row r="135" spans="1:20" x14ac:dyDescent="0.25">
      <c r="A135" s="364" t="s">
        <v>613</v>
      </c>
      <c r="B135" s="361" t="s">
        <v>614</v>
      </c>
      <c r="C135" t="s">
        <v>1922</v>
      </c>
      <c r="D135" s="361">
        <v>1</v>
      </c>
      <c r="E135" s="364"/>
      <c r="F135" s="361" t="s">
        <v>1917</v>
      </c>
      <c r="T135" s="361">
        <v>16.2</v>
      </c>
    </row>
    <row r="136" spans="1:20" x14ac:dyDescent="0.25">
      <c r="A136" s="364" t="s">
        <v>2061</v>
      </c>
      <c r="B136" s="361" t="s">
        <v>2062</v>
      </c>
      <c r="C136" t="s">
        <v>1920</v>
      </c>
      <c r="D136" s="361">
        <v>56</v>
      </c>
      <c r="E136" s="364"/>
      <c r="F136" s="361" t="s">
        <v>1921</v>
      </c>
      <c r="T136" s="361">
        <v>1.3660000000000001</v>
      </c>
    </row>
    <row r="137" spans="1:20" x14ac:dyDescent="0.25">
      <c r="A137" s="364" t="s">
        <v>2063</v>
      </c>
      <c r="B137" s="361" t="s">
        <v>2064</v>
      </c>
      <c r="C137" t="s">
        <v>1920</v>
      </c>
      <c r="D137" s="361">
        <v>56</v>
      </c>
      <c r="E137" s="364"/>
      <c r="F137" s="361" t="s">
        <v>1921</v>
      </c>
      <c r="T137" s="361">
        <v>0.73199999999999998</v>
      </c>
    </row>
    <row r="138" spans="1:20" x14ac:dyDescent="0.25">
      <c r="A138" s="364" t="s">
        <v>615</v>
      </c>
      <c r="B138" s="361" t="s">
        <v>616</v>
      </c>
      <c r="C138" t="s">
        <v>1916</v>
      </c>
      <c r="D138" s="361">
        <v>2</v>
      </c>
      <c r="E138" s="364"/>
      <c r="F138" s="361" t="s">
        <v>1917</v>
      </c>
      <c r="T138" s="361">
        <v>320.91667000000001</v>
      </c>
    </row>
    <row r="139" spans="1:20" x14ac:dyDescent="0.25">
      <c r="A139" s="364" t="s">
        <v>617</v>
      </c>
      <c r="B139" s="361" t="s">
        <v>618</v>
      </c>
      <c r="C139" t="s">
        <v>1916</v>
      </c>
      <c r="D139" s="361">
        <v>2</v>
      </c>
      <c r="E139" s="364"/>
      <c r="F139" s="361" t="s">
        <v>1917</v>
      </c>
      <c r="T139" s="361">
        <v>136</v>
      </c>
    </row>
    <row r="140" spans="1:20" x14ac:dyDescent="0.25">
      <c r="A140" s="364" t="s">
        <v>619</v>
      </c>
      <c r="B140" s="361" t="s">
        <v>620</v>
      </c>
      <c r="C140" t="s">
        <v>1922</v>
      </c>
      <c r="D140" s="361">
        <v>5</v>
      </c>
      <c r="E140" s="364"/>
      <c r="F140" s="361" t="s">
        <v>1917</v>
      </c>
      <c r="T140" s="361">
        <v>5.55</v>
      </c>
    </row>
    <row r="141" spans="1:20" x14ac:dyDescent="0.25">
      <c r="A141" s="364" t="s">
        <v>2065</v>
      </c>
      <c r="B141" s="361" t="s">
        <v>2066</v>
      </c>
      <c r="C141" t="s">
        <v>1920</v>
      </c>
      <c r="D141" s="361">
        <v>45</v>
      </c>
      <c r="E141" s="364"/>
      <c r="F141" s="361" t="s">
        <v>1917</v>
      </c>
      <c r="T141" s="361">
        <v>20.6</v>
      </c>
    </row>
    <row r="142" spans="1:20" x14ac:dyDescent="0.25">
      <c r="A142" s="364" t="s">
        <v>2067</v>
      </c>
      <c r="B142" s="361" t="s">
        <v>2068</v>
      </c>
      <c r="C142" t="s">
        <v>1920</v>
      </c>
      <c r="D142" s="361">
        <v>26</v>
      </c>
      <c r="E142" s="364"/>
      <c r="F142" s="361" t="s">
        <v>1921</v>
      </c>
      <c r="T142" s="361">
        <v>1.089</v>
      </c>
    </row>
    <row r="143" spans="1:20" x14ac:dyDescent="0.25">
      <c r="A143" s="364" t="s">
        <v>2069</v>
      </c>
      <c r="B143" s="361" t="s">
        <v>2070</v>
      </c>
      <c r="C143" t="s">
        <v>1920</v>
      </c>
      <c r="D143" s="361">
        <v>24</v>
      </c>
      <c r="E143" s="364"/>
      <c r="F143" s="361" t="s">
        <v>1921</v>
      </c>
      <c r="T143" s="361">
        <v>7.4779999999999999E-2</v>
      </c>
    </row>
    <row r="144" spans="1:20" x14ac:dyDescent="0.25">
      <c r="A144" s="364" t="s">
        <v>621</v>
      </c>
      <c r="B144" s="361" t="s">
        <v>622</v>
      </c>
      <c r="C144" t="s">
        <v>1916</v>
      </c>
      <c r="D144" s="361">
        <v>2</v>
      </c>
      <c r="E144" s="364"/>
      <c r="F144" s="361" t="s">
        <v>1917</v>
      </c>
      <c r="T144" s="361">
        <v>4670</v>
      </c>
    </row>
    <row r="145" spans="1:20" x14ac:dyDescent="0.25">
      <c r="A145" s="364" t="s">
        <v>2071</v>
      </c>
      <c r="B145" s="361" t="s">
        <v>2072</v>
      </c>
      <c r="C145" t="s">
        <v>1920</v>
      </c>
      <c r="D145" s="361">
        <v>20</v>
      </c>
      <c r="E145" s="364"/>
      <c r="F145" s="361" t="s">
        <v>1921</v>
      </c>
      <c r="T145" s="361">
        <v>3.2300000000000002E-2</v>
      </c>
    </row>
    <row r="146" spans="1:20" x14ac:dyDescent="0.25">
      <c r="A146" s="364" t="s">
        <v>2073</v>
      </c>
      <c r="B146" s="361" t="s">
        <v>2074</v>
      </c>
      <c r="C146" t="s">
        <v>1920</v>
      </c>
      <c r="D146" s="361">
        <v>15</v>
      </c>
      <c r="E146" s="364"/>
      <c r="F146" s="361" t="s">
        <v>1917</v>
      </c>
      <c r="T146" s="361">
        <v>31.5</v>
      </c>
    </row>
    <row r="147" spans="1:20" x14ac:dyDescent="0.25">
      <c r="A147" s="364" t="s">
        <v>2075</v>
      </c>
      <c r="B147" s="361" t="s">
        <v>2076</v>
      </c>
      <c r="C147" t="s">
        <v>1920</v>
      </c>
      <c r="D147" s="361">
        <v>24</v>
      </c>
      <c r="E147" s="364"/>
      <c r="F147" s="361" t="s">
        <v>1921</v>
      </c>
      <c r="T147" s="361">
        <v>4.5069999999999999E-2</v>
      </c>
    </row>
    <row r="148" spans="1:20" x14ac:dyDescent="0.25">
      <c r="A148" s="364" t="s">
        <v>2077</v>
      </c>
      <c r="B148" s="361" t="s">
        <v>2078</v>
      </c>
      <c r="C148" t="s">
        <v>1920</v>
      </c>
      <c r="D148" s="361">
        <v>15</v>
      </c>
      <c r="E148" s="364"/>
      <c r="F148" s="361" t="s">
        <v>1917</v>
      </c>
      <c r="T148" s="361">
        <v>28.8</v>
      </c>
    </row>
    <row r="149" spans="1:20" x14ac:dyDescent="0.25">
      <c r="A149" s="364" t="s">
        <v>623</v>
      </c>
      <c r="B149" s="361" t="s">
        <v>624</v>
      </c>
      <c r="C149" t="s">
        <v>1922</v>
      </c>
      <c r="D149" s="361">
        <v>1</v>
      </c>
      <c r="E149" s="364"/>
      <c r="F149" s="361" t="s">
        <v>1917</v>
      </c>
      <c r="T149" s="361">
        <v>96.92</v>
      </c>
    </row>
    <row r="150" spans="1:20" x14ac:dyDescent="0.25">
      <c r="A150" s="364" t="s">
        <v>2079</v>
      </c>
      <c r="B150" s="361" t="s">
        <v>2080</v>
      </c>
      <c r="C150" t="s">
        <v>1920</v>
      </c>
      <c r="D150" s="361">
        <v>20</v>
      </c>
      <c r="E150" s="364"/>
      <c r="F150" s="361" t="s">
        <v>1921</v>
      </c>
      <c r="T150" s="361">
        <v>3.2300000000000002E-2</v>
      </c>
    </row>
    <row r="151" spans="1:20" x14ac:dyDescent="0.25">
      <c r="A151" s="364" t="s">
        <v>625</v>
      </c>
      <c r="B151" s="361" t="s">
        <v>626</v>
      </c>
      <c r="C151" t="s">
        <v>1922</v>
      </c>
      <c r="D151" s="361">
        <v>3</v>
      </c>
      <c r="E151" s="364"/>
      <c r="F151" s="361" t="s">
        <v>1917</v>
      </c>
      <c r="T151" s="361">
        <v>82.02</v>
      </c>
    </row>
    <row r="152" spans="1:20" x14ac:dyDescent="0.25">
      <c r="A152" s="364" t="s">
        <v>627</v>
      </c>
      <c r="B152" s="361" t="s">
        <v>628</v>
      </c>
      <c r="C152" t="s">
        <v>1916</v>
      </c>
      <c r="D152" s="361">
        <v>3</v>
      </c>
      <c r="E152" s="364"/>
      <c r="F152" s="361" t="s">
        <v>1917</v>
      </c>
      <c r="T152" s="361">
        <v>22.35</v>
      </c>
    </row>
    <row r="153" spans="1:20" x14ac:dyDescent="0.25">
      <c r="A153" s="364" t="s">
        <v>2081</v>
      </c>
      <c r="B153" s="361" t="s">
        <v>2082</v>
      </c>
      <c r="C153" t="s">
        <v>1920</v>
      </c>
      <c r="D153" s="361">
        <v>26</v>
      </c>
      <c r="E153" s="364"/>
      <c r="F153" s="361" t="s">
        <v>1921</v>
      </c>
      <c r="T153" s="361">
        <v>1.014</v>
      </c>
    </row>
    <row r="154" spans="1:20" x14ac:dyDescent="0.25">
      <c r="A154" s="364" t="s">
        <v>2083</v>
      </c>
      <c r="B154" s="361" t="s">
        <v>2084</v>
      </c>
      <c r="C154" t="s">
        <v>1920</v>
      </c>
      <c r="D154" s="361">
        <v>26</v>
      </c>
      <c r="E154" s="364"/>
      <c r="F154" s="361" t="s">
        <v>1921</v>
      </c>
      <c r="T154" s="361">
        <v>0.70199999999999996</v>
      </c>
    </row>
    <row r="155" spans="1:20" x14ac:dyDescent="0.25">
      <c r="A155" s="364" t="s">
        <v>629</v>
      </c>
      <c r="B155" s="361" t="s">
        <v>630</v>
      </c>
      <c r="C155" t="s">
        <v>1916</v>
      </c>
      <c r="D155" s="361">
        <v>3</v>
      </c>
      <c r="E155" s="364"/>
      <c r="F155" s="361" t="s">
        <v>1917</v>
      </c>
      <c r="T155" s="361">
        <v>312.55667</v>
      </c>
    </row>
    <row r="156" spans="1:20" x14ac:dyDescent="0.25">
      <c r="A156" s="364" t="s">
        <v>631</v>
      </c>
      <c r="B156" s="361" t="s">
        <v>632</v>
      </c>
      <c r="C156" t="s">
        <v>1922</v>
      </c>
      <c r="D156" s="361">
        <v>1</v>
      </c>
      <c r="E156" s="364"/>
      <c r="F156" s="361" t="s">
        <v>1917</v>
      </c>
      <c r="T156" s="361">
        <v>64.89</v>
      </c>
    </row>
    <row r="157" spans="1:20" x14ac:dyDescent="0.25">
      <c r="A157" s="364" t="s">
        <v>633</v>
      </c>
      <c r="B157" s="361" t="s">
        <v>634</v>
      </c>
      <c r="C157" t="s">
        <v>1922</v>
      </c>
      <c r="D157" s="361">
        <v>1</v>
      </c>
      <c r="E157" s="364"/>
      <c r="F157" s="361" t="s">
        <v>1917</v>
      </c>
      <c r="T157" s="361">
        <v>1.49</v>
      </c>
    </row>
    <row r="158" spans="1:20" x14ac:dyDescent="0.25">
      <c r="A158" s="364" t="s">
        <v>2085</v>
      </c>
      <c r="B158" s="361" t="s">
        <v>2086</v>
      </c>
      <c r="C158" t="s">
        <v>1920</v>
      </c>
      <c r="D158" s="361">
        <v>42</v>
      </c>
      <c r="E158" s="364"/>
      <c r="F158" s="361" t="s">
        <v>1921</v>
      </c>
      <c r="T158" s="361">
        <v>8.6989999999999998E-2</v>
      </c>
    </row>
    <row r="159" spans="1:20" x14ac:dyDescent="0.25">
      <c r="A159" s="364" t="s">
        <v>635</v>
      </c>
      <c r="B159" s="361" t="s">
        <v>636</v>
      </c>
      <c r="C159" t="s">
        <v>1922</v>
      </c>
      <c r="D159" s="361">
        <v>5</v>
      </c>
      <c r="E159" s="364"/>
      <c r="F159" s="361" t="s">
        <v>1917</v>
      </c>
      <c r="T159" s="361">
        <v>144.41999999999999</v>
      </c>
    </row>
    <row r="160" spans="1:20" x14ac:dyDescent="0.25">
      <c r="A160" s="364" t="s">
        <v>637</v>
      </c>
      <c r="B160" s="361" t="s">
        <v>638</v>
      </c>
      <c r="C160" t="s">
        <v>1922</v>
      </c>
      <c r="D160" s="361">
        <v>5</v>
      </c>
      <c r="E160" s="364"/>
      <c r="F160" s="361" t="s">
        <v>1917</v>
      </c>
      <c r="T160" s="361">
        <v>153.85</v>
      </c>
    </row>
    <row r="161" spans="1:20" x14ac:dyDescent="0.25">
      <c r="A161" s="364" t="s">
        <v>2087</v>
      </c>
      <c r="B161" s="361" t="s">
        <v>2088</v>
      </c>
      <c r="C161" t="s">
        <v>1920</v>
      </c>
      <c r="D161" s="361">
        <v>26</v>
      </c>
      <c r="E161" s="364"/>
      <c r="F161" s="361" t="s">
        <v>1921</v>
      </c>
      <c r="T161" s="361">
        <v>0.95499999999999996</v>
      </c>
    </row>
    <row r="162" spans="1:20" x14ac:dyDescent="0.25">
      <c r="A162" s="364" t="s">
        <v>2089</v>
      </c>
      <c r="B162" s="361" t="s">
        <v>2090</v>
      </c>
      <c r="C162" t="s">
        <v>1920</v>
      </c>
      <c r="D162" s="361">
        <v>20</v>
      </c>
      <c r="E162" s="364"/>
      <c r="F162" s="361" t="s">
        <v>1921</v>
      </c>
      <c r="T162" s="361">
        <v>3.2300000000000002E-2</v>
      </c>
    </row>
    <row r="163" spans="1:20" x14ac:dyDescent="0.25">
      <c r="A163" s="364" t="s">
        <v>2091</v>
      </c>
      <c r="B163" s="361" t="s">
        <v>2092</v>
      </c>
      <c r="C163" t="s">
        <v>1920</v>
      </c>
      <c r="D163" s="361">
        <v>20</v>
      </c>
      <c r="E163" s="364"/>
      <c r="F163" s="361" t="s">
        <v>1921</v>
      </c>
      <c r="T163" s="361">
        <v>3.2300000000000002E-2</v>
      </c>
    </row>
    <row r="164" spans="1:20" x14ac:dyDescent="0.25">
      <c r="A164" s="364" t="s">
        <v>639</v>
      </c>
      <c r="B164" s="361" t="s">
        <v>640</v>
      </c>
      <c r="C164" t="s">
        <v>1922</v>
      </c>
      <c r="D164" s="361">
        <v>5</v>
      </c>
      <c r="E164" s="364"/>
      <c r="F164" s="361" t="s">
        <v>1917</v>
      </c>
      <c r="T164" s="361">
        <v>5.25</v>
      </c>
    </row>
    <row r="165" spans="1:20" x14ac:dyDescent="0.25">
      <c r="A165" s="364" t="s">
        <v>641</v>
      </c>
      <c r="B165" s="361" t="s">
        <v>642</v>
      </c>
      <c r="C165" t="s">
        <v>1922</v>
      </c>
      <c r="D165" s="361">
        <v>90</v>
      </c>
      <c r="E165" s="364"/>
      <c r="F165" s="361" t="s">
        <v>1917</v>
      </c>
      <c r="T165" s="361">
        <v>29.5</v>
      </c>
    </row>
    <row r="166" spans="1:20" x14ac:dyDescent="0.25">
      <c r="A166" s="364" t="s">
        <v>643</v>
      </c>
      <c r="B166" s="361" t="s">
        <v>644</v>
      </c>
      <c r="C166" t="s">
        <v>1922</v>
      </c>
      <c r="D166" s="361">
        <v>1</v>
      </c>
      <c r="E166" s="364"/>
      <c r="F166" s="361" t="s">
        <v>1917</v>
      </c>
      <c r="T166" s="361">
        <v>128</v>
      </c>
    </row>
    <row r="167" spans="1:20" x14ac:dyDescent="0.25">
      <c r="A167" s="364" t="s">
        <v>2093</v>
      </c>
      <c r="B167" s="361" t="s">
        <v>2094</v>
      </c>
      <c r="C167" t="s">
        <v>2095</v>
      </c>
      <c r="D167" s="361" t="s">
        <v>2096</v>
      </c>
      <c r="E167" s="364"/>
      <c r="F167" s="361" t="s">
        <v>1921</v>
      </c>
      <c r="T167" s="361">
        <v>1E-4</v>
      </c>
    </row>
    <row r="168" spans="1:20" x14ac:dyDescent="0.25">
      <c r="A168" s="364" t="s">
        <v>2097</v>
      </c>
      <c r="B168" s="361" t="s">
        <v>2098</v>
      </c>
      <c r="C168" t="s">
        <v>1920</v>
      </c>
      <c r="D168" s="361">
        <v>45</v>
      </c>
      <c r="E168" s="364"/>
      <c r="F168" s="361" t="s">
        <v>1917</v>
      </c>
      <c r="T168" s="361">
        <v>49.6</v>
      </c>
    </row>
    <row r="169" spans="1:20" x14ac:dyDescent="0.25">
      <c r="A169" s="364" t="s">
        <v>2099</v>
      </c>
      <c r="B169" s="361" t="s">
        <v>2100</v>
      </c>
      <c r="C169" t="s">
        <v>1920</v>
      </c>
      <c r="D169" s="361">
        <v>46</v>
      </c>
      <c r="E169" s="364"/>
      <c r="F169" s="361" t="s">
        <v>1917</v>
      </c>
      <c r="T169" s="361">
        <v>4.0999999999999996</v>
      </c>
    </row>
    <row r="170" spans="1:20" x14ac:dyDescent="0.25">
      <c r="A170" s="364" t="s">
        <v>645</v>
      </c>
      <c r="B170" s="361" t="s">
        <v>646</v>
      </c>
      <c r="C170" t="s">
        <v>1916</v>
      </c>
      <c r="D170" s="361">
        <v>2</v>
      </c>
      <c r="E170" s="364"/>
      <c r="F170" s="361" t="s">
        <v>1917</v>
      </c>
      <c r="T170" s="361">
        <v>540</v>
      </c>
    </row>
    <row r="171" spans="1:20" x14ac:dyDescent="0.25">
      <c r="A171" s="364" t="s">
        <v>2101</v>
      </c>
      <c r="B171" s="361" t="s">
        <v>2102</v>
      </c>
      <c r="C171" t="s">
        <v>1920</v>
      </c>
      <c r="D171" s="361">
        <v>24</v>
      </c>
      <c r="E171" s="364"/>
      <c r="F171" s="361" t="s">
        <v>1921</v>
      </c>
      <c r="T171" s="361">
        <v>0.14208999999999999</v>
      </c>
    </row>
    <row r="172" spans="1:20" x14ac:dyDescent="0.25">
      <c r="A172" s="364" t="s">
        <v>2103</v>
      </c>
      <c r="B172" s="361" t="s">
        <v>2104</v>
      </c>
      <c r="C172" t="s">
        <v>1920</v>
      </c>
      <c r="D172" s="361">
        <v>24</v>
      </c>
      <c r="E172" s="364"/>
      <c r="F172" s="361" t="s">
        <v>1921</v>
      </c>
      <c r="T172" s="361">
        <v>8.5500000000000007E-2</v>
      </c>
    </row>
    <row r="173" spans="1:20" x14ac:dyDescent="0.25">
      <c r="A173" s="364" t="s">
        <v>2105</v>
      </c>
      <c r="B173" s="361" t="s">
        <v>2106</v>
      </c>
      <c r="C173" t="s">
        <v>1920</v>
      </c>
      <c r="D173" s="361">
        <v>54</v>
      </c>
      <c r="E173" s="364"/>
      <c r="F173" s="361" t="s">
        <v>1921</v>
      </c>
      <c r="T173" s="361">
        <v>0.12590000000000001</v>
      </c>
    </row>
    <row r="174" spans="1:20" x14ac:dyDescent="0.25">
      <c r="A174" s="364" t="s">
        <v>2107</v>
      </c>
      <c r="B174" s="361" t="s">
        <v>2108</v>
      </c>
      <c r="C174" t="s">
        <v>1920</v>
      </c>
      <c r="D174" s="361">
        <v>20</v>
      </c>
      <c r="E174" s="364"/>
      <c r="F174" s="361" t="s">
        <v>1921</v>
      </c>
      <c r="T174" s="361">
        <v>3.2300000000000002E-2</v>
      </c>
    </row>
    <row r="175" spans="1:20" x14ac:dyDescent="0.25">
      <c r="A175" s="364" t="s">
        <v>2109</v>
      </c>
      <c r="B175" s="361" t="s">
        <v>2110</v>
      </c>
      <c r="C175" t="s">
        <v>1920</v>
      </c>
      <c r="D175" s="361">
        <v>24</v>
      </c>
      <c r="E175" s="364"/>
      <c r="F175" s="361" t="s">
        <v>1921</v>
      </c>
      <c r="T175" s="361">
        <v>9.4320000000000001E-2</v>
      </c>
    </row>
    <row r="176" spans="1:20" x14ac:dyDescent="0.25">
      <c r="A176" s="364" t="s">
        <v>192</v>
      </c>
      <c r="B176" s="361" t="s">
        <v>647</v>
      </c>
      <c r="C176" t="s">
        <v>1916</v>
      </c>
      <c r="D176" s="361">
        <v>2</v>
      </c>
      <c r="E176" s="364"/>
      <c r="F176" s="361" t="s">
        <v>1917</v>
      </c>
      <c r="T176" s="361">
        <v>268.75</v>
      </c>
    </row>
    <row r="177" spans="1:20" x14ac:dyDescent="0.25">
      <c r="A177" s="364" t="s">
        <v>14</v>
      </c>
      <c r="B177" s="361" t="s">
        <v>648</v>
      </c>
      <c r="C177" t="s">
        <v>1922</v>
      </c>
      <c r="D177" s="361">
        <v>1</v>
      </c>
      <c r="E177" s="364"/>
      <c r="F177" s="361" t="s">
        <v>1917</v>
      </c>
      <c r="T177" s="361">
        <v>5.6</v>
      </c>
    </row>
    <row r="178" spans="1:20" x14ac:dyDescent="0.25">
      <c r="A178" s="364" t="s">
        <v>2111</v>
      </c>
      <c r="B178" s="361" t="s">
        <v>2112</v>
      </c>
      <c r="C178" t="s">
        <v>1920</v>
      </c>
      <c r="D178" s="361">
        <v>26</v>
      </c>
      <c r="E178" s="364"/>
      <c r="F178" s="361" t="s">
        <v>1921</v>
      </c>
      <c r="T178" s="361">
        <v>0.85399999999999998</v>
      </c>
    </row>
    <row r="179" spans="1:20" x14ac:dyDescent="0.25">
      <c r="A179" s="364" t="s">
        <v>255</v>
      </c>
      <c r="B179" s="361" t="s">
        <v>649</v>
      </c>
      <c r="C179" t="s">
        <v>1922</v>
      </c>
      <c r="D179" s="361">
        <v>5</v>
      </c>
      <c r="E179" s="364"/>
      <c r="F179" s="361" t="s">
        <v>1917</v>
      </c>
      <c r="T179" s="361">
        <v>75.81</v>
      </c>
    </row>
    <row r="180" spans="1:20" x14ac:dyDescent="0.25">
      <c r="A180" s="364" t="s">
        <v>2113</v>
      </c>
      <c r="B180" s="361" t="s">
        <v>2114</v>
      </c>
      <c r="C180" t="s">
        <v>1920</v>
      </c>
      <c r="D180" s="361">
        <v>15</v>
      </c>
      <c r="E180" s="364"/>
      <c r="F180" s="361" t="s">
        <v>1917</v>
      </c>
      <c r="T180" s="361">
        <v>49.6</v>
      </c>
    </row>
    <row r="181" spans="1:20" x14ac:dyDescent="0.25">
      <c r="A181" s="364" t="s">
        <v>2115</v>
      </c>
      <c r="B181" s="361" t="s">
        <v>2116</v>
      </c>
      <c r="C181" t="s">
        <v>1920</v>
      </c>
      <c r="D181" s="361">
        <v>24</v>
      </c>
      <c r="E181" s="364"/>
      <c r="F181" s="361" t="s">
        <v>1921</v>
      </c>
      <c r="T181" s="361">
        <v>6.3700000000000007E-2</v>
      </c>
    </row>
    <row r="182" spans="1:20" x14ac:dyDescent="0.25">
      <c r="A182" s="364" t="s">
        <v>2117</v>
      </c>
      <c r="B182" s="361" t="s">
        <v>2118</v>
      </c>
      <c r="C182">
        <v>2</v>
      </c>
      <c r="D182" s="361">
        <v>97</v>
      </c>
      <c r="E182" s="364"/>
      <c r="F182" s="361" t="s">
        <v>1921</v>
      </c>
      <c r="T182" s="361">
        <v>1111</v>
      </c>
    </row>
    <row r="183" spans="1:20" x14ac:dyDescent="0.25">
      <c r="A183" s="364" t="s">
        <v>2119</v>
      </c>
      <c r="B183" s="361" t="s">
        <v>2120</v>
      </c>
      <c r="C183">
        <v>2</v>
      </c>
      <c r="D183" s="361">
        <v>97</v>
      </c>
      <c r="E183" s="364"/>
      <c r="F183" s="361" t="s">
        <v>1921</v>
      </c>
      <c r="T183" s="361">
        <v>51.7</v>
      </c>
    </row>
    <row r="184" spans="1:20" x14ac:dyDescent="0.25">
      <c r="A184" s="364" t="s">
        <v>2121</v>
      </c>
      <c r="B184" s="361" t="s">
        <v>2122</v>
      </c>
      <c r="C184">
        <v>2</v>
      </c>
      <c r="D184" s="361">
        <v>97</v>
      </c>
      <c r="E184" s="364"/>
      <c r="F184" s="361" t="s">
        <v>1921</v>
      </c>
      <c r="T184" s="361">
        <v>47.4</v>
      </c>
    </row>
    <row r="185" spans="1:20" x14ac:dyDescent="0.25">
      <c r="A185" s="364" t="s">
        <v>2123</v>
      </c>
      <c r="B185" s="361" t="s">
        <v>2124</v>
      </c>
      <c r="C185">
        <v>2</v>
      </c>
      <c r="D185" s="361">
        <v>97</v>
      </c>
      <c r="E185" s="364"/>
      <c r="F185" s="361" t="s">
        <v>1921</v>
      </c>
      <c r="T185" s="361">
        <v>28.1</v>
      </c>
    </row>
    <row r="186" spans="1:20" x14ac:dyDescent="0.25">
      <c r="A186" s="364" t="s">
        <v>2125</v>
      </c>
      <c r="B186" s="361" t="s">
        <v>2126</v>
      </c>
      <c r="C186" t="s">
        <v>1920</v>
      </c>
      <c r="D186" s="361">
        <v>33</v>
      </c>
      <c r="E186" s="364"/>
      <c r="F186" s="361" t="s">
        <v>1917</v>
      </c>
      <c r="T186" s="361">
        <v>3.7</v>
      </c>
    </row>
    <row r="187" spans="1:20" x14ac:dyDescent="0.25">
      <c r="A187" s="364" t="s">
        <v>2127</v>
      </c>
      <c r="B187" s="361" t="s">
        <v>2128</v>
      </c>
      <c r="C187" t="s">
        <v>1920</v>
      </c>
      <c r="D187" s="361">
        <v>56</v>
      </c>
      <c r="E187" s="364"/>
      <c r="F187" s="361" t="s">
        <v>1921</v>
      </c>
      <c r="T187" s="361">
        <v>0.57099999999999995</v>
      </c>
    </row>
    <row r="188" spans="1:20" x14ac:dyDescent="0.25">
      <c r="A188" s="364" t="s">
        <v>2129</v>
      </c>
      <c r="B188" s="361" t="s">
        <v>2130</v>
      </c>
      <c r="C188" t="s">
        <v>1920</v>
      </c>
      <c r="D188" s="361">
        <v>24</v>
      </c>
      <c r="E188" s="364"/>
      <c r="F188" s="361" t="s">
        <v>1921</v>
      </c>
      <c r="T188" s="361">
        <v>0.27300000000000002</v>
      </c>
    </row>
    <row r="189" spans="1:20" x14ac:dyDescent="0.25">
      <c r="A189" s="364" t="s">
        <v>2131</v>
      </c>
      <c r="B189" s="361" t="s">
        <v>2132</v>
      </c>
      <c r="C189" t="s">
        <v>1920</v>
      </c>
      <c r="D189" s="361">
        <v>50</v>
      </c>
      <c r="E189" s="364"/>
      <c r="F189" s="361" t="s">
        <v>1921</v>
      </c>
      <c r="T189" s="361">
        <v>5.1200000000000002E-2</v>
      </c>
    </row>
    <row r="190" spans="1:20" x14ac:dyDescent="0.25">
      <c r="A190" s="364" t="s">
        <v>2133</v>
      </c>
      <c r="B190" s="361" t="s">
        <v>2134</v>
      </c>
      <c r="C190" t="s">
        <v>1920</v>
      </c>
      <c r="D190" s="361">
        <v>22</v>
      </c>
      <c r="E190" s="364"/>
      <c r="F190" s="361" t="s">
        <v>1921</v>
      </c>
      <c r="T190" s="361">
        <v>0.17699999999999999</v>
      </c>
    </row>
    <row r="191" spans="1:20" x14ac:dyDescent="0.25">
      <c r="A191" s="364" t="s">
        <v>2135</v>
      </c>
      <c r="B191" s="361" t="s">
        <v>2136</v>
      </c>
      <c r="C191" t="s">
        <v>1920</v>
      </c>
      <c r="D191" s="361">
        <v>24</v>
      </c>
      <c r="E191" s="364"/>
      <c r="F191" s="361" t="s">
        <v>1921</v>
      </c>
      <c r="T191" s="361">
        <v>0.54</v>
      </c>
    </row>
    <row r="192" spans="1:20" x14ac:dyDescent="0.25">
      <c r="A192" s="364" t="s">
        <v>2137</v>
      </c>
      <c r="B192" s="361" t="s">
        <v>2138</v>
      </c>
      <c r="C192" t="s">
        <v>2095</v>
      </c>
      <c r="D192" s="361">
        <v>95</v>
      </c>
      <c r="E192" s="364"/>
      <c r="F192" s="361" t="s">
        <v>1921</v>
      </c>
      <c r="T192" s="361">
        <v>1.0000000000000001E-5</v>
      </c>
    </row>
    <row r="193" spans="1:20" x14ac:dyDescent="0.25">
      <c r="A193" s="364" t="s">
        <v>290</v>
      </c>
      <c r="B193" s="361" t="s">
        <v>650</v>
      </c>
      <c r="C193" t="s">
        <v>1922</v>
      </c>
      <c r="D193" s="361">
        <v>1</v>
      </c>
      <c r="E193" s="364"/>
      <c r="F193" s="361" t="s">
        <v>1917</v>
      </c>
      <c r="T193" s="361">
        <v>65</v>
      </c>
    </row>
    <row r="194" spans="1:20" x14ac:dyDescent="0.25">
      <c r="A194" s="364" t="s">
        <v>261</v>
      </c>
      <c r="B194" s="361" t="s">
        <v>651</v>
      </c>
      <c r="C194" t="s">
        <v>1922</v>
      </c>
      <c r="D194" s="361">
        <v>1</v>
      </c>
      <c r="E194" s="364"/>
      <c r="F194" s="361" t="s">
        <v>1917</v>
      </c>
      <c r="T194" s="361">
        <v>51.89</v>
      </c>
    </row>
    <row r="195" spans="1:20" x14ac:dyDescent="0.25">
      <c r="A195" s="364" t="s">
        <v>142</v>
      </c>
      <c r="B195" s="361" t="s">
        <v>652</v>
      </c>
      <c r="C195" t="s">
        <v>1922</v>
      </c>
      <c r="D195" s="361">
        <v>5</v>
      </c>
      <c r="E195" s="364"/>
      <c r="F195" s="361" t="s">
        <v>1917</v>
      </c>
      <c r="T195" s="361">
        <v>1205</v>
      </c>
    </row>
    <row r="196" spans="1:20" x14ac:dyDescent="0.25">
      <c r="A196" s="364" t="s">
        <v>170</v>
      </c>
      <c r="B196" s="361" t="s">
        <v>653</v>
      </c>
      <c r="C196" t="s">
        <v>1916</v>
      </c>
      <c r="D196" s="361">
        <v>2</v>
      </c>
      <c r="E196" s="364"/>
      <c r="F196" s="361" t="s">
        <v>1917</v>
      </c>
      <c r="T196" s="361">
        <v>120.83333</v>
      </c>
    </row>
    <row r="197" spans="1:20" x14ac:dyDescent="0.25">
      <c r="A197" s="364" t="s">
        <v>2139</v>
      </c>
      <c r="B197" s="361" t="s">
        <v>2140</v>
      </c>
      <c r="C197" t="s">
        <v>1920</v>
      </c>
      <c r="D197" s="361">
        <v>15</v>
      </c>
      <c r="E197" s="364"/>
      <c r="F197" s="361" t="s">
        <v>1917</v>
      </c>
      <c r="T197" s="361">
        <v>32.5</v>
      </c>
    </row>
    <row r="198" spans="1:20" x14ac:dyDescent="0.25">
      <c r="A198" s="364" t="s">
        <v>2141</v>
      </c>
      <c r="B198" s="361" t="s">
        <v>2142</v>
      </c>
      <c r="C198" t="s">
        <v>2095</v>
      </c>
      <c r="D198" s="361">
        <v>95</v>
      </c>
      <c r="E198" s="364"/>
      <c r="F198" s="361" t="s">
        <v>1921</v>
      </c>
      <c r="T198" s="361">
        <v>1.0000000000000001E-5</v>
      </c>
    </row>
    <row r="199" spans="1:20" x14ac:dyDescent="0.25">
      <c r="A199" s="364" t="s">
        <v>2143</v>
      </c>
      <c r="B199" s="361" t="s">
        <v>2144</v>
      </c>
      <c r="C199" t="s">
        <v>1920</v>
      </c>
      <c r="D199" s="361">
        <v>24</v>
      </c>
      <c r="E199" s="364"/>
      <c r="F199" s="361" t="s">
        <v>1921</v>
      </c>
      <c r="T199" s="361">
        <v>3.2</v>
      </c>
    </row>
    <row r="200" spans="1:20" x14ac:dyDescent="0.25">
      <c r="A200" s="364" t="s">
        <v>124</v>
      </c>
      <c r="B200" s="361" t="s">
        <v>654</v>
      </c>
      <c r="C200" t="s">
        <v>1922</v>
      </c>
      <c r="D200" s="361">
        <v>1</v>
      </c>
      <c r="E200" s="364"/>
      <c r="F200" s="361" t="s">
        <v>1917</v>
      </c>
      <c r="T200" s="361">
        <v>5</v>
      </c>
    </row>
    <row r="201" spans="1:20" x14ac:dyDescent="0.25">
      <c r="A201" s="364" t="s">
        <v>172</v>
      </c>
      <c r="B201" s="361" t="s">
        <v>655</v>
      </c>
      <c r="C201" t="s">
        <v>1922</v>
      </c>
      <c r="D201" s="361">
        <v>1</v>
      </c>
      <c r="E201" s="364"/>
      <c r="F201" s="361" t="s">
        <v>1917</v>
      </c>
      <c r="T201" s="361">
        <v>492.22</v>
      </c>
    </row>
    <row r="202" spans="1:20" x14ac:dyDescent="0.25">
      <c r="A202" s="364" t="s">
        <v>200</v>
      </c>
      <c r="B202" s="361" t="s">
        <v>656</v>
      </c>
      <c r="C202" t="s">
        <v>1922</v>
      </c>
      <c r="D202" s="361">
        <v>1</v>
      </c>
      <c r="E202" s="364"/>
      <c r="F202" s="361" t="s">
        <v>2145</v>
      </c>
      <c r="T202" s="361">
        <v>0.1651</v>
      </c>
    </row>
    <row r="203" spans="1:20" x14ac:dyDescent="0.25">
      <c r="A203" s="364" t="s">
        <v>287</v>
      </c>
      <c r="B203" s="361" t="s">
        <v>657</v>
      </c>
      <c r="C203" t="s">
        <v>1922</v>
      </c>
      <c r="D203" s="361">
        <v>1</v>
      </c>
      <c r="E203" s="364"/>
      <c r="F203" s="361" t="s">
        <v>2145</v>
      </c>
      <c r="T203" s="361">
        <v>0.4602</v>
      </c>
    </row>
    <row r="204" spans="1:20" x14ac:dyDescent="0.25">
      <c r="A204" s="364" t="s">
        <v>168</v>
      </c>
      <c r="B204" s="361" t="s">
        <v>658</v>
      </c>
      <c r="C204" t="s">
        <v>1916</v>
      </c>
      <c r="D204" s="361">
        <v>2</v>
      </c>
      <c r="E204" s="364"/>
      <c r="F204" s="361" t="s">
        <v>1917</v>
      </c>
      <c r="T204" s="361">
        <v>1.55</v>
      </c>
    </row>
    <row r="205" spans="1:20" x14ac:dyDescent="0.25">
      <c r="A205" s="364" t="s">
        <v>128</v>
      </c>
      <c r="B205" s="361" t="s">
        <v>659</v>
      </c>
      <c r="C205" t="s">
        <v>1916</v>
      </c>
      <c r="D205" s="361">
        <v>2</v>
      </c>
      <c r="E205" s="364"/>
      <c r="F205" s="361" t="s">
        <v>1917</v>
      </c>
      <c r="T205" s="361">
        <v>114.79</v>
      </c>
    </row>
    <row r="206" spans="1:20" x14ac:dyDescent="0.25">
      <c r="A206" s="364" t="s">
        <v>289</v>
      </c>
      <c r="B206" s="361" t="s">
        <v>660</v>
      </c>
      <c r="C206" t="s">
        <v>1922</v>
      </c>
      <c r="D206" s="361">
        <v>1</v>
      </c>
      <c r="E206" s="364"/>
      <c r="F206" s="361" t="s">
        <v>1917</v>
      </c>
      <c r="T206" s="361">
        <v>76.510000000000005</v>
      </c>
    </row>
    <row r="207" spans="1:20" x14ac:dyDescent="0.25">
      <c r="A207" s="364" t="s">
        <v>186</v>
      </c>
      <c r="B207" s="361" t="s">
        <v>661</v>
      </c>
      <c r="C207" t="s">
        <v>1922</v>
      </c>
      <c r="D207" s="361">
        <v>1</v>
      </c>
      <c r="E207" s="364"/>
      <c r="F207" s="361" t="s">
        <v>1917</v>
      </c>
      <c r="T207" s="361">
        <v>40</v>
      </c>
    </row>
    <row r="208" spans="1:20" x14ac:dyDescent="0.25">
      <c r="A208" s="364" t="s">
        <v>274</v>
      </c>
      <c r="B208" s="361" t="s">
        <v>662</v>
      </c>
      <c r="C208" t="s">
        <v>1916</v>
      </c>
      <c r="D208" s="361">
        <v>2</v>
      </c>
      <c r="E208" s="364"/>
      <c r="F208" s="361" t="s">
        <v>1917</v>
      </c>
      <c r="T208" s="361">
        <v>12.5</v>
      </c>
    </row>
    <row r="209" spans="1:20" x14ac:dyDescent="0.25">
      <c r="A209" s="364" t="s">
        <v>201</v>
      </c>
      <c r="B209" s="361" t="s">
        <v>663</v>
      </c>
      <c r="C209" t="s">
        <v>1916</v>
      </c>
      <c r="D209" s="361">
        <v>2</v>
      </c>
      <c r="E209" s="364"/>
      <c r="F209" s="361" t="s">
        <v>1917</v>
      </c>
      <c r="T209" s="361">
        <v>924</v>
      </c>
    </row>
    <row r="210" spans="1:20" x14ac:dyDescent="0.25">
      <c r="A210" s="364" t="s">
        <v>228</v>
      </c>
      <c r="B210" s="361" t="s">
        <v>664</v>
      </c>
      <c r="C210" t="s">
        <v>1922</v>
      </c>
      <c r="D210" s="361">
        <v>1</v>
      </c>
      <c r="E210" s="364"/>
      <c r="F210" s="361" t="s">
        <v>1917</v>
      </c>
      <c r="T210" s="361">
        <v>11.1</v>
      </c>
    </row>
    <row r="211" spans="1:20" x14ac:dyDescent="0.25">
      <c r="A211" s="364" t="s">
        <v>281</v>
      </c>
      <c r="B211" s="361" t="s">
        <v>665</v>
      </c>
      <c r="C211" t="s">
        <v>1916</v>
      </c>
      <c r="D211" s="361">
        <v>1</v>
      </c>
      <c r="E211" s="364"/>
      <c r="F211" s="361" t="s">
        <v>1917</v>
      </c>
      <c r="T211" s="361">
        <v>1200</v>
      </c>
    </row>
    <row r="212" spans="1:20" x14ac:dyDescent="0.25">
      <c r="A212" s="364" t="s">
        <v>160</v>
      </c>
      <c r="B212" s="361" t="s">
        <v>666</v>
      </c>
      <c r="C212" t="s">
        <v>1922</v>
      </c>
      <c r="D212" s="361">
        <v>1</v>
      </c>
      <c r="E212" s="364"/>
      <c r="F212" s="361" t="s">
        <v>2145</v>
      </c>
      <c r="T212" s="361">
        <v>0.16</v>
      </c>
    </row>
    <row r="213" spans="1:20" x14ac:dyDescent="0.25">
      <c r="A213" s="364" t="s">
        <v>159</v>
      </c>
      <c r="B213" s="361" t="s">
        <v>667</v>
      </c>
      <c r="C213" t="s">
        <v>1922</v>
      </c>
      <c r="D213" s="361">
        <v>1</v>
      </c>
      <c r="E213" s="364"/>
      <c r="F213" s="361" t="s">
        <v>2145</v>
      </c>
      <c r="T213" s="361">
        <v>0.16</v>
      </c>
    </row>
    <row r="214" spans="1:20" x14ac:dyDescent="0.25">
      <c r="A214" s="364" t="s">
        <v>2146</v>
      </c>
      <c r="B214" s="361" t="s">
        <v>2147</v>
      </c>
      <c r="C214" t="s">
        <v>1920</v>
      </c>
      <c r="D214" s="361">
        <v>20</v>
      </c>
      <c r="E214" s="364"/>
      <c r="F214" s="361" t="s">
        <v>1921</v>
      </c>
      <c r="T214" s="361">
        <v>3.4200000000000001E-2</v>
      </c>
    </row>
    <row r="215" spans="1:20" x14ac:dyDescent="0.25">
      <c r="A215" s="364" t="s">
        <v>123</v>
      </c>
      <c r="B215" s="361" t="s">
        <v>668</v>
      </c>
      <c r="C215" t="s">
        <v>1916</v>
      </c>
      <c r="D215" s="361">
        <v>2</v>
      </c>
      <c r="E215" s="364"/>
      <c r="F215" s="361" t="s">
        <v>1917</v>
      </c>
      <c r="T215" s="361">
        <v>6170.3333300000004</v>
      </c>
    </row>
    <row r="216" spans="1:20" x14ac:dyDescent="0.25">
      <c r="A216" s="364" t="s">
        <v>284</v>
      </c>
      <c r="B216" s="361" t="s">
        <v>669</v>
      </c>
      <c r="C216" t="s">
        <v>1922</v>
      </c>
      <c r="D216" s="361">
        <v>1</v>
      </c>
      <c r="E216" s="364"/>
      <c r="F216" s="361" t="s">
        <v>1917</v>
      </c>
      <c r="T216" s="361">
        <v>85.73</v>
      </c>
    </row>
    <row r="217" spans="1:20" x14ac:dyDescent="0.25">
      <c r="A217" s="364" t="s">
        <v>295</v>
      </c>
      <c r="B217" s="361" t="s">
        <v>670</v>
      </c>
      <c r="C217" t="s">
        <v>1922</v>
      </c>
      <c r="D217" s="361">
        <v>1</v>
      </c>
      <c r="E217" s="364"/>
      <c r="F217" s="361" t="s">
        <v>1921</v>
      </c>
      <c r="T217" s="361">
        <v>5.4949999999999999E-2</v>
      </c>
    </row>
    <row r="218" spans="1:20" x14ac:dyDescent="0.25">
      <c r="A218" s="364" t="s">
        <v>2148</v>
      </c>
      <c r="B218" s="361" t="s">
        <v>2149</v>
      </c>
      <c r="C218" t="s">
        <v>1920</v>
      </c>
      <c r="D218" s="361">
        <v>15</v>
      </c>
      <c r="E218" s="364"/>
      <c r="F218" s="361" t="s">
        <v>1917</v>
      </c>
      <c r="T218" s="361">
        <v>22.1</v>
      </c>
    </row>
    <row r="219" spans="1:20" x14ac:dyDescent="0.25">
      <c r="A219" s="364" t="s">
        <v>2150</v>
      </c>
      <c r="B219" s="361" t="s">
        <v>2151</v>
      </c>
      <c r="C219" t="s">
        <v>1920</v>
      </c>
      <c r="D219" s="361">
        <v>24</v>
      </c>
      <c r="E219" s="364"/>
      <c r="F219" s="361" t="s">
        <v>1921</v>
      </c>
      <c r="T219" s="361">
        <v>0.88919999999999999</v>
      </c>
    </row>
    <row r="220" spans="1:20" x14ac:dyDescent="0.25">
      <c r="A220" s="364" t="s">
        <v>2152</v>
      </c>
      <c r="B220" s="361" t="s">
        <v>2153</v>
      </c>
      <c r="C220" t="s">
        <v>1920</v>
      </c>
      <c r="D220" s="361">
        <v>24</v>
      </c>
      <c r="E220" s="364"/>
      <c r="F220" s="361" t="s">
        <v>1921</v>
      </c>
      <c r="T220" s="361">
        <v>0.69799999999999995</v>
      </c>
    </row>
    <row r="221" spans="1:20" x14ac:dyDescent="0.25">
      <c r="A221" s="364" t="s">
        <v>2154</v>
      </c>
      <c r="B221" s="361" t="s">
        <v>2155</v>
      </c>
      <c r="C221" t="s">
        <v>1920</v>
      </c>
      <c r="D221" s="361">
        <v>24</v>
      </c>
      <c r="E221" s="364"/>
      <c r="F221" s="361" t="s">
        <v>1921</v>
      </c>
      <c r="T221" s="361">
        <v>2.411</v>
      </c>
    </row>
    <row r="222" spans="1:20" x14ac:dyDescent="0.25">
      <c r="A222" s="364" t="s">
        <v>2156</v>
      </c>
      <c r="B222" s="361" t="s">
        <v>2157</v>
      </c>
      <c r="C222" t="s">
        <v>1920</v>
      </c>
      <c r="D222" s="361">
        <v>15</v>
      </c>
      <c r="E222" s="364"/>
      <c r="F222" s="361" t="s">
        <v>1917</v>
      </c>
      <c r="T222" s="361">
        <v>49.6</v>
      </c>
    </row>
    <row r="223" spans="1:20" x14ac:dyDescent="0.25">
      <c r="A223" s="364" t="s">
        <v>2158</v>
      </c>
      <c r="B223" s="361" t="s">
        <v>2159</v>
      </c>
      <c r="C223" t="s">
        <v>1920</v>
      </c>
      <c r="D223" s="361">
        <v>15</v>
      </c>
      <c r="E223" s="364"/>
      <c r="F223" s="361" t="s">
        <v>1917</v>
      </c>
      <c r="T223" s="361">
        <v>49.6</v>
      </c>
    </row>
    <row r="224" spans="1:20" x14ac:dyDescent="0.25">
      <c r="A224" s="364" t="s">
        <v>233</v>
      </c>
      <c r="B224" s="361" t="s">
        <v>671</v>
      </c>
      <c r="C224" t="s">
        <v>1916</v>
      </c>
      <c r="D224" s="361">
        <v>2</v>
      </c>
      <c r="E224" s="364"/>
      <c r="F224" s="361" t="s">
        <v>1917</v>
      </c>
      <c r="T224" s="361">
        <v>955</v>
      </c>
    </row>
    <row r="225" spans="1:20" x14ac:dyDescent="0.25">
      <c r="A225" s="364" t="s">
        <v>307</v>
      </c>
      <c r="B225" s="361" t="s">
        <v>672</v>
      </c>
      <c r="C225" t="s">
        <v>1922</v>
      </c>
      <c r="D225" s="361">
        <v>1</v>
      </c>
      <c r="E225" s="364"/>
      <c r="F225" s="361" t="s">
        <v>1917</v>
      </c>
      <c r="T225" s="361">
        <v>4.49</v>
      </c>
    </row>
    <row r="226" spans="1:20" x14ac:dyDescent="0.25">
      <c r="A226" s="364" t="s">
        <v>251</v>
      </c>
      <c r="B226" s="361" t="s">
        <v>673</v>
      </c>
      <c r="C226" t="s">
        <v>1922</v>
      </c>
      <c r="D226" s="361">
        <v>1</v>
      </c>
      <c r="E226" s="364"/>
      <c r="F226" s="361" t="s">
        <v>1917</v>
      </c>
      <c r="T226" s="361">
        <v>107.85</v>
      </c>
    </row>
    <row r="227" spans="1:20" x14ac:dyDescent="0.25">
      <c r="A227" s="364" t="s">
        <v>232</v>
      </c>
      <c r="B227" s="361" t="s">
        <v>674</v>
      </c>
      <c r="C227" t="s">
        <v>1922</v>
      </c>
      <c r="D227" s="361">
        <v>1</v>
      </c>
      <c r="E227" s="364"/>
      <c r="F227" s="361" t="s">
        <v>1917</v>
      </c>
      <c r="T227" s="361">
        <v>62.21</v>
      </c>
    </row>
    <row r="228" spans="1:20" x14ac:dyDescent="0.25">
      <c r="A228" s="364" t="s">
        <v>263</v>
      </c>
      <c r="B228" s="361" t="s">
        <v>675</v>
      </c>
      <c r="C228" t="s">
        <v>1916</v>
      </c>
      <c r="D228" s="361">
        <v>1</v>
      </c>
      <c r="E228" s="364"/>
      <c r="F228" s="361" t="s">
        <v>1917</v>
      </c>
      <c r="T228" s="361">
        <v>222.68333000000001</v>
      </c>
    </row>
    <row r="229" spans="1:20" x14ac:dyDescent="0.25">
      <c r="A229" s="364" t="s">
        <v>676</v>
      </c>
      <c r="B229" s="361" t="s">
        <v>677</v>
      </c>
      <c r="C229" t="s">
        <v>1922</v>
      </c>
      <c r="D229" s="361">
        <v>1</v>
      </c>
      <c r="E229" s="364"/>
      <c r="F229" s="361" t="s">
        <v>1917</v>
      </c>
      <c r="T229" s="361">
        <v>6.25</v>
      </c>
    </row>
    <row r="230" spans="1:20" x14ac:dyDescent="0.25">
      <c r="A230" s="364" t="s">
        <v>678</v>
      </c>
      <c r="B230" s="361" t="s">
        <v>679</v>
      </c>
      <c r="C230" t="s">
        <v>1922</v>
      </c>
      <c r="D230" s="361">
        <v>1</v>
      </c>
      <c r="E230" s="364"/>
      <c r="F230" s="361" t="s">
        <v>1917</v>
      </c>
      <c r="T230" s="361">
        <v>24</v>
      </c>
    </row>
    <row r="231" spans="1:20" x14ac:dyDescent="0.25">
      <c r="A231" s="364" t="s">
        <v>179</v>
      </c>
      <c r="B231" s="361" t="s">
        <v>680</v>
      </c>
      <c r="C231" t="s">
        <v>1922</v>
      </c>
      <c r="D231" s="361">
        <v>1</v>
      </c>
      <c r="E231" s="364"/>
      <c r="F231" s="361" t="s">
        <v>1917</v>
      </c>
      <c r="T231" s="361">
        <v>4.26</v>
      </c>
    </row>
    <row r="232" spans="1:20" x14ac:dyDescent="0.25">
      <c r="A232" s="364" t="s">
        <v>2160</v>
      </c>
      <c r="B232" s="361" t="s">
        <v>2161</v>
      </c>
      <c r="C232" t="s">
        <v>1920</v>
      </c>
      <c r="D232" s="361">
        <v>15</v>
      </c>
      <c r="E232" s="364"/>
      <c r="F232" s="361" t="s">
        <v>1917</v>
      </c>
      <c r="T232" s="361">
        <v>26.8</v>
      </c>
    </row>
    <row r="233" spans="1:20" x14ac:dyDescent="0.25">
      <c r="A233" s="364" t="s">
        <v>2162</v>
      </c>
      <c r="B233" s="361" t="s">
        <v>2163</v>
      </c>
      <c r="C233" t="s">
        <v>1920</v>
      </c>
      <c r="D233" s="361">
        <v>24</v>
      </c>
      <c r="E233" s="364"/>
      <c r="F233" s="361" t="s">
        <v>1921</v>
      </c>
      <c r="T233" s="361">
        <v>5.0180000000000002E-2</v>
      </c>
    </row>
    <row r="234" spans="1:20" x14ac:dyDescent="0.25">
      <c r="A234" s="364" t="s">
        <v>2164</v>
      </c>
      <c r="B234" s="361" t="s">
        <v>2163</v>
      </c>
      <c r="C234" t="s">
        <v>1920</v>
      </c>
      <c r="D234" s="361">
        <v>24</v>
      </c>
      <c r="E234" s="364"/>
      <c r="F234" s="361" t="s">
        <v>1921</v>
      </c>
      <c r="T234" s="361">
        <v>0.12536</v>
      </c>
    </row>
    <row r="235" spans="1:20" x14ac:dyDescent="0.25">
      <c r="A235" s="364" t="s">
        <v>2165</v>
      </c>
      <c r="B235" s="361" t="s">
        <v>2166</v>
      </c>
      <c r="C235" t="s">
        <v>1920</v>
      </c>
      <c r="D235" s="361">
        <v>27</v>
      </c>
      <c r="E235" s="364"/>
      <c r="F235" s="361" t="s">
        <v>1921</v>
      </c>
      <c r="T235" s="361">
        <v>2.8660000000000001</v>
      </c>
    </row>
    <row r="236" spans="1:20" x14ac:dyDescent="0.25">
      <c r="A236" s="364" t="s">
        <v>2167</v>
      </c>
      <c r="B236" s="361" t="s">
        <v>2168</v>
      </c>
      <c r="C236" t="s">
        <v>1920</v>
      </c>
      <c r="D236" s="361">
        <v>15</v>
      </c>
      <c r="E236" s="364"/>
      <c r="F236" s="361" t="s">
        <v>1917</v>
      </c>
      <c r="T236" s="361">
        <v>49.6</v>
      </c>
    </row>
    <row r="237" spans="1:20" x14ac:dyDescent="0.25">
      <c r="A237" s="364" t="s">
        <v>2169</v>
      </c>
      <c r="B237" s="361" t="s">
        <v>2170</v>
      </c>
      <c r="C237" t="s">
        <v>1920</v>
      </c>
      <c r="D237" s="361">
        <v>24</v>
      </c>
      <c r="E237" s="364"/>
      <c r="F237" s="361" t="s">
        <v>1921</v>
      </c>
      <c r="T237" s="361">
        <v>0.1404</v>
      </c>
    </row>
    <row r="238" spans="1:20" x14ac:dyDescent="0.25">
      <c r="A238" s="364" t="s">
        <v>2171</v>
      </c>
      <c r="B238" s="361" t="s">
        <v>2172</v>
      </c>
      <c r="C238" t="s">
        <v>1920</v>
      </c>
      <c r="D238" s="361">
        <v>16</v>
      </c>
      <c r="E238" s="364"/>
      <c r="F238" s="361" t="s">
        <v>1917</v>
      </c>
      <c r="T238" s="361">
        <v>4.0999999999999996</v>
      </c>
    </row>
    <row r="239" spans="1:20" x14ac:dyDescent="0.25">
      <c r="A239" s="364" t="s">
        <v>681</v>
      </c>
      <c r="B239" s="361" t="s">
        <v>682</v>
      </c>
      <c r="C239" t="s">
        <v>1916</v>
      </c>
      <c r="D239" s="361">
        <v>3</v>
      </c>
      <c r="E239" s="364"/>
      <c r="F239" s="361" t="s">
        <v>1917</v>
      </c>
      <c r="T239" s="361">
        <v>4455</v>
      </c>
    </row>
    <row r="240" spans="1:20" x14ac:dyDescent="0.25">
      <c r="A240" s="364" t="s">
        <v>683</v>
      </c>
      <c r="B240" s="361" t="s">
        <v>684</v>
      </c>
      <c r="C240" t="s">
        <v>1922</v>
      </c>
      <c r="D240" s="361">
        <v>1</v>
      </c>
      <c r="E240" s="364"/>
      <c r="F240" s="361" t="s">
        <v>1917</v>
      </c>
      <c r="T240" s="361">
        <v>20.5</v>
      </c>
    </row>
    <row r="241" spans="1:20" x14ac:dyDescent="0.25">
      <c r="A241" s="364" t="s">
        <v>685</v>
      </c>
      <c r="B241" s="361" t="s">
        <v>686</v>
      </c>
      <c r="C241" t="s">
        <v>1922</v>
      </c>
      <c r="D241" s="361">
        <v>1</v>
      </c>
      <c r="E241" s="364"/>
      <c r="F241" s="361" t="s">
        <v>1917</v>
      </c>
      <c r="T241" s="361">
        <v>115.05</v>
      </c>
    </row>
    <row r="242" spans="1:20" x14ac:dyDescent="0.25">
      <c r="A242" s="364" t="s">
        <v>687</v>
      </c>
      <c r="B242" s="361" t="s">
        <v>688</v>
      </c>
      <c r="C242" t="s">
        <v>1922</v>
      </c>
      <c r="D242" s="361">
        <v>1</v>
      </c>
      <c r="E242" s="364"/>
      <c r="F242" s="361" t="s">
        <v>1917</v>
      </c>
      <c r="T242" s="361">
        <v>3.25</v>
      </c>
    </row>
    <row r="243" spans="1:20" x14ac:dyDescent="0.25">
      <c r="A243" s="364" t="s">
        <v>2173</v>
      </c>
      <c r="B243" s="361" t="s">
        <v>2174</v>
      </c>
      <c r="C243" t="s">
        <v>1920</v>
      </c>
      <c r="D243" s="361">
        <v>16</v>
      </c>
      <c r="E243" s="364"/>
      <c r="F243" s="361" t="s">
        <v>1917</v>
      </c>
      <c r="T243" s="361">
        <v>5.6</v>
      </c>
    </row>
    <row r="244" spans="1:20" x14ac:dyDescent="0.25">
      <c r="A244" s="364" t="s">
        <v>2175</v>
      </c>
      <c r="B244" s="361" t="s">
        <v>2176</v>
      </c>
      <c r="C244" t="s">
        <v>1920</v>
      </c>
      <c r="D244" s="361">
        <v>24</v>
      </c>
      <c r="E244" s="364"/>
      <c r="F244" s="361" t="s">
        <v>1921</v>
      </c>
      <c r="T244" s="361">
        <v>0.16531000000000001</v>
      </c>
    </row>
    <row r="245" spans="1:20" x14ac:dyDescent="0.25">
      <c r="A245" s="364" t="s">
        <v>2177</v>
      </c>
      <c r="B245" s="361" t="s">
        <v>2178</v>
      </c>
      <c r="C245" t="s">
        <v>1920</v>
      </c>
      <c r="D245" s="361">
        <v>24</v>
      </c>
      <c r="E245" s="364"/>
      <c r="F245" s="361" t="s">
        <v>1921</v>
      </c>
      <c r="T245" s="361">
        <v>0.10528999999999999</v>
      </c>
    </row>
    <row r="246" spans="1:20" x14ac:dyDescent="0.25">
      <c r="A246" s="364" t="s">
        <v>2179</v>
      </c>
      <c r="B246" s="361" t="s">
        <v>2180</v>
      </c>
      <c r="C246" t="s">
        <v>1920</v>
      </c>
      <c r="D246" s="361">
        <v>20</v>
      </c>
      <c r="E246" s="364"/>
      <c r="F246" s="361" t="s">
        <v>1921</v>
      </c>
      <c r="T246" s="361">
        <v>3.4000000000000002E-2</v>
      </c>
    </row>
    <row r="247" spans="1:20" x14ac:dyDescent="0.25">
      <c r="A247" s="364" t="s">
        <v>2181</v>
      </c>
      <c r="B247" s="361" t="s">
        <v>2182</v>
      </c>
      <c r="C247" t="s">
        <v>1920</v>
      </c>
      <c r="D247" s="361">
        <v>97</v>
      </c>
      <c r="E247" s="364"/>
      <c r="F247" s="361" t="s">
        <v>1917</v>
      </c>
      <c r="T247" s="361">
        <v>38.130000000000003</v>
      </c>
    </row>
    <row r="248" spans="1:20" x14ac:dyDescent="0.25">
      <c r="A248" s="364" t="s">
        <v>2183</v>
      </c>
      <c r="B248" s="361" t="s">
        <v>2184</v>
      </c>
      <c r="C248" t="s">
        <v>1920</v>
      </c>
      <c r="D248" s="361">
        <v>15</v>
      </c>
      <c r="E248" s="364"/>
      <c r="F248" s="361" t="s">
        <v>1917</v>
      </c>
      <c r="T248" s="361">
        <v>26.8</v>
      </c>
    </row>
    <row r="249" spans="1:20" x14ac:dyDescent="0.25">
      <c r="A249" s="364" t="s">
        <v>2185</v>
      </c>
      <c r="B249" s="361" t="s">
        <v>2186</v>
      </c>
      <c r="C249" t="s">
        <v>1920</v>
      </c>
      <c r="D249" s="361">
        <v>15</v>
      </c>
      <c r="E249" s="364"/>
      <c r="F249" s="361" t="s">
        <v>1917</v>
      </c>
      <c r="T249" s="361">
        <v>26.8</v>
      </c>
    </row>
    <row r="250" spans="1:20" x14ac:dyDescent="0.25">
      <c r="A250" s="364" t="s">
        <v>2187</v>
      </c>
      <c r="B250" s="361" t="s">
        <v>2188</v>
      </c>
      <c r="C250" t="s">
        <v>1920</v>
      </c>
      <c r="D250" s="361">
        <v>16</v>
      </c>
      <c r="E250" s="364"/>
      <c r="F250" s="361" t="s">
        <v>1917</v>
      </c>
      <c r="T250" s="361">
        <v>5.6</v>
      </c>
    </row>
    <row r="251" spans="1:20" x14ac:dyDescent="0.25">
      <c r="A251" s="364" t="s">
        <v>2189</v>
      </c>
      <c r="B251" s="361" t="s">
        <v>2190</v>
      </c>
      <c r="C251" t="s">
        <v>1920</v>
      </c>
      <c r="D251" s="361">
        <v>27</v>
      </c>
      <c r="E251" s="364"/>
      <c r="F251" s="361" t="s">
        <v>1921</v>
      </c>
      <c r="T251" s="361">
        <v>1.208</v>
      </c>
    </row>
    <row r="252" spans="1:20" x14ac:dyDescent="0.25">
      <c r="A252" s="364" t="s">
        <v>456</v>
      </c>
      <c r="B252" s="361" t="s">
        <v>2191</v>
      </c>
      <c r="C252" t="s">
        <v>1920</v>
      </c>
      <c r="D252" s="361">
        <v>27</v>
      </c>
      <c r="E252" s="364"/>
      <c r="F252" s="361" t="s">
        <v>1921</v>
      </c>
      <c r="T252" s="361">
        <v>0.59099999999999997</v>
      </c>
    </row>
    <row r="253" spans="1:20" x14ac:dyDescent="0.25">
      <c r="A253" s="364" t="s">
        <v>2192</v>
      </c>
      <c r="B253" s="361" t="s">
        <v>2193</v>
      </c>
      <c r="C253" t="s">
        <v>1920</v>
      </c>
      <c r="D253" s="361">
        <v>46</v>
      </c>
      <c r="E253" s="364"/>
      <c r="F253" s="361" t="s">
        <v>1917</v>
      </c>
      <c r="T253" s="361">
        <v>36.5</v>
      </c>
    </row>
    <row r="254" spans="1:20" x14ac:dyDescent="0.25">
      <c r="A254" s="364" t="s">
        <v>122</v>
      </c>
      <c r="B254" s="361" t="s">
        <v>689</v>
      </c>
      <c r="C254" t="s">
        <v>1916</v>
      </c>
      <c r="D254" s="361">
        <v>2</v>
      </c>
      <c r="E254" s="364"/>
      <c r="F254" s="361" t="s">
        <v>1917</v>
      </c>
      <c r="T254" s="361">
        <v>57</v>
      </c>
    </row>
    <row r="255" spans="1:20" x14ac:dyDescent="0.25">
      <c r="A255" s="364" t="s">
        <v>2194</v>
      </c>
      <c r="B255" s="361" t="s">
        <v>2195</v>
      </c>
      <c r="C255" t="s">
        <v>1920</v>
      </c>
      <c r="D255" s="361">
        <v>27</v>
      </c>
      <c r="E255" s="364"/>
      <c r="F255" s="361" t="s">
        <v>1921</v>
      </c>
      <c r="T255" s="361">
        <v>1.0679000000000001</v>
      </c>
    </row>
    <row r="256" spans="1:20" x14ac:dyDescent="0.25">
      <c r="A256" s="364" t="s">
        <v>206</v>
      </c>
      <c r="B256" s="361" t="s">
        <v>690</v>
      </c>
      <c r="C256" t="s">
        <v>1922</v>
      </c>
      <c r="D256" s="361">
        <v>7</v>
      </c>
      <c r="E256" s="364"/>
      <c r="F256" s="361" t="s">
        <v>1921</v>
      </c>
      <c r="T256" s="361">
        <v>4.9100000000000003E-3</v>
      </c>
    </row>
    <row r="257" spans="1:20" x14ac:dyDescent="0.25">
      <c r="A257" s="364" t="s">
        <v>457</v>
      </c>
      <c r="B257" s="361" t="s">
        <v>2196</v>
      </c>
      <c r="C257" t="s">
        <v>1920</v>
      </c>
      <c r="D257" s="361">
        <v>24</v>
      </c>
      <c r="E257" s="364"/>
      <c r="F257" s="361" t="s">
        <v>1921</v>
      </c>
      <c r="T257" s="361">
        <v>5.9040000000000002E-2</v>
      </c>
    </row>
    <row r="258" spans="1:20" x14ac:dyDescent="0.25">
      <c r="A258" s="364" t="s">
        <v>2197</v>
      </c>
      <c r="B258" s="361" t="s">
        <v>2198</v>
      </c>
      <c r="C258" t="s">
        <v>1920</v>
      </c>
      <c r="D258" s="361">
        <v>15</v>
      </c>
      <c r="E258" s="364"/>
      <c r="F258" s="361" t="s">
        <v>1917</v>
      </c>
      <c r="T258" s="361">
        <v>37.299999999999997</v>
      </c>
    </row>
    <row r="259" spans="1:20" x14ac:dyDescent="0.25">
      <c r="A259" s="364" t="s">
        <v>691</v>
      </c>
      <c r="B259" s="361" t="s">
        <v>692</v>
      </c>
      <c r="C259" t="s">
        <v>1922</v>
      </c>
      <c r="D259" s="361">
        <v>95</v>
      </c>
      <c r="E259" s="364"/>
      <c r="F259" s="361" t="s">
        <v>1917</v>
      </c>
      <c r="T259" s="361">
        <v>1.0000000000000001E-5</v>
      </c>
    </row>
    <row r="260" spans="1:20" x14ac:dyDescent="0.25">
      <c r="A260" s="364" t="s">
        <v>693</v>
      </c>
      <c r="B260" s="361" t="s">
        <v>694</v>
      </c>
      <c r="C260" t="s">
        <v>1922</v>
      </c>
      <c r="D260" s="361">
        <v>1</v>
      </c>
      <c r="E260" s="364"/>
      <c r="F260" s="361" t="s">
        <v>1917</v>
      </c>
      <c r="T260" s="361">
        <v>15.28</v>
      </c>
    </row>
    <row r="261" spans="1:20" x14ac:dyDescent="0.25">
      <c r="A261" s="364" t="s">
        <v>695</v>
      </c>
      <c r="B261" s="361" t="s">
        <v>696</v>
      </c>
      <c r="C261" t="s">
        <v>1922</v>
      </c>
      <c r="D261" s="361">
        <v>1</v>
      </c>
      <c r="E261" s="364"/>
      <c r="F261" s="361" t="s">
        <v>1921</v>
      </c>
      <c r="T261" s="361">
        <v>538.17999999999995</v>
      </c>
    </row>
    <row r="262" spans="1:20" x14ac:dyDescent="0.25">
      <c r="A262" s="364" t="s">
        <v>2199</v>
      </c>
      <c r="B262" s="361" t="s">
        <v>2200</v>
      </c>
      <c r="C262" t="s">
        <v>2095</v>
      </c>
      <c r="D262" s="361">
        <v>95</v>
      </c>
      <c r="E262" s="364"/>
      <c r="F262" s="361" t="s">
        <v>2201</v>
      </c>
      <c r="T262" s="361">
        <v>1.0000000000000001E-5</v>
      </c>
    </row>
    <row r="263" spans="1:20" x14ac:dyDescent="0.25">
      <c r="A263" s="364" t="s">
        <v>345</v>
      </c>
      <c r="B263" s="361" t="s">
        <v>2202</v>
      </c>
      <c r="C263" t="s">
        <v>1920</v>
      </c>
      <c r="D263" s="361">
        <v>16</v>
      </c>
      <c r="E263" s="364"/>
      <c r="F263" s="361" t="s">
        <v>1917</v>
      </c>
      <c r="T263" s="361">
        <v>7</v>
      </c>
    </row>
    <row r="264" spans="1:20" x14ac:dyDescent="0.25">
      <c r="A264" s="364" t="s">
        <v>2203</v>
      </c>
      <c r="B264" s="361" t="s">
        <v>2204</v>
      </c>
      <c r="C264" t="s">
        <v>2095</v>
      </c>
      <c r="D264" s="361">
        <v>95</v>
      </c>
      <c r="E264" s="364"/>
      <c r="F264" s="361" t="s">
        <v>2201</v>
      </c>
      <c r="T264" s="361">
        <v>1.0000000000000001E-5</v>
      </c>
    </row>
    <row r="265" spans="1:20" x14ac:dyDescent="0.25">
      <c r="A265" s="364" t="s">
        <v>347</v>
      </c>
      <c r="B265" s="361" t="s">
        <v>2205</v>
      </c>
      <c r="C265" t="s">
        <v>1920</v>
      </c>
      <c r="D265" s="361">
        <v>16</v>
      </c>
      <c r="E265" s="364"/>
      <c r="F265" s="361" t="s">
        <v>1917</v>
      </c>
      <c r="T265" s="361">
        <v>4.0999999999999996</v>
      </c>
    </row>
    <row r="266" spans="1:20" x14ac:dyDescent="0.25">
      <c r="A266" s="364" t="s">
        <v>399</v>
      </c>
      <c r="B266" s="361" t="s">
        <v>2206</v>
      </c>
      <c r="C266" t="s">
        <v>1920</v>
      </c>
      <c r="D266" s="361">
        <v>27</v>
      </c>
      <c r="E266" s="364"/>
      <c r="F266" s="361" t="s">
        <v>1921</v>
      </c>
      <c r="T266" s="361">
        <v>1.3668</v>
      </c>
    </row>
    <row r="267" spans="1:20" x14ac:dyDescent="0.25">
      <c r="A267" s="364" t="s">
        <v>2207</v>
      </c>
      <c r="B267" s="361" t="s">
        <v>2208</v>
      </c>
      <c r="C267" t="s">
        <v>1920</v>
      </c>
      <c r="D267" s="361">
        <v>27</v>
      </c>
      <c r="E267" s="364"/>
      <c r="F267" s="361" t="s">
        <v>1921</v>
      </c>
      <c r="T267" s="361">
        <v>0.54</v>
      </c>
    </row>
    <row r="268" spans="1:20" x14ac:dyDescent="0.25">
      <c r="A268" s="364" t="s">
        <v>2209</v>
      </c>
      <c r="B268" s="361" t="s">
        <v>2210</v>
      </c>
      <c r="C268" t="s">
        <v>1920</v>
      </c>
      <c r="D268" s="361">
        <v>24</v>
      </c>
      <c r="E268" s="364"/>
      <c r="F268" s="361" t="s">
        <v>1921</v>
      </c>
      <c r="T268" s="361">
        <v>6.4939999999999998E-2</v>
      </c>
    </row>
    <row r="269" spans="1:20" x14ac:dyDescent="0.25">
      <c r="A269" s="364" t="s">
        <v>121</v>
      </c>
      <c r="B269" s="361" t="s">
        <v>697</v>
      </c>
      <c r="C269" t="s">
        <v>1922</v>
      </c>
      <c r="D269" s="361">
        <v>1</v>
      </c>
      <c r="E269" s="364"/>
      <c r="F269" s="361" t="s">
        <v>1917</v>
      </c>
      <c r="T269" s="361">
        <v>56.26</v>
      </c>
    </row>
    <row r="270" spans="1:20" x14ac:dyDescent="0.25">
      <c r="A270" s="364" t="s">
        <v>223</v>
      </c>
      <c r="B270" s="361" t="s">
        <v>698</v>
      </c>
      <c r="C270" t="s">
        <v>1916</v>
      </c>
      <c r="D270" s="361">
        <v>2</v>
      </c>
      <c r="E270" s="364"/>
      <c r="F270" s="361" t="s">
        <v>1917</v>
      </c>
      <c r="T270" s="361">
        <v>23.45</v>
      </c>
    </row>
    <row r="271" spans="1:20" x14ac:dyDescent="0.25">
      <c r="A271" s="364" t="s">
        <v>301</v>
      </c>
      <c r="B271" s="361" t="s">
        <v>699</v>
      </c>
      <c r="C271" t="s">
        <v>1922</v>
      </c>
      <c r="D271" s="361">
        <v>1</v>
      </c>
      <c r="E271" s="364"/>
      <c r="F271" s="361" t="s">
        <v>1917</v>
      </c>
      <c r="T271" s="361">
        <v>0.95</v>
      </c>
    </row>
    <row r="272" spans="1:20" x14ac:dyDescent="0.25">
      <c r="A272" s="364" t="s">
        <v>700</v>
      </c>
      <c r="B272" s="361" t="s">
        <v>701</v>
      </c>
      <c r="C272" t="s">
        <v>1922</v>
      </c>
      <c r="D272" s="361">
        <v>1</v>
      </c>
      <c r="E272" s="364"/>
      <c r="F272" s="361" t="s">
        <v>1917</v>
      </c>
      <c r="T272" s="361">
        <v>2.41</v>
      </c>
    </row>
    <row r="273" spans="1:20" x14ac:dyDescent="0.25">
      <c r="A273" s="364" t="s">
        <v>702</v>
      </c>
      <c r="B273" s="361" t="s">
        <v>703</v>
      </c>
      <c r="C273" t="s">
        <v>1922</v>
      </c>
      <c r="D273" s="361">
        <v>1</v>
      </c>
      <c r="E273" s="364"/>
      <c r="F273" s="361" t="s">
        <v>1917</v>
      </c>
      <c r="T273" s="361">
        <v>6.31</v>
      </c>
    </row>
    <row r="274" spans="1:20" x14ac:dyDescent="0.25">
      <c r="A274" s="364" t="s">
        <v>704</v>
      </c>
      <c r="B274" s="361" t="s">
        <v>705</v>
      </c>
      <c r="C274" t="s">
        <v>1922</v>
      </c>
      <c r="D274" s="361">
        <v>1</v>
      </c>
      <c r="E274" s="364"/>
      <c r="F274" s="361" t="s">
        <v>1917</v>
      </c>
      <c r="T274" s="361">
        <v>17.600000000000001</v>
      </c>
    </row>
    <row r="275" spans="1:20" x14ac:dyDescent="0.25">
      <c r="A275" s="364" t="s">
        <v>319</v>
      </c>
      <c r="B275" s="361" t="s">
        <v>706</v>
      </c>
      <c r="C275" t="s">
        <v>1922</v>
      </c>
      <c r="D275" s="361">
        <v>1</v>
      </c>
      <c r="E275" s="364"/>
      <c r="F275" s="361" t="s">
        <v>1917</v>
      </c>
      <c r="T275" s="361">
        <v>2.91</v>
      </c>
    </row>
    <row r="276" spans="1:20" x14ac:dyDescent="0.25">
      <c r="A276" s="364" t="s">
        <v>293</v>
      </c>
      <c r="B276" s="361" t="s">
        <v>707</v>
      </c>
      <c r="C276" t="s">
        <v>1922</v>
      </c>
      <c r="D276" s="361">
        <v>1</v>
      </c>
      <c r="E276" s="364"/>
      <c r="F276" s="361" t="s">
        <v>1917</v>
      </c>
      <c r="T276" s="361">
        <v>84.91</v>
      </c>
    </row>
    <row r="277" spans="1:20" x14ac:dyDescent="0.25">
      <c r="A277" s="364" t="s">
        <v>308</v>
      </c>
      <c r="B277" s="361" t="s">
        <v>708</v>
      </c>
      <c r="C277" t="s">
        <v>1922</v>
      </c>
      <c r="D277" s="361">
        <v>1</v>
      </c>
      <c r="E277" s="364"/>
      <c r="F277" s="361" t="s">
        <v>1917</v>
      </c>
      <c r="T277" s="361">
        <v>187.57</v>
      </c>
    </row>
    <row r="278" spans="1:20" x14ac:dyDescent="0.25">
      <c r="A278" s="364" t="s">
        <v>147</v>
      </c>
      <c r="B278" s="361" t="s">
        <v>709</v>
      </c>
      <c r="C278" t="s">
        <v>1922</v>
      </c>
      <c r="D278" s="361">
        <v>1</v>
      </c>
      <c r="E278" s="364"/>
      <c r="F278" s="361" t="s">
        <v>1917</v>
      </c>
      <c r="T278" s="361">
        <v>9.58</v>
      </c>
    </row>
    <row r="279" spans="1:20" x14ac:dyDescent="0.25">
      <c r="A279" s="364" t="s">
        <v>224</v>
      </c>
      <c r="B279" s="361" t="s">
        <v>710</v>
      </c>
      <c r="C279" t="s">
        <v>1922</v>
      </c>
      <c r="D279" s="361">
        <v>1</v>
      </c>
      <c r="E279" s="364"/>
      <c r="F279" s="361" t="s">
        <v>1917</v>
      </c>
      <c r="T279" s="361">
        <v>6.25</v>
      </c>
    </row>
    <row r="280" spans="1:20" x14ac:dyDescent="0.25">
      <c r="A280" s="364" t="s">
        <v>354</v>
      </c>
      <c r="B280" s="361" t="s">
        <v>2211</v>
      </c>
      <c r="C280" t="s">
        <v>1920</v>
      </c>
      <c r="D280" s="361">
        <v>16</v>
      </c>
      <c r="E280" s="364"/>
      <c r="F280" s="361" t="s">
        <v>1917</v>
      </c>
      <c r="T280" s="361">
        <v>5.6</v>
      </c>
    </row>
    <row r="281" spans="1:20" x14ac:dyDescent="0.25">
      <c r="A281" s="364" t="s">
        <v>382</v>
      </c>
      <c r="B281" s="361" t="s">
        <v>2212</v>
      </c>
      <c r="C281" t="s">
        <v>1920</v>
      </c>
      <c r="D281" s="361">
        <v>15</v>
      </c>
      <c r="E281" s="364"/>
      <c r="F281" s="361" t="s">
        <v>1917</v>
      </c>
      <c r="T281" s="361">
        <v>39.4</v>
      </c>
    </row>
    <row r="282" spans="1:20" x14ac:dyDescent="0.25">
      <c r="A282" s="364" t="s">
        <v>368</v>
      </c>
      <c r="B282" s="361" t="s">
        <v>2213</v>
      </c>
      <c r="C282" t="s">
        <v>1920</v>
      </c>
      <c r="D282" s="361">
        <v>16</v>
      </c>
      <c r="E282" s="364"/>
      <c r="F282" s="361" t="s">
        <v>1917</v>
      </c>
      <c r="T282" s="361">
        <v>4.0999999999999996</v>
      </c>
    </row>
    <row r="283" spans="1:20" x14ac:dyDescent="0.25">
      <c r="A283" s="364" t="s">
        <v>455</v>
      </c>
      <c r="B283" s="361" t="s">
        <v>2214</v>
      </c>
      <c r="C283" t="s">
        <v>1920</v>
      </c>
      <c r="D283" s="361">
        <v>24</v>
      </c>
      <c r="E283" s="364"/>
      <c r="F283" s="361" t="s">
        <v>1921</v>
      </c>
      <c r="T283" s="361">
        <v>4.9889999999999997E-2</v>
      </c>
    </row>
    <row r="284" spans="1:20" x14ac:dyDescent="0.25">
      <c r="A284" s="364" t="s">
        <v>2215</v>
      </c>
      <c r="B284" s="361" t="s">
        <v>2216</v>
      </c>
      <c r="C284" t="s">
        <v>1920</v>
      </c>
      <c r="D284" s="361">
        <v>15</v>
      </c>
      <c r="E284" s="364"/>
      <c r="F284" s="361" t="s">
        <v>1917</v>
      </c>
      <c r="T284" s="361">
        <v>50.6</v>
      </c>
    </row>
    <row r="285" spans="1:20" x14ac:dyDescent="0.25">
      <c r="A285" s="364" t="s">
        <v>2217</v>
      </c>
      <c r="B285" s="361" t="s">
        <v>2218</v>
      </c>
      <c r="C285" t="s">
        <v>1920</v>
      </c>
      <c r="D285" s="361">
        <v>15</v>
      </c>
      <c r="E285" s="364"/>
      <c r="F285" s="361" t="s">
        <v>1917</v>
      </c>
      <c r="T285" s="361">
        <v>39.4</v>
      </c>
    </row>
    <row r="286" spans="1:20" x14ac:dyDescent="0.25">
      <c r="A286" s="364" t="s">
        <v>2219</v>
      </c>
      <c r="B286" s="361" t="s">
        <v>2220</v>
      </c>
      <c r="C286" t="s">
        <v>1920</v>
      </c>
      <c r="D286" s="361">
        <v>24</v>
      </c>
      <c r="E286" s="364"/>
      <c r="F286" s="361" t="s">
        <v>1921</v>
      </c>
      <c r="T286" s="361">
        <v>4.5760000000000002E-2</v>
      </c>
    </row>
    <row r="287" spans="1:20" x14ac:dyDescent="0.25">
      <c r="A287" s="364" t="s">
        <v>2221</v>
      </c>
      <c r="B287" s="361" t="s">
        <v>2222</v>
      </c>
      <c r="C287" t="s">
        <v>1920</v>
      </c>
      <c r="D287" s="361">
        <v>24</v>
      </c>
      <c r="E287" s="364"/>
      <c r="F287" s="361" t="s">
        <v>1921</v>
      </c>
      <c r="T287" s="361">
        <v>0.18027000000000001</v>
      </c>
    </row>
    <row r="288" spans="1:20" x14ac:dyDescent="0.25">
      <c r="A288" s="364" t="s">
        <v>2223</v>
      </c>
      <c r="B288" s="361" t="s">
        <v>2224</v>
      </c>
      <c r="C288" t="s">
        <v>1920</v>
      </c>
      <c r="D288" s="361">
        <v>15</v>
      </c>
      <c r="E288" s="364"/>
      <c r="F288" s="361" t="s">
        <v>1917</v>
      </c>
      <c r="T288" s="361">
        <v>31.5</v>
      </c>
    </row>
    <row r="289" spans="1:20" x14ac:dyDescent="0.25">
      <c r="A289" s="364" t="s">
        <v>2225</v>
      </c>
      <c r="B289" s="361" t="s">
        <v>2226</v>
      </c>
      <c r="C289" t="s">
        <v>1920</v>
      </c>
      <c r="D289" s="361">
        <v>20</v>
      </c>
      <c r="E289" s="364"/>
      <c r="F289" s="361" t="s">
        <v>1921</v>
      </c>
      <c r="T289" s="361">
        <v>3.2300000000000002E-2</v>
      </c>
    </row>
    <row r="290" spans="1:20" x14ac:dyDescent="0.25">
      <c r="A290" s="364" t="s">
        <v>2227</v>
      </c>
      <c r="B290" s="361" t="s">
        <v>2228</v>
      </c>
      <c r="C290" t="s">
        <v>1920</v>
      </c>
      <c r="D290" s="361">
        <v>20</v>
      </c>
      <c r="E290" s="364"/>
      <c r="F290" s="361" t="s">
        <v>1921</v>
      </c>
      <c r="T290" s="361">
        <v>3.2300000000000002E-2</v>
      </c>
    </row>
    <row r="291" spans="1:20" x14ac:dyDescent="0.25">
      <c r="A291" s="364" t="s">
        <v>2229</v>
      </c>
      <c r="B291" s="361" t="s">
        <v>2230</v>
      </c>
      <c r="C291" t="s">
        <v>1920</v>
      </c>
      <c r="D291" s="361">
        <v>24</v>
      </c>
      <c r="E291" s="364"/>
      <c r="F291" s="361" t="s">
        <v>1921</v>
      </c>
      <c r="T291" s="361">
        <v>6.6030000000000005E-2</v>
      </c>
    </row>
    <row r="292" spans="1:20" x14ac:dyDescent="0.25">
      <c r="A292" s="364" t="s">
        <v>2231</v>
      </c>
      <c r="B292" s="361" t="s">
        <v>2232</v>
      </c>
      <c r="C292" t="s">
        <v>1920</v>
      </c>
      <c r="D292" s="361">
        <v>24</v>
      </c>
      <c r="E292" s="364"/>
      <c r="F292" s="361" t="s">
        <v>1921</v>
      </c>
      <c r="T292" s="361">
        <v>7.3999999999999996E-2</v>
      </c>
    </row>
    <row r="293" spans="1:20" x14ac:dyDescent="0.25">
      <c r="A293" s="364" t="s">
        <v>2233</v>
      </c>
      <c r="B293" s="361" t="s">
        <v>2234</v>
      </c>
      <c r="C293" t="s">
        <v>1920</v>
      </c>
      <c r="D293" s="361">
        <v>24</v>
      </c>
      <c r="E293" s="364"/>
      <c r="F293" s="361" t="s">
        <v>1921</v>
      </c>
      <c r="T293" s="361">
        <v>8.3250000000000005E-2</v>
      </c>
    </row>
    <row r="294" spans="1:20" x14ac:dyDescent="0.25">
      <c r="A294" s="364" t="s">
        <v>2235</v>
      </c>
      <c r="B294" s="361" t="s">
        <v>2236</v>
      </c>
      <c r="C294" t="s">
        <v>1920</v>
      </c>
      <c r="D294" s="361">
        <v>24</v>
      </c>
      <c r="E294" s="364"/>
      <c r="F294" s="361" t="s">
        <v>1921</v>
      </c>
      <c r="T294" s="361">
        <v>0.15723999999999999</v>
      </c>
    </row>
    <row r="295" spans="1:20" x14ac:dyDescent="0.25">
      <c r="A295" s="364" t="s">
        <v>2237</v>
      </c>
      <c r="B295" s="361" t="s">
        <v>2238</v>
      </c>
      <c r="C295" t="s">
        <v>1920</v>
      </c>
      <c r="D295" s="361">
        <v>24</v>
      </c>
      <c r="E295" s="364"/>
      <c r="F295" s="361" t="s">
        <v>1921</v>
      </c>
      <c r="T295" s="361">
        <v>6.3070000000000001E-2</v>
      </c>
    </row>
    <row r="296" spans="1:20" x14ac:dyDescent="0.25">
      <c r="A296" s="364" t="s">
        <v>2239</v>
      </c>
      <c r="B296" s="361" t="s">
        <v>2240</v>
      </c>
      <c r="C296" t="s">
        <v>1920</v>
      </c>
      <c r="D296" s="361">
        <v>24</v>
      </c>
      <c r="E296" s="364"/>
      <c r="F296" s="361" t="s">
        <v>1921</v>
      </c>
      <c r="T296" s="361">
        <v>6.3070000000000001E-2</v>
      </c>
    </row>
    <row r="297" spans="1:20" x14ac:dyDescent="0.25">
      <c r="A297" s="364" t="s">
        <v>2241</v>
      </c>
      <c r="B297" s="361" t="s">
        <v>2242</v>
      </c>
      <c r="C297" t="s">
        <v>1920</v>
      </c>
      <c r="D297" s="361">
        <v>27</v>
      </c>
      <c r="E297" s="364"/>
      <c r="F297" s="361" t="s">
        <v>1921</v>
      </c>
      <c r="T297" s="361">
        <v>0.96</v>
      </c>
    </row>
    <row r="298" spans="1:20" x14ac:dyDescent="0.25">
      <c r="A298" s="364" t="s">
        <v>2243</v>
      </c>
      <c r="B298" s="361" t="s">
        <v>2244</v>
      </c>
      <c r="C298" t="s">
        <v>2095</v>
      </c>
      <c r="D298" s="361">
        <v>95</v>
      </c>
      <c r="E298" s="364"/>
      <c r="F298" s="361" t="s">
        <v>2201</v>
      </c>
      <c r="T298" s="361">
        <v>1E-4</v>
      </c>
    </row>
    <row r="299" spans="1:20" x14ac:dyDescent="0.25">
      <c r="A299" s="364" t="s">
        <v>235</v>
      </c>
      <c r="B299" s="361" t="s">
        <v>711</v>
      </c>
      <c r="C299" t="s">
        <v>1916</v>
      </c>
      <c r="D299" s="361">
        <v>2</v>
      </c>
      <c r="E299" s="364"/>
      <c r="F299" s="361" t="s">
        <v>1917</v>
      </c>
      <c r="T299" s="361">
        <v>94.28</v>
      </c>
    </row>
    <row r="300" spans="1:20" x14ac:dyDescent="0.25">
      <c r="A300" s="364" t="s">
        <v>151</v>
      </c>
      <c r="B300" s="361" t="s">
        <v>712</v>
      </c>
      <c r="C300" t="s">
        <v>1922</v>
      </c>
      <c r="D300" s="361">
        <v>1</v>
      </c>
      <c r="E300" s="364"/>
      <c r="F300" s="361" t="s">
        <v>1917</v>
      </c>
      <c r="T300" s="361">
        <v>4.5999999999999996</v>
      </c>
    </row>
    <row r="301" spans="1:20" x14ac:dyDescent="0.25">
      <c r="A301" s="364" t="s">
        <v>2245</v>
      </c>
      <c r="B301" s="361" t="s">
        <v>2246</v>
      </c>
      <c r="C301" t="s">
        <v>1920</v>
      </c>
      <c r="D301" s="361">
        <v>15</v>
      </c>
      <c r="E301" s="364"/>
      <c r="F301" s="361" t="s">
        <v>1917</v>
      </c>
      <c r="T301" s="361">
        <v>44.84</v>
      </c>
    </row>
    <row r="302" spans="1:20" x14ac:dyDescent="0.25">
      <c r="A302" s="364" t="s">
        <v>2247</v>
      </c>
      <c r="B302" s="361" t="s">
        <v>2248</v>
      </c>
      <c r="C302" t="s">
        <v>1920</v>
      </c>
      <c r="D302" s="361">
        <v>24</v>
      </c>
      <c r="E302" s="364"/>
      <c r="F302" s="361" t="s">
        <v>1921</v>
      </c>
      <c r="T302" s="361">
        <v>6.6119999999999998E-2</v>
      </c>
    </row>
    <row r="303" spans="1:20" x14ac:dyDescent="0.25">
      <c r="A303" s="364" t="s">
        <v>2249</v>
      </c>
      <c r="B303" s="361" t="s">
        <v>2250</v>
      </c>
      <c r="C303" t="s">
        <v>1920</v>
      </c>
      <c r="D303" s="361">
        <v>15</v>
      </c>
      <c r="E303" s="364"/>
      <c r="F303" s="361" t="s">
        <v>1917</v>
      </c>
      <c r="T303" s="361">
        <v>52.82</v>
      </c>
    </row>
    <row r="304" spans="1:20" x14ac:dyDescent="0.25">
      <c r="A304" s="364" t="s">
        <v>2251</v>
      </c>
      <c r="B304" s="361" t="s">
        <v>2252</v>
      </c>
      <c r="C304" t="s">
        <v>1920</v>
      </c>
      <c r="D304" s="361">
        <v>24</v>
      </c>
      <c r="E304" s="364"/>
      <c r="F304" s="361" t="s">
        <v>1921</v>
      </c>
      <c r="T304" s="361">
        <v>0.08</v>
      </c>
    </row>
    <row r="305" spans="1:20" x14ac:dyDescent="0.25">
      <c r="A305" s="364" t="s">
        <v>154</v>
      </c>
      <c r="B305" s="361" t="s">
        <v>713</v>
      </c>
      <c r="C305" t="s">
        <v>1916</v>
      </c>
      <c r="D305" s="361">
        <v>2</v>
      </c>
      <c r="E305" s="364"/>
      <c r="F305" s="361" t="s">
        <v>1917</v>
      </c>
      <c r="T305" s="361">
        <v>51.3</v>
      </c>
    </row>
    <row r="306" spans="1:20" x14ac:dyDescent="0.25">
      <c r="A306" s="364" t="s">
        <v>2253</v>
      </c>
      <c r="B306" s="361" t="s">
        <v>2254</v>
      </c>
      <c r="C306" t="s">
        <v>1920</v>
      </c>
      <c r="D306" s="361">
        <v>20</v>
      </c>
      <c r="E306" s="364"/>
      <c r="F306" s="361" t="s">
        <v>1921</v>
      </c>
      <c r="T306" s="361">
        <v>3.1609999999999999E-2</v>
      </c>
    </row>
    <row r="307" spans="1:20" x14ac:dyDescent="0.25">
      <c r="A307" s="364" t="s">
        <v>348</v>
      </c>
      <c r="B307" s="361" t="s">
        <v>2255</v>
      </c>
      <c r="C307" t="s">
        <v>1920</v>
      </c>
      <c r="D307" s="361">
        <v>16</v>
      </c>
      <c r="E307" s="364"/>
      <c r="F307" s="361" t="s">
        <v>1917</v>
      </c>
      <c r="T307" s="361">
        <v>5.6</v>
      </c>
    </row>
    <row r="308" spans="1:20" x14ac:dyDescent="0.25">
      <c r="A308" s="364" t="s">
        <v>714</v>
      </c>
      <c r="B308" s="361" t="s">
        <v>715</v>
      </c>
      <c r="C308" t="s">
        <v>1922</v>
      </c>
      <c r="D308" s="361">
        <v>1</v>
      </c>
      <c r="E308" s="364"/>
      <c r="F308" s="361" t="s">
        <v>1917</v>
      </c>
      <c r="T308" s="361">
        <v>2.19</v>
      </c>
    </row>
    <row r="309" spans="1:20" x14ac:dyDescent="0.25">
      <c r="A309" s="364" t="s">
        <v>205</v>
      </c>
      <c r="B309" s="361" t="s">
        <v>716</v>
      </c>
      <c r="C309" t="s">
        <v>1922</v>
      </c>
      <c r="D309" s="361">
        <v>7</v>
      </c>
      <c r="E309" s="364"/>
      <c r="F309" s="361" t="s">
        <v>1921</v>
      </c>
      <c r="T309" s="361">
        <v>5.8199999999999997E-3</v>
      </c>
    </row>
    <row r="310" spans="1:20" x14ac:dyDescent="0.25">
      <c r="A310" s="364" t="s">
        <v>2256</v>
      </c>
      <c r="B310" s="361" t="s">
        <v>2257</v>
      </c>
      <c r="C310" t="s">
        <v>1920</v>
      </c>
      <c r="D310" s="361">
        <v>27</v>
      </c>
      <c r="E310" s="364"/>
      <c r="F310" s="361" t="s">
        <v>1921</v>
      </c>
      <c r="T310" s="361">
        <v>0.99704000000000004</v>
      </c>
    </row>
    <row r="311" spans="1:20" x14ac:dyDescent="0.25">
      <c r="A311" s="364" t="s">
        <v>2258</v>
      </c>
      <c r="B311" s="361" t="s">
        <v>2259</v>
      </c>
      <c r="C311" t="s">
        <v>1920</v>
      </c>
      <c r="D311" s="361">
        <v>20</v>
      </c>
      <c r="E311" s="364"/>
      <c r="F311" s="361" t="s">
        <v>1921</v>
      </c>
      <c r="T311" s="361">
        <v>3.2300000000000002E-2</v>
      </c>
    </row>
    <row r="312" spans="1:20" x14ac:dyDescent="0.25">
      <c r="A312" s="364" t="s">
        <v>468</v>
      </c>
      <c r="B312" s="361" t="s">
        <v>2260</v>
      </c>
      <c r="C312" t="s">
        <v>1920</v>
      </c>
      <c r="D312" s="361">
        <v>20</v>
      </c>
      <c r="E312" s="364"/>
      <c r="F312" s="361" t="s">
        <v>1921</v>
      </c>
      <c r="T312" s="361">
        <v>5.8999999999999999E-3</v>
      </c>
    </row>
    <row r="313" spans="1:20" x14ac:dyDescent="0.25">
      <c r="A313" s="364" t="s">
        <v>126</v>
      </c>
      <c r="B313" s="361" t="s">
        <v>717</v>
      </c>
      <c r="C313" t="s">
        <v>1916</v>
      </c>
      <c r="D313" s="361">
        <v>2</v>
      </c>
      <c r="E313" s="364"/>
      <c r="F313" s="361" t="s">
        <v>1917</v>
      </c>
      <c r="T313" s="361">
        <v>573.33333000000005</v>
      </c>
    </row>
    <row r="314" spans="1:20" x14ac:dyDescent="0.25">
      <c r="A314" s="364" t="s">
        <v>144</v>
      </c>
      <c r="B314" s="361" t="s">
        <v>718</v>
      </c>
      <c r="C314" t="s">
        <v>1922</v>
      </c>
      <c r="D314" s="361">
        <v>1</v>
      </c>
      <c r="E314" s="364"/>
      <c r="F314" s="361" t="s">
        <v>1917</v>
      </c>
      <c r="T314" s="361">
        <v>19</v>
      </c>
    </row>
    <row r="315" spans="1:20" x14ac:dyDescent="0.25">
      <c r="A315" s="364" t="s">
        <v>259</v>
      </c>
      <c r="B315" s="361" t="s">
        <v>719</v>
      </c>
      <c r="C315" t="s">
        <v>1922</v>
      </c>
      <c r="D315" s="361">
        <v>1</v>
      </c>
      <c r="E315" s="364"/>
      <c r="F315" s="361" t="s">
        <v>1917</v>
      </c>
      <c r="T315" s="361">
        <v>97.62</v>
      </c>
    </row>
    <row r="316" spans="1:20" x14ac:dyDescent="0.25">
      <c r="A316" s="364" t="s">
        <v>2261</v>
      </c>
      <c r="B316" s="361" t="s">
        <v>2262</v>
      </c>
      <c r="C316" t="s">
        <v>1920</v>
      </c>
      <c r="D316" s="361">
        <v>15</v>
      </c>
      <c r="E316" s="364"/>
      <c r="F316" s="361" t="s">
        <v>1917</v>
      </c>
      <c r="T316" s="361">
        <v>39.4</v>
      </c>
    </row>
    <row r="317" spans="1:20" x14ac:dyDescent="0.25">
      <c r="A317" s="364" t="s">
        <v>2263</v>
      </c>
      <c r="B317" s="361" t="s">
        <v>2264</v>
      </c>
      <c r="C317" t="s">
        <v>2095</v>
      </c>
      <c r="D317" s="361">
        <v>95</v>
      </c>
      <c r="E317" s="364"/>
      <c r="F317" s="361" t="s">
        <v>2201</v>
      </c>
      <c r="T317" s="361">
        <v>1.0000000000000001E-5</v>
      </c>
    </row>
    <row r="318" spans="1:20" x14ac:dyDescent="0.25">
      <c r="A318" s="364" t="s">
        <v>720</v>
      </c>
      <c r="B318" s="361" t="s">
        <v>721</v>
      </c>
      <c r="C318" t="s">
        <v>1916</v>
      </c>
      <c r="D318" s="361">
        <v>2</v>
      </c>
      <c r="E318" s="364"/>
      <c r="F318" s="361" t="s">
        <v>1917</v>
      </c>
      <c r="T318" s="361">
        <v>4.0000000000000002E-4</v>
      </c>
    </row>
    <row r="319" spans="1:20" x14ac:dyDescent="0.25">
      <c r="A319" s="364" t="s">
        <v>722</v>
      </c>
      <c r="B319" s="361" t="s">
        <v>723</v>
      </c>
      <c r="C319" t="s">
        <v>1916</v>
      </c>
      <c r="D319" s="361">
        <v>2</v>
      </c>
      <c r="E319" s="364"/>
      <c r="F319" s="361" t="s">
        <v>1917</v>
      </c>
      <c r="T319" s="361">
        <v>1E-3</v>
      </c>
    </row>
    <row r="320" spans="1:20" x14ac:dyDescent="0.25">
      <c r="A320" s="364" t="s">
        <v>2265</v>
      </c>
      <c r="B320" s="361" t="s">
        <v>2266</v>
      </c>
      <c r="C320" t="s">
        <v>1920</v>
      </c>
      <c r="D320" s="361">
        <v>45</v>
      </c>
      <c r="E320" s="364"/>
      <c r="F320" s="361" t="s">
        <v>1917</v>
      </c>
      <c r="T320" s="361">
        <v>25.9</v>
      </c>
    </row>
    <row r="321" spans="1:20" x14ac:dyDescent="0.25">
      <c r="A321" s="364" t="s">
        <v>2267</v>
      </c>
      <c r="B321" s="361" t="s">
        <v>826</v>
      </c>
      <c r="C321" t="s">
        <v>1920</v>
      </c>
      <c r="D321" s="361">
        <v>27</v>
      </c>
      <c r="E321" s="364"/>
      <c r="F321" s="361" t="s">
        <v>1921</v>
      </c>
      <c r="T321" s="361">
        <v>0.96299999999999997</v>
      </c>
    </row>
    <row r="322" spans="1:20" x14ac:dyDescent="0.25">
      <c r="A322" s="364" t="s">
        <v>2268</v>
      </c>
      <c r="B322" s="361" t="s">
        <v>2269</v>
      </c>
      <c r="C322" t="s">
        <v>1920</v>
      </c>
      <c r="D322" s="361">
        <v>20</v>
      </c>
      <c r="E322" s="364"/>
      <c r="F322" s="361" t="s">
        <v>1921</v>
      </c>
      <c r="T322" s="361">
        <v>3.2300000000000002E-2</v>
      </c>
    </row>
    <row r="323" spans="1:20" x14ac:dyDescent="0.25">
      <c r="A323" s="364" t="s">
        <v>2270</v>
      </c>
      <c r="B323" s="361" t="s">
        <v>2271</v>
      </c>
      <c r="C323" t="s">
        <v>1920</v>
      </c>
      <c r="D323" s="361">
        <v>15</v>
      </c>
      <c r="E323" s="364"/>
      <c r="F323" s="361" t="s">
        <v>1917</v>
      </c>
      <c r="T323" s="361">
        <v>32.299999999999997</v>
      </c>
    </row>
    <row r="324" spans="1:20" x14ac:dyDescent="0.25">
      <c r="A324" s="364" t="s">
        <v>2272</v>
      </c>
      <c r="B324" s="361" t="s">
        <v>2273</v>
      </c>
      <c r="C324" t="s">
        <v>1920</v>
      </c>
      <c r="D324" s="361">
        <v>24</v>
      </c>
      <c r="E324" s="364"/>
      <c r="F324" s="361" t="s">
        <v>1921</v>
      </c>
      <c r="T324" s="361">
        <v>0.16619999999999999</v>
      </c>
    </row>
    <row r="325" spans="1:20" x14ac:dyDescent="0.25">
      <c r="A325" s="364" t="s">
        <v>2274</v>
      </c>
      <c r="B325" s="361" t="s">
        <v>2275</v>
      </c>
      <c r="C325" t="s">
        <v>2095</v>
      </c>
      <c r="D325" s="361">
        <v>95</v>
      </c>
      <c r="E325" s="364"/>
      <c r="F325" s="361" t="s">
        <v>2201</v>
      </c>
      <c r="T325" s="361">
        <v>1.0000000000000001E-5</v>
      </c>
    </row>
    <row r="326" spans="1:20" x14ac:dyDescent="0.25">
      <c r="A326" s="364" t="s">
        <v>2276</v>
      </c>
      <c r="B326" s="361" t="s">
        <v>2277</v>
      </c>
      <c r="C326" t="s">
        <v>2095</v>
      </c>
      <c r="D326" s="361">
        <v>95</v>
      </c>
      <c r="E326" s="364"/>
      <c r="F326" s="361" t="s">
        <v>2201</v>
      </c>
      <c r="T326" s="361">
        <v>1.0000000000000001E-5</v>
      </c>
    </row>
    <row r="327" spans="1:20" x14ac:dyDescent="0.25">
      <c r="A327" s="364" t="s">
        <v>155</v>
      </c>
      <c r="B327" s="361" t="s">
        <v>724</v>
      </c>
      <c r="C327" t="s">
        <v>1916</v>
      </c>
      <c r="D327" s="361">
        <v>2</v>
      </c>
      <c r="E327" s="364"/>
      <c r="F327" s="361" t="s">
        <v>1917</v>
      </c>
      <c r="T327" s="361">
        <v>457.5</v>
      </c>
    </row>
    <row r="328" spans="1:20" x14ac:dyDescent="0.25">
      <c r="A328" s="364" t="s">
        <v>260</v>
      </c>
      <c r="B328" s="361" t="s">
        <v>725</v>
      </c>
      <c r="C328" t="s">
        <v>1922</v>
      </c>
      <c r="D328" s="361">
        <v>1</v>
      </c>
      <c r="E328" s="364"/>
      <c r="F328" s="361" t="s">
        <v>1917</v>
      </c>
      <c r="T328" s="361">
        <v>102.06</v>
      </c>
    </row>
    <row r="329" spans="1:20" x14ac:dyDescent="0.25">
      <c r="A329" s="364" t="s">
        <v>2278</v>
      </c>
      <c r="B329" s="361" t="s">
        <v>2279</v>
      </c>
      <c r="C329" t="s">
        <v>2095</v>
      </c>
      <c r="D329" s="361">
        <v>95</v>
      </c>
      <c r="E329" s="364"/>
      <c r="F329" s="361" t="s">
        <v>1917</v>
      </c>
      <c r="T329" s="361">
        <v>1.0000000000000001E-5</v>
      </c>
    </row>
    <row r="330" spans="1:20" x14ac:dyDescent="0.25">
      <c r="A330" s="364" t="s">
        <v>346</v>
      </c>
      <c r="B330" s="361" t="s">
        <v>2280</v>
      </c>
      <c r="C330" t="s">
        <v>1920</v>
      </c>
      <c r="D330" s="361">
        <v>19</v>
      </c>
      <c r="E330" s="364"/>
      <c r="F330" s="361" t="s">
        <v>1917</v>
      </c>
      <c r="T330" s="361">
        <v>16.5</v>
      </c>
    </row>
    <row r="331" spans="1:20" x14ac:dyDescent="0.25">
      <c r="A331" s="364" t="s">
        <v>150</v>
      </c>
      <c r="B331" s="361" t="s">
        <v>726</v>
      </c>
      <c r="C331" t="s">
        <v>1922</v>
      </c>
      <c r="D331" s="361">
        <v>1</v>
      </c>
      <c r="E331" s="364"/>
      <c r="F331" s="361" t="s">
        <v>1917</v>
      </c>
      <c r="T331" s="361">
        <v>39.9</v>
      </c>
    </row>
    <row r="332" spans="1:20" x14ac:dyDescent="0.25">
      <c r="A332" s="364" t="s">
        <v>243</v>
      </c>
      <c r="B332" s="361" t="s">
        <v>727</v>
      </c>
      <c r="C332" t="s">
        <v>1922</v>
      </c>
      <c r="D332" s="361">
        <v>1</v>
      </c>
      <c r="E332" s="364"/>
      <c r="F332" s="361" t="s">
        <v>1917</v>
      </c>
      <c r="T332" s="361">
        <v>109.73</v>
      </c>
    </row>
    <row r="333" spans="1:20" x14ac:dyDescent="0.25">
      <c r="A333" s="364" t="s">
        <v>2281</v>
      </c>
      <c r="B333" s="361" t="s">
        <v>2282</v>
      </c>
      <c r="C333" t="s">
        <v>1920</v>
      </c>
      <c r="D333" s="361">
        <v>45</v>
      </c>
      <c r="E333" s="364"/>
      <c r="F333" s="361" t="s">
        <v>1917</v>
      </c>
      <c r="T333" s="361">
        <v>44.1</v>
      </c>
    </row>
    <row r="334" spans="1:20" x14ac:dyDescent="0.25">
      <c r="A334" s="364" t="s">
        <v>2283</v>
      </c>
      <c r="B334" s="361" t="s">
        <v>2284</v>
      </c>
      <c r="C334" t="s">
        <v>1920</v>
      </c>
      <c r="D334" s="361">
        <v>54</v>
      </c>
      <c r="E334" s="364"/>
      <c r="F334" s="361" t="s">
        <v>1921</v>
      </c>
      <c r="T334" s="361">
        <v>8.4820000000000007E-2</v>
      </c>
    </row>
    <row r="335" spans="1:20" x14ac:dyDescent="0.25">
      <c r="A335" s="364" t="s">
        <v>2285</v>
      </c>
      <c r="B335" s="361" t="s">
        <v>2286</v>
      </c>
      <c r="C335" t="s">
        <v>1920</v>
      </c>
      <c r="D335" s="361">
        <v>45</v>
      </c>
      <c r="E335" s="364"/>
      <c r="F335" s="361" t="s">
        <v>1917</v>
      </c>
      <c r="T335" s="361">
        <v>26.8</v>
      </c>
    </row>
    <row r="336" spans="1:20" x14ac:dyDescent="0.25">
      <c r="A336" s="364" t="s">
        <v>2287</v>
      </c>
      <c r="B336" s="361" t="s">
        <v>2288</v>
      </c>
      <c r="C336" t="s">
        <v>1920</v>
      </c>
      <c r="D336" s="361">
        <v>24</v>
      </c>
      <c r="E336" s="364"/>
      <c r="F336" s="361" t="s">
        <v>1921</v>
      </c>
      <c r="T336" s="361">
        <v>0.18498999999999999</v>
      </c>
    </row>
    <row r="337" spans="1:20" x14ac:dyDescent="0.25">
      <c r="A337" s="364" t="s">
        <v>2289</v>
      </c>
      <c r="B337" s="361" t="s">
        <v>2290</v>
      </c>
      <c r="C337" t="s">
        <v>1920</v>
      </c>
      <c r="D337" s="361">
        <v>24</v>
      </c>
      <c r="E337" s="364"/>
      <c r="F337" s="361" t="s">
        <v>1921</v>
      </c>
      <c r="T337" s="361">
        <v>0.10872999999999999</v>
      </c>
    </row>
    <row r="338" spans="1:20" x14ac:dyDescent="0.25">
      <c r="A338" s="364" t="s">
        <v>728</v>
      </c>
      <c r="B338" s="361" t="s">
        <v>729</v>
      </c>
      <c r="C338" t="s">
        <v>1922</v>
      </c>
      <c r="D338" s="361">
        <v>1</v>
      </c>
      <c r="E338" s="364"/>
      <c r="F338" s="361" t="s">
        <v>1917</v>
      </c>
      <c r="T338" s="361">
        <v>103.64</v>
      </c>
    </row>
    <row r="339" spans="1:20" x14ac:dyDescent="0.25">
      <c r="A339" s="364" t="s">
        <v>730</v>
      </c>
      <c r="B339" s="361" t="s">
        <v>731</v>
      </c>
      <c r="C339" t="s">
        <v>1922</v>
      </c>
      <c r="D339" s="361">
        <v>1</v>
      </c>
      <c r="E339" s="364"/>
      <c r="F339" s="361" t="s">
        <v>1917</v>
      </c>
      <c r="T339" s="361">
        <v>98.43</v>
      </c>
    </row>
    <row r="340" spans="1:20" x14ac:dyDescent="0.25">
      <c r="A340" s="364" t="s">
        <v>2291</v>
      </c>
      <c r="B340" s="361" t="s">
        <v>2292</v>
      </c>
      <c r="C340" t="s">
        <v>1920</v>
      </c>
      <c r="D340" s="361">
        <v>22</v>
      </c>
      <c r="E340" s="364"/>
      <c r="F340" s="361" t="s">
        <v>1921</v>
      </c>
      <c r="T340" s="361">
        <v>0.185</v>
      </c>
    </row>
    <row r="341" spans="1:20" x14ac:dyDescent="0.25">
      <c r="A341" s="364" t="s">
        <v>2293</v>
      </c>
      <c r="B341" s="361" t="s">
        <v>2294</v>
      </c>
      <c r="C341" t="s">
        <v>1920</v>
      </c>
      <c r="D341" s="361">
        <v>27</v>
      </c>
      <c r="E341" s="364"/>
      <c r="F341" s="361" t="s">
        <v>1921</v>
      </c>
      <c r="T341" s="361">
        <v>0.62</v>
      </c>
    </row>
    <row r="342" spans="1:20" x14ac:dyDescent="0.25">
      <c r="A342" s="364" t="s">
        <v>2295</v>
      </c>
      <c r="B342" s="361" t="s">
        <v>2296</v>
      </c>
      <c r="C342" t="s">
        <v>1920</v>
      </c>
      <c r="D342" s="361">
        <v>19</v>
      </c>
      <c r="E342" s="364"/>
      <c r="F342" s="361" t="s">
        <v>1917</v>
      </c>
      <c r="T342" s="361">
        <v>19.8</v>
      </c>
    </row>
    <row r="343" spans="1:20" x14ac:dyDescent="0.25">
      <c r="A343" s="364" t="s">
        <v>2297</v>
      </c>
      <c r="B343" s="361" t="s">
        <v>2298</v>
      </c>
      <c r="C343" t="s">
        <v>1920</v>
      </c>
      <c r="D343" s="361">
        <v>27</v>
      </c>
      <c r="E343" s="364"/>
      <c r="F343" s="361" t="s">
        <v>1921</v>
      </c>
      <c r="T343" s="361">
        <v>0.628</v>
      </c>
    </row>
    <row r="344" spans="1:20" x14ac:dyDescent="0.25">
      <c r="A344" s="364" t="s">
        <v>183</v>
      </c>
      <c r="B344" s="361" t="s">
        <v>732</v>
      </c>
      <c r="C344" t="s">
        <v>1916</v>
      </c>
      <c r="D344" s="361">
        <v>2</v>
      </c>
      <c r="E344" s="364"/>
      <c r="F344" s="361" t="s">
        <v>1917</v>
      </c>
      <c r="T344" s="361">
        <v>529.6</v>
      </c>
    </row>
    <row r="345" spans="1:20" x14ac:dyDescent="0.25">
      <c r="A345" s="364" t="s">
        <v>245</v>
      </c>
      <c r="B345" s="361" t="s">
        <v>733</v>
      </c>
      <c r="C345" t="s">
        <v>1922</v>
      </c>
      <c r="D345" s="361">
        <v>1</v>
      </c>
      <c r="E345" s="364"/>
      <c r="F345" s="361" t="s">
        <v>1917</v>
      </c>
      <c r="T345" s="361">
        <v>84.17</v>
      </c>
    </row>
    <row r="346" spans="1:20" x14ac:dyDescent="0.25">
      <c r="A346" s="364" t="s">
        <v>2299</v>
      </c>
      <c r="B346" s="361" t="s">
        <v>2300</v>
      </c>
      <c r="C346" t="s">
        <v>1920</v>
      </c>
      <c r="D346" s="361">
        <v>15</v>
      </c>
      <c r="E346" s="364"/>
      <c r="F346" s="361" t="s">
        <v>1917</v>
      </c>
      <c r="T346" s="361">
        <v>23.4</v>
      </c>
    </row>
    <row r="347" spans="1:20" x14ac:dyDescent="0.25">
      <c r="A347" s="364" t="s">
        <v>244</v>
      </c>
      <c r="B347" s="361" t="s">
        <v>734</v>
      </c>
      <c r="C347" t="s">
        <v>1922</v>
      </c>
      <c r="D347" s="361">
        <v>1</v>
      </c>
      <c r="E347" s="364"/>
      <c r="F347" s="361" t="s">
        <v>1917</v>
      </c>
      <c r="T347" s="361">
        <v>81.34</v>
      </c>
    </row>
    <row r="348" spans="1:20" x14ac:dyDescent="0.25">
      <c r="A348" s="364" t="s">
        <v>2301</v>
      </c>
      <c r="B348" s="361" t="s">
        <v>2302</v>
      </c>
      <c r="C348" t="s">
        <v>1920</v>
      </c>
      <c r="D348" s="361">
        <v>50</v>
      </c>
      <c r="E348" s="364"/>
      <c r="F348" s="361" t="s">
        <v>1921</v>
      </c>
      <c r="T348" s="361">
        <v>0.1021</v>
      </c>
    </row>
    <row r="349" spans="1:20" x14ac:dyDescent="0.25">
      <c r="A349" s="364" t="s">
        <v>2303</v>
      </c>
      <c r="B349" s="361" t="s">
        <v>2304</v>
      </c>
      <c r="C349" t="s">
        <v>1920</v>
      </c>
      <c r="D349" s="361">
        <v>54</v>
      </c>
      <c r="E349" s="364"/>
      <c r="F349" s="361" t="s">
        <v>1921</v>
      </c>
      <c r="T349" s="361">
        <v>0.57999999999999996</v>
      </c>
    </row>
    <row r="350" spans="1:20" x14ac:dyDescent="0.25">
      <c r="A350" s="364" t="s">
        <v>2305</v>
      </c>
      <c r="B350" s="361" t="s">
        <v>2306</v>
      </c>
      <c r="C350" t="s">
        <v>1920</v>
      </c>
      <c r="D350" s="361">
        <v>12</v>
      </c>
      <c r="E350" s="364"/>
      <c r="F350" s="361" t="s">
        <v>1921</v>
      </c>
      <c r="T350" s="361">
        <v>0.29499999999999998</v>
      </c>
    </row>
    <row r="351" spans="1:20" x14ac:dyDescent="0.25">
      <c r="A351" s="364" t="s">
        <v>2307</v>
      </c>
      <c r="B351" s="361" t="s">
        <v>2308</v>
      </c>
      <c r="C351" t="s">
        <v>2095</v>
      </c>
      <c r="D351" s="361">
        <v>95</v>
      </c>
      <c r="E351" s="364"/>
      <c r="F351" s="361" t="s">
        <v>1917</v>
      </c>
      <c r="T351" s="361">
        <v>1.0000000000000001E-5</v>
      </c>
    </row>
    <row r="352" spans="1:20" x14ac:dyDescent="0.25">
      <c r="A352" s="364" t="s">
        <v>735</v>
      </c>
      <c r="B352" s="361" t="s">
        <v>736</v>
      </c>
      <c r="C352" t="s">
        <v>1922</v>
      </c>
      <c r="D352" s="361">
        <v>1</v>
      </c>
      <c r="E352" s="364"/>
      <c r="F352" s="361" t="s">
        <v>1917</v>
      </c>
      <c r="T352" s="361">
        <v>69.69</v>
      </c>
    </row>
    <row r="353" spans="1:20" x14ac:dyDescent="0.25">
      <c r="A353" s="364" t="s">
        <v>2309</v>
      </c>
      <c r="B353" s="361" t="s">
        <v>2310</v>
      </c>
      <c r="C353" t="s">
        <v>1920</v>
      </c>
      <c r="D353" s="361">
        <v>20</v>
      </c>
      <c r="E353" s="364"/>
      <c r="F353" s="361" t="s">
        <v>1921</v>
      </c>
      <c r="T353" s="361">
        <v>3.2300000000000002E-2</v>
      </c>
    </row>
    <row r="354" spans="1:20" x14ac:dyDescent="0.25">
      <c r="A354" s="364" t="s">
        <v>2311</v>
      </c>
      <c r="B354" s="361" t="s">
        <v>2312</v>
      </c>
      <c r="C354" t="s">
        <v>1920</v>
      </c>
      <c r="D354" s="361">
        <v>20</v>
      </c>
      <c r="E354" s="364"/>
      <c r="F354" s="361" t="s">
        <v>1921</v>
      </c>
      <c r="T354" s="361">
        <v>3.2300000000000002E-2</v>
      </c>
    </row>
    <row r="355" spans="1:20" x14ac:dyDescent="0.25">
      <c r="A355" s="364" t="s">
        <v>737</v>
      </c>
      <c r="B355" s="361" t="s">
        <v>738</v>
      </c>
      <c r="C355" t="s">
        <v>1922</v>
      </c>
      <c r="D355" s="361">
        <v>5</v>
      </c>
      <c r="E355" s="364"/>
      <c r="F355" s="361" t="s">
        <v>1917</v>
      </c>
      <c r="T355" s="361">
        <v>45.55</v>
      </c>
    </row>
    <row r="356" spans="1:20" x14ac:dyDescent="0.25">
      <c r="A356" s="364" t="s">
        <v>2313</v>
      </c>
      <c r="B356" s="361" t="s">
        <v>2314</v>
      </c>
      <c r="C356" t="s">
        <v>1920</v>
      </c>
      <c r="D356" s="361">
        <v>27</v>
      </c>
      <c r="E356" s="364"/>
      <c r="F356" s="361" t="s">
        <v>1921</v>
      </c>
      <c r="T356" s="361">
        <v>0.877</v>
      </c>
    </row>
    <row r="357" spans="1:20" x14ac:dyDescent="0.25">
      <c r="A357" s="364" t="s">
        <v>2315</v>
      </c>
      <c r="B357" s="361" t="s">
        <v>2316</v>
      </c>
      <c r="C357" t="s">
        <v>1920</v>
      </c>
      <c r="D357" s="361">
        <v>24</v>
      </c>
      <c r="E357" s="364"/>
      <c r="F357" s="361" t="s">
        <v>1921</v>
      </c>
      <c r="T357" s="361">
        <v>0.18115000000000001</v>
      </c>
    </row>
    <row r="358" spans="1:20" x14ac:dyDescent="0.25">
      <c r="A358" s="364" t="s">
        <v>739</v>
      </c>
      <c r="B358" s="361" t="s">
        <v>740</v>
      </c>
      <c r="C358" t="s">
        <v>1922</v>
      </c>
      <c r="D358" s="361">
        <v>90</v>
      </c>
      <c r="E358" s="364"/>
      <c r="F358" s="361" t="s">
        <v>1917</v>
      </c>
      <c r="T358" s="361">
        <v>73.2</v>
      </c>
    </row>
    <row r="359" spans="1:20" x14ac:dyDescent="0.25">
      <c r="A359" s="364" t="s">
        <v>741</v>
      </c>
      <c r="B359" s="361" t="s">
        <v>742</v>
      </c>
      <c r="C359" t="s">
        <v>1922</v>
      </c>
      <c r="D359" s="361">
        <v>1</v>
      </c>
      <c r="E359" s="364"/>
      <c r="F359" s="361" t="s">
        <v>1917</v>
      </c>
      <c r="T359" s="361">
        <v>60</v>
      </c>
    </row>
    <row r="360" spans="1:20" x14ac:dyDescent="0.25">
      <c r="A360" s="364" t="s">
        <v>743</v>
      </c>
      <c r="B360" s="361" t="s">
        <v>744</v>
      </c>
      <c r="C360" t="s">
        <v>1916</v>
      </c>
      <c r="D360" s="361">
        <v>2</v>
      </c>
      <c r="E360" s="364"/>
      <c r="F360" s="361" t="s">
        <v>1917</v>
      </c>
      <c r="T360" s="361">
        <v>136.94999999999999</v>
      </c>
    </row>
    <row r="361" spans="1:20" x14ac:dyDescent="0.25">
      <c r="A361" s="364" t="s">
        <v>745</v>
      </c>
      <c r="B361" s="361" t="s">
        <v>746</v>
      </c>
      <c r="C361" t="s">
        <v>1916</v>
      </c>
      <c r="D361" s="361">
        <v>2</v>
      </c>
      <c r="E361" s="364"/>
      <c r="F361" s="361" t="s">
        <v>1917</v>
      </c>
      <c r="T361" s="361">
        <v>108</v>
      </c>
    </row>
    <row r="362" spans="1:20" x14ac:dyDescent="0.25">
      <c r="A362" s="364" t="s">
        <v>747</v>
      </c>
      <c r="B362" s="361" t="s">
        <v>748</v>
      </c>
      <c r="C362" t="s">
        <v>1916</v>
      </c>
      <c r="D362" s="361">
        <v>2</v>
      </c>
      <c r="E362" s="364"/>
      <c r="F362" s="361" t="s">
        <v>1917</v>
      </c>
      <c r="T362" s="361">
        <v>35</v>
      </c>
    </row>
    <row r="363" spans="1:20" x14ac:dyDescent="0.25">
      <c r="A363" s="364" t="s">
        <v>749</v>
      </c>
      <c r="B363" s="361" t="s">
        <v>750</v>
      </c>
      <c r="C363" t="s">
        <v>1922</v>
      </c>
      <c r="D363" s="361">
        <v>1</v>
      </c>
      <c r="E363" s="364"/>
      <c r="F363" s="361" t="s">
        <v>1917</v>
      </c>
      <c r="T363" s="361">
        <v>95</v>
      </c>
    </row>
    <row r="364" spans="1:20" x14ac:dyDescent="0.25">
      <c r="A364" s="364" t="s">
        <v>751</v>
      </c>
      <c r="B364" s="361" t="s">
        <v>752</v>
      </c>
      <c r="C364" t="s">
        <v>1922</v>
      </c>
      <c r="D364" s="361">
        <v>1</v>
      </c>
      <c r="E364" s="364"/>
      <c r="F364" s="361" t="s">
        <v>1917</v>
      </c>
      <c r="T364" s="361">
        <v>18.399999999999999</v>
      </c>
    </row>
    <row r="365" spans="1:20" x14ac:dyDescent="0.25">
      <c r="A365" s="364" t="s">
        <v>2317</v>
      </c>
      <c r="B365" s="361" t="s">
        <v>2318</v>
      </c>
      <c r="C365" t="s">
        <v>1920</v>
      </c>
      <c r="D365" s="361">
        <v>15</v>
      </c>
      <c r="E365" s="364"/>
      <c r="F365" s="361" t="s">
        <v>1917</v>
      </c>
      <c r="T365" s="361">
        <v>37.299999999999997</v>
      </c>
    </row>
    <row r="366" spans="1:20" x14ac:dyDescent="0.25">
      <c r="A366" s="364" t="s">
        <v>2319</v>
      </c>
      <c r="B366" s="361" t="s">
        <v>2320</v>
      </c>
      <c r="C366" t="s">
        <v>1920</v>
      </c>
      <c r="D366" s="361">
        <v>24</v>
      </c>
      <c r="E366" s="364"/>
      <c r="F366" s="361" t="s">
        <v>1921</v>
      </c>
      <c r="T366" s="361">
        <v>0.25156000000000001</v>
      </c>
    </row>
    <row r="367" spans="1:20" x14ac:dyDescent="0.25">
      <c r="A367" s="364" t="s">
        <v>2321</v>
      </c>
      <c r="B367" s="361" t="s">
        <v>2322</v>
      </c>
      <c r="C367" t="s">
        <v>1920</v>
      </c>
      <c r="D367" s="361">
        <v>45</v>
      </c>
      <c r="E367" s="364"/>
      <c r="F367" s="361" t="s">
        <v>1917</v>
      </c>
      <c r="T367" s="361">
        <v>58.9</v>
      </c>
    </row>
    <row r="368" spans="1:20" x14ac:dyDescent="0.25">
      <c r="A368" s="364" t="s">
        <v>753</v>
      </c>
      <c r="B368" s="361" t="s">
        <v>754</v>
      </c>
      <c r="C368" t="s">
        <v>1922</v>
      </c>
      <c r="D368" s="361">
        <v>1</v>
      </c>
      <c r="E368" s="364"/>
      <c r="F368" s="361" t="s">
        <v>1917</v>
      </c>
      <c r="T368" s="361">
        <v>4.5999999999999996</v>
      </c>
    </row>
    <row r="369" spans="1:20" x14ac:dyDescent="0.25">
      <c r="A369" s="364" t="s">
        <v>2323</v>
      </c>
      <c r="B369" s="361" t="s">
        <v>2324</v>
      </c>
      <c r="C369" t="s">
        <v>1920</v>
      </c>
      <c r="D369" s="361">
        <v>50</v>
      </c>
      <c r="E369" s="364"/>
      <c r="F369" s="361" t="s">
        <v>1921</v>
      </c>
      <c r="T369" s="361">
        <v>5.1180000000000003E-2</v>
      </c>
    </row>
    <row r="370" spans="1:20" x14ac:dyDescent="0.25">
      <c r="A370" s="364" t="s">
        <v>2325</v>
      </c>
      <c r="B370" s="361" t="s">
        <v>2326</v>
      </c>
      <c r="C370" t="s">
        <v>1920</v>
      </c>
      <c r="D370" s="361">
        <v>50</v>
      </c>
      <c r="E370" s="364"/>
      <c r="F370" s="361" t="s">
        <v>1921</v>
      </c>
      <c r="T370" s="361">
        <v>0.5212</v>
      </c>
    </row>
    <row r="371" spans="1:20" x14ac:dyDescent="0.25">
      <c r="A371" s="364" t="s">
        <v>2327</v>
      </c>
      <c r="B371" s="361" t="s">
        <v>2328</v>
      </c>
      <c r="C371" t="s">
        <v>1920</v>
      </c>
      <c r="D371" s="361">
        <v>50</v>
      </c>
      <c r="E371" s="364"/>
      <c r="F371" s="361" t="s">
        <v>1921</v>
      </c>
      <c r="T371" s="361">
        <v>3.2300000000000002E-2</v>
      </c>
    </row>
    <row r="372" spans="1:20" x14ac:dyDescent="0.25">
      <c r="A372" s="364" t="s">
        <v>2329</v>
      </c>
      <c r="B372" s="361" t="s">
        <v>2330</v>
      </c>
      <c r="C372" t="s">
        <v>1920</v>
      </c>
      <c r="D372" s="361">
        <v>27</v>
      </c>
      <c r="E372" s="364"/>
      <c r="F372" s="361" t="s">
        <v>1921</v>
      </c>
      <c r="T372" s="361">
        <v>1.31</v>
      </c>
    </row>
    <row r="373" spans="1:20" x14ac:dyDescent="0.25">
      <c r="A373" s="364" t="s">
        <v>2331</v>
      </c>
      <c r="B373" s="361" t="s">
        <v>2332</v>
      </c>
      <c r="C373" t="s">
        <v>1920</v>
      </c>
      <c r="D373" s="361">
        <v>15</v>
      </c>
      <c r="E373" s="364"/>
      <c r="F373" s="361" t="s">
        <v>1917</v>
      </c>
      <c r="T373" s="361">
        <v>49.6</v>
      </c>
    </row>
    <row r="374" spans="1:20" x14ac:dyDescent="0.25">
      <c r="A374" s="364" t="s">
        <v>2333</v>
      </c>
      <c r="B374" s="361" t="s">
        <v>2334</v>
      </c>
      <c r="C374" t="s">
        <v>1920</v>
      </c>
      <c r="D374" s="361">
        <v>24</v>
      </c>
      <c r="E374" s="364"/>
      <c r="F374" s="361" t="s">
        <v>1921</v>
      </c>
      <c r="T374" s="361">
        <v>0.1419</v>
      </c>
    </row>
    <row r="375" spans="1:20" x14ac:dyDescent="0.25">
      <c r="A375" s="364" t="s">
        <v>2335</v>
      </c>
      <c r="B375" s="361" t="s">
        <v>2336</v>
      </c>
      <c r="C375" t="s">
        <v>1920</v>
      </c>
      <c r="D375" s="361">
        <v>50</v>
      </c>
      <c r="E375" s="364"/>
      <c r="F375" s="361" t="s">
        <v>1921</v>
      </c>
      <c r="T375" s="361">
        <v>3.2300000000000002E-2</v>
      </c>
    </row>
    <row r="376" spans="1:20" x14ac:dyDescent="0.25">
      <c r="A376" s="364" t="s">
        <v>2337</v>
      </c>
      <c r="B376" s="361" t="s">
        <v>2338</v>
      </c>
      <c r="C376" t="s">
        <v>1920</v>
      </c>
      <c r="D376" s="361">
        <v>50</v>
      </c>
      <c r="E376" s="364"/>
      <c r="F376" s="361" t="s">
        <v>1921</v>
      </c>
      <c r="T376" s="361">
        <v>3.2300000000000002E-2</v>
      </c>
    </row>
    <row r="377" spans="1:20" x14ac:dyDescent="0.25">
      <c r="A377" s="364" t="s">
        <v>2339</v>
      </c>
      <c r="B377" s="361" t="s">
        <v>2340</v>
      </c>
      <c r="C377" t="s">
        <v>1920</v>
      </c>
      <c r="D377" s="361">
        <v>15</v>
      </c>
      <c r="E377" s="364"/>
      <c r="F377" s="361" t="s">
        <v>1917</v>
      </c>
      <c r="T377" s="361">
        <v>23.9</v>
      </c>
    </row>
    <row r="378" spans="1:20" x14ac:dyDescent="0.25">
      <c r="A378" s="364" t="s">
        <v>2341</v>
      </c>
      <c r="B378" s="361" t="s">
        <v>2342</v>
      </c>
      <c r="C378" t="s">
        <v>1920</v>
      </c>
      <c r="D378" s="361">
        <v>24</v>
      </c>
      <c r="E378" s="364"/>
      <c r="F378" s="361" t="s">
        <v>1921</v>
      </c>
      <c r="T378" s="361">
        <v>5.2350000000000001E-2</v>
      </c>
    </row>
    <row r="379" spans="1:20" x14ac:dyDescent="0.25">
      <c r="A379" s="364" t="s">
        <v>166</v>
      </c>
      <c r="B379" s="361" t="s">
        <v>755</v>
      </c>
      <c r="C379" t="s">
        <v>1916</v>
      </c>
      <c r="D379" s="361">
        <v>2</v>
      </c>
      <c r="E379" s="364"/>
      <c r="F379" s="361" t="s">
        <v>1917</v>
      </c>
      <c r="T379" s="361">
        <v>155.88</v>
      </c>
    </row>
    <row r="380" spans="1:20" x14ac:dyDescent="0.25">
      <c r="A380" s="364" t="s">
        <v>253</v>
      </c>
      <c r="B380" s="361" t="s">
        <v>756</v>
      </c>
      <c r="C380" t="s">
        <v>1922</v>
      </c>
      <c r="D380" s="361">
        <v>1</v>
      </c>
      <c r="E380" s="364"/>
      <c r="F380" s="361" t="s">
        <v>1917</v>
      </c>
      <c r="T380" s="361">
        <v>62.27</v>
      </c>
    </row>
    <row r="381" spans="1:20" x14ac:dyDescent="0.25">
      <c r="A381" s="364" t="s">
        <v>2343</v>
      </c>
      <c r="B381" s="361" t="s">
        <v>2344</v>
      </c>
      <c r="C381" t="s">
        <v>1920</v>
      </c>
      <c r="D381" s="361">
        <v>15</v>
      </c>
      <c r="E381" s="364"/>
      <c r="F381" s="361" t="s">
        <v>1917</v>
      </c>
      <c r="T381" s="361">
        <v>49.6</v>
      </c>
    </row>
    <row r="382" spans="1:20" x14ac:dyDescent="0.25">
      <c r="A382" s="364" t="s">
        <v>2345</v>
      </c>
      <c r="B382" s="361" t="s">
        <v>2346</v>
      </c>
      <c r="C382" t="s">
        <v>1920</v>
      </c>
      <c r="D382" s="361">
        <v>12</v>
      </c>
      <c r="E382" s="364"/>
      <c r="F382" s="361" t="s">
        <v>1921</v>
      </c>
      <c r="T382" s="361">
        <v>0.14329</v>
      </c>
    </row>
    <row r="383" spans="1:20" x14ac:dyDescent="0.25">
      <c r="A383" s="364" t="s">
        <v>2347</v>
      </c>
      <c r="B383" s="361" t="s">
        <v>2348</v>
      </c>
      <c r="C383" t="s">
        <v>1920</v>
      </c>
      <c r="D383" s="361">
        <v>21</v>
      </c>
      <c r="E383" s="364"/>
      <c r="F383" s="361" t="s">
        <v>1921</v>
      </c>
      <c r="T383" s="361">
        <v>1.115E-2</v>
      </c>
    </row>
    <row r="384" spans="1:20" x14ac:dyDescent="0.25">
      <c r="A384" s="364" t="s">
        <v>2349</v>
      </c>
      <c r="B384" s="361" t="s">
        <v>2350</v>
      </c>
      <c r="C384" t="s">
        <v>1920</v>
      </c>
      <c r="D384" s="361">
        <v>21</v>
      </c>
      <c r="E384" s="364"/>
      <c r="F384" s="361" t="s">
        <v>1921</v>
      </c>
      <c r="T384" s="361">
        <v>2.8750000000000001E-2</v>
      </c>
    </row>
    <row r="385" spans="1:20" x14ac:dyDescent="0.25">
      <c r="A385" s="364" t="s">
        <v>2351</v>
      </c>
      <c r="B385" s="361" t="s">
        <v>2352</v>
      </c>
      <c r="C385" t="s">
        <v>1920</v>
      </c>
      <c r="D385" s="361">
        <v>33</v>
      </c>
      <c r="E385" s="364"/>
      <c r="F385" s="361" t="s">
        <v>1921</v>
      </c>
      <c r="T385" s="361">
        <v>29</v>
      </c>
    </row>
    <row r="386" spans="1:20" x14ac:dyDescent="0.25">
      <c r="A386" s="364" t="s">
        <v>2353</v>
      </c>
      <c r="B386" s="361" t="s">
        <v>2354</v>
      </c>
      <c r="C386" t="s">
        <v>1920</v>
      </c>
      <c r="D386" s="361">
        <v>27</v>
      </c>
      <c r="E386" s="364"/>
      <c r="F386" s="361" t="s">
        <v>1921</v>
      </c>
      <c r="T386" s="361">
        <v>1.671</v>
      </c>
    </row>
    <row r="387" spans="1:20" x14ac:dyDescent="0.25">
      <c r="A387" s="364" t="s">
        <v>2355</v>
      </c>
      <c r="B387" s="361" t="s">
        <v>2356</v>
      </c>
      <c r="C387" t="s">
        <v>1920</v>
      </c>
      <c r="D387" s="361">
        <v>20</v>
      </c>
      <c r="E387" s="364"/>
      <c r="F387" s="361" t="s">
        <v>1921</v>
      </c>
      <c r="T387" s="361">
        <v>3.2300000000000002E-2</v>
      </c>
    </row>
    <row r="388" spans="1:20" x14ac:dyDescent="0.25">
      <c r="A388" s="364" t="s">
        <v>2357</v>
      </c>
      <c r="B388" s="361" t="s">
        <v>2358</v>
      </c>
      <c r="C388" t="s">
        <v>1920</v>
      </c>
      <c r="D388" s="361">
        <v>22</v>
      </c>
      <c r="E388" s="364"/>
      <c r="F388" s="361" t="s">
        <v>1921</v>
      </c>
      <c r="T388" s="361">
        <v>7.8600000000000003E-2</v>
      </c>
    </row>
    <row r="389" spans="1:20" x14ac:dyDescent="0.25">
      <c r="A389" s="364" t="s">
        <v>2359</v>
      </c>
      <c r="B389" s="361" t="s">
        <v>2360</v>
      </c>
      <c r="C389" t="s">
        <v>1920</v>
      </c>
      <c r="D389" s="361">
        <v>52</v>
      </c>
      <c r="E389" s="364"/>
      <c r="F389" s="361" t="s">
        <v>1921</v>
      </c>
      <c r="T389" s="361">
        <v>8.5150000000000003E-2</v>
      </c>
    </row>
    <row r="390" spans="1:20" x14ac:dyDescent="0.25">
      <c r="A390" s="364" t="s">
        <v>2361</v>
      </c>
      <c r="B390" s="361" t="s">
        <v>2362</v>
      </c>
      <c r="C390" t="s">
        <v>1920</v>
      </c>
      <c r="D390" s="361">
        <v>50</v>
      </c>
      <c r="E390" s="364"/>
      <c r="F390" s="361" t="s">
        <v>1921</v>
      </c>
      <c r="T390" s="361">
        <v>0.2762</v>
      </c>
    </row>
    <row r="391" spans="1:20" x14ac:dyDescent="0.25">
      <c r="A391" s="364" t="s">
        <v>2363</v>
      </c>
      <c r="B391" s="361" t="s">
        <v>2364</v>
      </c>
      <c r="C391" t="s">
        <v>1920</v>
      </c>
      <c r="D391" s="361">
        <v>50</v>
      </c>
      <c r="E391" s="364"/>
      <c r="F391" s="361" t="s">
        <v>1921</v>
      </c>
      <c r="T391" s="361">
        <v>3.2300000000000002E-2</v>
      </c>
    </row>
    <row r="392" spans="1:20" x14ac:dyDescent="0.25">
      <c r="A392" s="364" t="s">
        <v>212</v>
      </c>
      <c r="B392" s="361" t="s">
        <v>757</v>
      </c>
      <c r="C392" t="s">
        <v>1916</v>
      </c>
      <c r="D392" s="361">
        <v>2</v>
      </c>
      <c r="E392" s="364"/>
      <c r="F392" s="361" t="s">
        <v>1917</v>
      </c>
      <c r="T392" s="361">
        <v>15.95</v>
      </c>
    </row>
    <row r="393" spans="1:20" x14ac:dyDescent="0.25">
      <c r="A393" s="364" t="s">
        <v>312</v>
      </c>
      <c r="B393" s="361" t="s">
        <v>758</v>
      </c>
      <c r="C393" t="s">
        <v>1922</v>
      </c>
      <c r="D393" s="361">
        <v>90</v>
      </c>
      <c r="E393" s="364"/>
      <c r="F393" s="361" t="s">
        <v>1917</v>
      </c>
      <c r="T393" s="361">
        <v>1.446</v>
      </c>
    </row>
    <row r="394" spans="1:20" x14ac:dyDescent="0.25">
      <c r="A394" s="364" t="s">
        <v>2365</v>
      </c>
      <c r="B394" s="361" t="s">
        <v>2366</v>
      </c>
      <c r="C394" t="s">
        <v>1920</v>
      </c>
      <c r="D394" s="361">
        <v>45</v>
      </c>
      <c r="E394" s="364"/>
      <c r="F394" s="361" t="s">
        <v>1917</v>
      </c>
      <c r="T394" s="361">
        <v>34.799999999999997</v>
      </c>
    </row>
    <row r="395" spans="1:20" x14ac:dyDescent="0.25">
      <c r="A395" s="364" t="s">
        <v>2367</v>
      </c>
      <c r="B395" s="361" t="s">
        <v>2368</v>
      </c>
      <c r="C395" t="s">
        <v>1920</v>
      </c>
      <c r="D395" s="361">
        <v>54</v>
      </c>
      <c r="E395" s="364"/>
      <c r="F395" s="361" t="s">
        <v>1921</v>
      </c>
      <c r="T395" s="361">
        <v>0.31698999999999999</v>
      </c>
    </row>
    <row r="396" spans="1:20" x14ac:dyDescent="0.25">
      <c r="A396" s="364" t="s">
        <v>2369</v>
      </c>
      <c r="B396" s="361" t="s">
        <v>2370</v>
      </c>
      <c r="C396" t="s">
        <v>1920</v>
      </c>
      <c r="D396" s="361">
        <v>45</v>
      </c>
      <c r="E396" s="364"/>
      <c r="F396" s="361" t="s">
        <v>1917</v>
      </c>
      <c r="T396" s="361">
        <v>49.6</v>
      </c>
    </row>
    <row r="397" spans="1:20" x14ac:dyDescent="0.25">
      <c r="A397" s="364" t="s">
        <v>2371</v>
      </c>
      <c r="B397" s="361" t="s">
        <v>2372</v>
      </c>
      <c r="C397" t="s">
        <v>1920</v>
      </c>
      <c r="D397" s="361">
        <v>15</v>
      </c>
      <c r="E397" s="364"/>
      <c r="F397" s="361" t="s">
        <v>1917</v>
      </c>
      <c r="T397" s="361">
        <v>37.299999999999997</v>
      </c>
    </row>
    <row r="398" spans="1:20" x14ac:dyDescent="0.25">
      <c r="A398" s="364" t="s">
        <v>2373</v>
      </c>
      <c r="B398" s="361" t="s">
        <v>2374</v>
      </c>
      <c r="C398" t="s">
        <v>1920</v>
      </c>
      <c r="D398" s="361">
        <v>24</v>
      </c>
      <c r="E398" s="364"/>
      <c r="F398" s="361" t="s">
        <v>1921</v>
      </c>
      <c r="T398" s="361">
        <v>0.1794</v>
      </c>
    </row>
    <row r="399" spans="1:20" x14ac:dyDescent="0.25">
      <c r="A399" s="364" t="s">
        <v>2375</v>
      </c>
      <c r="B399" s="361" t="s">
        <v>2376</v>
      </c>
      <c r="C399" t="s">
        <v>1920</v>
      </c>
      <c r="D399" s="361">
        <v>24</v>
      </c>
      <c r="E399" s="364"/>
      <c r="F399" s="361" t="s">
        <v>1921</v>
      </c>
      <c r="T399" s="361">
        <v>0.214</v>
      </c>
    </row>
    <row r="400" spans="1:20" x14ac:dyDescent="0.25">
      <c r="A400" s="364" t="s">
        <v>2377</v>
      </c>
      <c r="B400" s="361" t="s">
        <v>2378</v>
      </c>
      <c r="C400" t="s">
        <v>1920</v>
      </c>
      <c r="D400" s="361">
        <v>24</v>
      </c>
      <c r="E400" s="364"/>
      <c r="F400" s="361" t="s">
        <v>1921</v>
      </c>
      <c r="T400" s="361">
        <v>0.378</v>
      </c>
    </row>
    <row r="401" spans="1:20" x14ac:dyDescent="0.25">
      <c r="A401" s="364" t="s">
        <v>2379</v>
      </c>
      <c r="B401" s="361" t="s">
        <v>2380</v>
      </c>
      <c r="C401" t="s">
        <v>1920</v>
      </c>
      <c r="D401" s="361">
        <v>52</v>
      </c>
      <c r="E401" s="364"/>
      <c r="F401" s="361" t="s">
        <v>1921</v>
      </c>
      <c r="T401" s="361">
        <v>7.85E-2</v>
      </c>
    </row>
    <row r="402" spans="1:20" x14ac:dyDescent="0.25">
      <c r="A402" s="364" t="s">
        <v>2381</v>
      </c>
      <c r="B402" s="361" t="s">
        <v>2382</v>
      </c>
      <c r="C402" t="s">
        <v>1920</v>
      </c>
      <c r="D402" s="361">
        <v>24</v>
      </c>
      <c r="E402" s="364"/>
      <c r="F402" s="361" t="s">
        <v>1921</v>
      </c>
      <c r="T402" s="361">
        <v>3.0259999999999998</v>
      </c>
    </row>
    <row r="403" spans="1:20" x14ac:dyDescent="0.25">
      <c r="A403" s="364" t="s">
        <v>395</v>
      </c>
      <c r="B403" s="361" t="s">
        <v>2383</v>
      </c>
      <c r="C403" t="s">
        <v>1920</v>
      </c>
      <c r="D403" s="361">
        <v>27</v>
      </c>
      <c r="E403" s="364"/>
      <c r="F403" s="361" t="s">
        <v>1921</v>
      </c>
      <c r="T403" s="361">
        <v>1.296</v>
      </c>
    </row>
    <row r="404" spans="1:20" x14ac:dyDescent="0.25">
      <c r="A404" s="364" t="s">
        <v>402</v>
      </c>
      <c r="B404" s="361" t="s">
        <v>2384</v>
      </c>
      <c r="C404" t="s">
        <v>1920</v>
      </c>
      <c r="D404" s="361">
        <v>27</v>
      </c>
      <c r="E404" s="364"/>
      <c r="F404" s="361" t="s">
        <v>1921</v>
      </c>
      <c r="T404" s="361">
        <v>1.39</v>
      </c>
    </row>
    <row r="405" spans="1:20" x14ac:dyDescent="0.25">
      <c r="A405" s="364" t="s">
        <v>407</v>
      </c>
      <c r="B405" s="361" t="s">
        <v>2385</v>
      </c>
      <c r="C405" t="s">
        <v>1920</v>
      </c>
      <c r="D405" s="361">
        <v>27</v>
      </c>
      <c r="E405" s="364"/>
      <c r="F405" s="361" t="s">
        <v>1921</v>
      </c>
      <c r="T405" s="361">
        <v>1.1970000000000001</v>
      </c>
    </row>
    <row r="406" spans="1:20" x14ac:dyDescent="0.25">
      <c r="A406" s="364" t="s">
        <v>2386</v>
      </c>
      <c r="B406" s="361" t="s">
        <v>2387</v>
      </c>
      <c r="C406" t="s">
        <v>1920</v>
      </c>
      <c r="D406" s="361">
        <v>15</v>
      </c>
      <c r="E406" s="364"/>
      <c r="F406" s="361" t="s">
        <v>1917</v>
      </c>
      <c r="T406" s="361">
        <v>25.3</v>
      </c>
    </row>
    <row r="407" spans="1:20" x14ac:dyDescent="0.25">
      <c r="A407" s="364" t="s">
        <v>2388</v>
      </c>
      <c r="B407" s="361" t="s">
        <v>2389</v>
      </c>
      <c r="C407" t="s">
        <v>1920</v>
      </c>
      <c r="D407" s="361">
        <v>20</v>
      </c>
      <c r="E407" s="364"/>
      <c r="F407" s="361" t="s">
        <v>1921</v>
      </c>
      <c r="T407" s="361">
        <v>3.4500000000000003E-2</v>
      </c>
    </row>
    <row r="408" spans="1:20" x14ac:dyDescent="0.25">
      <c r="A408" s="364" t="s">
        <v>143</v>
      </c>
      <c r="B408" s="361" t="s">
        <v>759</v>
      </c>
      <c r="C408" t="s">
        <v>1922</v>
      </c>
      <c r="D408" s="361">
        <v>1</v>
      </c>
      <c r="E408" s="364"/>
      <c r="F408" s="361" t="s">
        <v>1917</v>
      </c>
      <c r="T408" s="361">
        <v>84.05</v>
      </c>
    </row>
    <row r="409" spans="1:20" x14ac:dyDescent="0.25">
      <c r="A409" s="364" t="s">
        <v>264</v>
      </c>
      <c r="B409" s="361" t="s">
        <v>760</v>
      </c>
      <c r="C409" t="s">
        <v>1916</v>
      </c>
      <c r="D409" s="361">
        <v>5</v>
      </c>
      <c r="E409" s="364"/>
      <c r="F409" s="361" t="s">
        <v>1917</v>
      </c>
      <c r="T409" s="361">
        <v>13.33</v>
      </c>
    </row>
    <row r="410" spans="1:20" x14ac:dyDescent="0.25">
      <c r="A410" s="364" t="s">
        <v>2390</v>
      </c>
      <c r="B410" s="361" t="s">
        <v>2391</v>
      </c>
      <c r="C410" t="s">
        <v>1920</v>
      </c>
      <c r="D410" s="361">
        <v>15</v>
      </c>
      <c r="E410" s="364"/>
      <c r="F410" s="361" t="s">
        <v>1917</v>
      </c>
      <c r="T410" s="361">
        <v>24.9</v>
      </c>
    </row>
    <row r="411" spans="1:20" x14ac:dyDescent="0.25">
      <c r="A411" s="364" t="s">
        <v>2392</v>
      </c>
      <c r="B411" s="361" t="s">
        <v>2393</v>
      </c>
      <c r="C411" t="s">
        <v>1920</v>
      </c>
      <c r="D411" s="361" t="s">
        <v>2394</v>
      </c>
      <c r="E411" s="364"/>
      <c r="F411" s="361" t="s">
        <v>1917</v>
      </c>
      <c r="T411" s="361">
        <v>49.6</v>
      </c>
    </row>
    <row r="412" spans="1:20" x14ac:dyDescent="0.25">
      <c r="A412" s="364" t="s">
        <v>2395</v>
      </c>
      <c r="B412" s="361" t="s">
        <v>2396</v>
      </c>
      <c r="C412" t="s">
        <v>1920</v>
      </c>
      <c r="D412" s="361" t="s">
        <v>2394</v>
      </c>
      <c r="E412" s="364"/>
      <c r="F412" s="361" t="s">
        <v>2201</v>
      </c>
      <c r="T412" s="361">
        <v>170.56</v>
      </c>
    </row>
    <row r="413" spans="1:20" x14ac:dyDescent="0.25">
      <c r="A413" s="364" t="s">
        <v>2397</v>
      </c>
      <c r="B413" s="361" t="s">
        <v>2398</v>
      </c>
      <c r="C413" t="s">
        <v>1920</v>
      </c>
      <c r="D413" s="361">
        <v>11</v>
      </c>
      <c r="E413" s="364"/>
      <c r="F413" s="361" t="s">
        <v>1921</v>
      </c>
      <c r="T413" s="361">
        <v>0.61099999999999999</v>
      </c>
    </row>
    <row r="414" spans="1:20" x14ac:dyDescent="0.25">
      <c r="A414" s="364" t="s">
        <v>2399</v>
      </c>
      <c r="B414" s="361" t="s">
        <v>2400</v>
      </c>
      <c r="C414" t="s">
        <v>1920</v>
      </c>
      <c r="D414" s="361">
        <v>12</v>
      </c>
      <c r="E414" s="364"/>
      <c r="F414" s="361" t="s">
        <v>1921</v>
      </c>
      <c r="T414" s="361">
        <v>0.35339999999999999</v>
      </c>
    </row>
    <row r="415" spans="1:20" x14ac:dyDescent="0.25">
      <c r="A415" s="364" t="s">
        <v>2401</v>
      </c>
      <c r="B415" s="361" t="s">
        <v>2402</v>
      </c>
      <c r="C415" t="s">
        <v>1920</v>
      </c>
      <c r="D415" s="361">
        <v>20</v>
      </c>
      <c r="E415" s="364"/>
      <c r="F415" s="361" t="s">
        <v>1921</v>
      </c>
      <c r="T415" s="361">
        <v>5.1180000000000003E-2</v>
      </c>
    </row>
    <row r="416" spans="1:20" x14ac:dyDescent="0.25">
      <c r="A416" s="364" t="s">
        <v>2403</v>
      </c>
      <c r="B416" s="361" t="s">
        <v>2404</v>
      </c>
      <c r="C416" t="s">
        <v>1920</v>
      </c>
      <c r="D416" s="361">
        <v>52</v>
      </c>
      <c r="E416" s="364"/>
      <c r="F416" s="361" t="s">
        <v>1921</v>
      </c>
      <c r="T416" s="361">
        <v>1.55E-2</v>
      </c>
    </row>
    <row r="417" spans="1:20" x14ac:dyDescent="0.25">
      <c r="A417" s="364" t="s">
        <v>2405</v>
      </c>
      <c r="B417" s="361" t="s">
        <v>2406</v>
      </c>
      <c r="C417" t="s">
        <v>1920</v>
      </c>
      <c r="D417" s="361">
        <v>24</v>
      </c>
      <c r="E417" s="364"/>
      <c r="F417" s="361" t="s">
        <v>2201</v>
      </c>
      <c r="T417" s="361">
        <v>108.9365</v>
      </c>
    </row>
    <row r="418" spans="1:20" x14ac:dyDescent="0.25">
      <c r="A418" s="364" t="s">
        <v>2407</v>
      </c>
      <c r="B418" s="361" t="s">
        <v>2408</v>
      </c>
      <c r="C418" t="s">
        <v>1920</v>
      </c>
      <c r="D418" s="361">
        <v>20</v>
      </c>
      <c r="E418" s="364"/>
      <c r="F418" s="361" t="s">
        <v>2201</v>
      </c>
      <c r="T418" s="361">
        <v>106.8</v>
      </c>
    </row>
    <row r="419" spans="1:20" x14ac:dyDescent="0.25">
      <c r="A419" s="364" t="s">
        <v>2409</v>
      </c>
      <c r="B419" s="361" t="s">
        <v>2410</v>
      </c>
      <c r="C419" t="s">
        <v>1920</v>
      </c>
      <c r="D419" s="361">
        <v>24</v>
      </c>
      <c r="E419" s="364"/>
      <c r="F419" s="361" t="s">
        <v>2201</v>
      </c>
      <c r="T419" s="361">
        <v>73.016499999999994</v>
      </c>
    </row>
    <row r="420" spans="1:20" x14ac:dyDescent="0.25">
      <c r="A420" s="364" t="s">
        <v>2411</v>
      </c>
      <c r="B420" s="361" t="s">
        <v>2412</v>
      </c>
      <c r="C420" t="s">
        <v>1920</v>
      </c>
      <c r="D420" s="361">
        <v>24</v>
      </c>
      <c r="E420" s="364"/>
      <c r="F420" s="361" t="s">
        <v>2201</v>
      </c>
      <c r="T420" s="361">
        <v>215.47409999999999</v>
      </c>
    </row>
    <row r="421" spans="1:20" x14ac:dyDescent="0.25">
      <c r="A421" s="364" t="s">
        <v>761</v>
      </c>
      <c r="B421" s="361" t="s">
        <v>762</v>
      </c>
      <c r="C421" t="s">
        <v>1916</v>
      </c>
      <c r="D421" s="361">
        <v>2</v>
      </c>
      <c r="E421" s="364"/>
      <c r="F421" s="361" t="s">
        <v>1917</v>
      </c>
      <c r="T421" s="361">
        <v>200</v>
      </c>
    </row>
    <row r="422" spans="1:20" x14ac:dyDescent="0.25">
      <c r="A422" s="364" t="s">
        <v>2413</v>
      </c>
      <c r="B422" s="361" t="s">
        <v>2414</v>
      </c>
      <c r="C422">
        <v>2</v>
      </c>
      <c r="D422" s="361">
        <v>97</v>
      </c>
      <c r="E422" s="364"/>
      <c r="F422" s="361" t="s">
        <v>1921</v>
      </c>
      <c r="T422" s="361">
        <v>89.92</v>
      </c>
    </row>
    <row r="423" spans="1:20" x14ac:dyDescent="0.25">
      <c r="A423" s="364" t="s">
        <v>2415</v>
      </c>
      <c r="B423" s="361" t="s">
        <v>2416</v>
      </c>
      <c r="C423" t="s">
        <v>1920</v>
      </c>
      <c r="D423" s="361">
        <v>27</v>
      </c>
      <c r="E423" s="364"/>
      <c r="F423" s="361" t="s">
        <v>1921</v>
      </c>
      <c r="T423" s="361">
        <v>0.94399999999999995</v>
      </c>
    </row>
    <row r="424" spans="1:20" x14ac:dyDescent="0.25">
      <c r="A424" s="364" t="s">
        <v>2417</v>
      </c>
      <c r="B424" s="361" t="s">
        <v>2418</v>
      </c>
      <c r="C424" t="s">
        <v>2419</v>
      </c>
      <c r="D424" s="361">
        <v>4</v>
      </c>
      <c r="E424" s="364"/>
      <c r="F424" s="361" t="s">
        <v>2201</v>
      </c>
      <c r="T424" s="361">
        <v>18.71</v>
      </c>
    </row>
    <row r="425" spans="1:20" x14ac:dyDescent="0.25">
      <c r="A425" s="364" t="s">
        <v>2420</v>
      </c>
      <c r="B425" s="361" t="s">
        <v>2421</v>
      </c>
      <c r="C425" t="s">
        <v>1920</v>
      </c>
      <c r="D425" s="361">
        <v>54</v>
      </c>
      <c r="E425" s="364"/>
      <c r="F425" s="361" t="s">
        <v>1921</v>
      </c>
      <c r="T425" s="361">
        <v>0.31674999999999998</v>
      </c>
    </row>
    <row r="426" spans="1:20" x14ac:dyDescent="0.25">
      <c r="A426" s="364" t="s">
        <v>763</v>
      </c>
      <c r="B426" s="361" t="s">
        <v>764</v>
      </c>
      <c r="C426" t="s">
        <v>1916</v>
      </c>
      <c r="D426" s="361">
        <v>2</v>
      </c>
      <c r="E426" s="364"/>
      <c r="F426" s="361" t="s">
        <v>1917</v>
      </c>
      <c r="T426" s="361">
        <v>18.27</v>
      </c>
    </row>
    <row r="427" spans="1:20" x14ac:dyDescent="0.25">
      <c r="A427" s="364" t="s">
        <v>2422</v>
      </c>
      <c r="B427" s="361" t="s">
        <v>2423</v>
      </c>
      <c r="C427" t="s">
        <v>1920</v>
      </c>
      <c r="D427" s="361">
        <v>54</v>
      </c>
      <c r="E427" s="364"/>
      <c r="F427" s="361" t="s">
        <v>1921</v>
      </c>
      <c r="T427" s="361">
        <v>0.31468000000000002</v>
      </c>
    </row>
    <row r="428" spans="1:20" x14ac:dyDescent="0.25">
      <c r="A428" s="364" t="s">
        <v>765</v>
      </c>
      <c r="B428" s="361" t="s">
        <v>766</v>
      </c>
      <c r="C428" t="s">
        <v>1916</v>
      </c>
      <c r="D428" s="361">
        <v>2</v>
      </c>
      <c r="E428" s="364"/>
      <c r="F428" s="361" t="s">
        <v>1917</v>
      </c>
      <c r="T428" s="361">
        <v>6.79</v>
      </c>
    </row>
    <row r="429" spans="1:20" x14ac:dyDescent="0.25">
      <c r="A429" s="364" t="s">
        <v>767</v>
      </c>
      <c r="B429" s="361" t="s">
        <v>768</v>
      </c>
      <c r="C429" t="s">
        <v>1922</v>
      </c>
      <c r="D429" s="361">
        <v>97</v>
      </c>
      <c r="E429" s="364"/>
      <c r="F429" s="361" t="s">
        <v>1921</v>
      </c>
      <c r="T429" s="361">
        <v>96.8</v>
      </c>
    </row>
    <row r="430" spans="1:20" x14ac:dyDescent="0.25">
      <c r="A430" s="364" t="s">
        <v>249</v>
      </c>
      <c r="B430" s="361" t="s">
        <v>769</v>
      </c>
      <c r="C430" t="s">
        <v>1922</v>
      </c>
      <c r="D430" s="361">
        <v>1</v>
      </c>
      <c r="E430" s="364"/>
      <c r="F430" s="361" t="s">
        <v>1917</v>
      </c>
      <c r="T430" s="361">
        <v>63.88</v>
      </c>
    </row>
    <row r="431" spans="1:20" x14ac:dyDescent="0.25">
      <c r="A431" s="364" t="s">
        <v>2424</v>
      </c>
      <c r="B431" s="361" t="s">
        <v>2425</v>
      </c>
      <c r="C431" t="s">
        <v>1920</v>
      </c>
      <c r="D431" s="361">
        <v>52</v>
      </c>
      <c r="E431" s="364"/>
      <c r="F431" s="361" t="s">
        <v>1921</v>
      </c>
      <c r="T431" s="361">
        <v>1.8700000000000001E-2</v>
      </c>
    </row>
    <row r="432" spans="1:20" x14ac:dyDescent="0.25">
      <c r="A432" s="364" t="s">
        <v>2426</v>
      </c>
      <c r="B432" s="361" t="s">
        <v>2427</v>
      </c>
      <c r="C432" t="s">
        <v>1920</v>
      </c>
      <c r="D432" s="361">
        <v>15</v>
      </c>
      <c r="E432" s="364"/>
      <c r="F432" s="361" t="s">
        <v>1917</v>
      </c>
      <c r="T432" s="361">
        <v>18</v>
      </c>
    </row>
    <row r="433" spans="1:20" x14ac:dyDescent="0.25">
      <c r="A433" s="364" t="s">
        <v>2428</v>
      </c>
      <c r="B433" s="361" t="s">
        <v>2429</v>
      </c>
      <c r="C433" t="s">
        <v>2419</v>
      </c>
      <c r="D433" s="361">
        <v>4</v>
      </c>
      <c r="E433" s="364"/>
      <c r="F433" s="361" t="s">
        <v>2201</v>
      </c>
      <c r="T433" s="361">
        <v>33.74</v>
      </c>
    </row>
    <row r="434" spans="1:20" x14ac:dyDescent="0.25">
      <c r="A434" s="364" t="s">
        <v>770</v>
      </c>
      <c r="B434" s="361" t="s">
        <v>771</v>
      </c>
      <c r="C434" t="s">
        <v>1916</v>
      </c>
      <c r="D434" s="361">
        <v>2</v>
      </c>
      <c r="E434" s="364"/>
      <c r="F434" s="361" t="s">
        <v>1917</v>
      </c>
      <c r="T434" s="361">
        <v>308.64999999999998</v>
      </c>
    </row>
    <row r="435" spans="1:20" x14ac:dyDescent="0.25">
      <c r="A435" s="364" t="s">
        <v>2430</v>
      </c>
      <c r="B435" s="361" t="s">
        <v>2431</v>
      </c>
      <c r="C435" t="s">
        <v>1920</v>
      </c>
      <c r="D435" s="361">
        <v>20</v>
      </c>
      <c r="E435" s="364"/>
      <c r="F435" s="361" t="s">
        <v>2201</v>
      </c>
      <c r="T435" s="361">
        <v>120.4</v>
      </c>
    </row>
    <row r="436" spans="1:20" x14ac:dyDescent="0.25">
      <c r="A436" s="364" t="s">
        <v>772</v>
      </c>
      <c r="B436" s="361" t="s">
        <v>773</v>
      </c>
      <c r="C436" t="s">
        <v>1916</v>
      </c>
      <c r="D436" s="361">
        <v>2</v>
      </c>
      <c r="E436" s="364"/>
      <c r="F436" s="361" t="s">
        <v>1917</v>
      </c>
      <c r="T436" s="361">
        <v>115.75</v>
      </c>
    </row>
    <row r="437" spans="1:20" x14ac:dyDescent="0.25">
      <c r="A437" s="364" t="s">
        <v>203</v>
      </c>
      <c r="B437" s="361" t="s">
        <v>774</v>
      </c>
      <c r="C437" t="s">
        <v>1922</v>
      </c>
      <c r="D437" s="361">
        <v>14</v>
      </c>
      <c r="E437" s="364"/>
      <c r="F437" s="361" t="s">
        <v>1921</v>
      </c>
      <c r="T437" s="361">
        <v>6.0800000000000003E-3</v>
      </c>
    </row>
    <row r="438" spans="1:20" x14ac:dyDescent="0.25">
      <c r="A438" s="364" t="s">
        <v>2432</v>
      </c>
      <c r="B438" s="361" t="s">
        <v>2433</v>
      </c>
      <c r="C438" t="s">
        <v>1920</v>
      </c>
      <c r="D438" s="361">
        <v>27</v>
      </c>
      <c r="E438" s="364"/>
      <c r="F438" s="361" t="s">
        <v>1921</v>
      </c>
      <c r="T438" s="361">
        <v>0.66400000000000003</v>
      </c>
    </row>
    <row r="439" spans="1:20" x14ac:dyDescent="0.25">
      <c r="A439" s="364" t="s">
        <v>2434</v>
      </c>
      <c r="B439" s="361" t="s">
        <v>2435</v>
      </c>
      <c r="C439" t="s">
        <v>1920</v>
      </c>
      <c r="D439" s="361">
        <v>27</v>
      </c>
      <c r="E439" s="364"/>
      <c r="F439" s="361" t="s">
        <v>1921</v>
      </c>
      <c r="T439" s="361">
        <v>0.60499999999999998</v>
      </c>
    </row>
    <row r="440" spans="1:20" x14ac:dyDescent="0.25">
      <c r="A440" s="364" t="s">
        <v>775</v>
      </c>
      <c r="B440" s="361" t="s">
        <v>776</v>
      </c>
      <c r="C440" t="s">
        <v>1916</v>
      </c>
      <c r="D440" s="361">
        <v>2</v>
      </c>
      <c r="E440" s="364"/>
      <c r="F440" s="361" t="s">
        <v>1917</v>
      </c>
      <c r="T440" s="361">
        <v>120</v>
      </c>
    </row>
    <row r="441" spans="1:20" x14ac:dyDescent="0.25">
      <c r="A441" s="364" t="s">
        <v>777</v>
      </c>
      <c r="B441" s="361" t="s">
        <v>778</v>
      </c>
      <c r="C441" t="s">
        <v>1922</v>
      </c>
      <c r="D441" s="361">
        <v>1</v>
      </c>
      <c r="E441" s="364"/>
      <c r="F441" s="361" t="s">
        <v>1917</v>
      </c>
      <c r="T441" s="361">
        <v>20.100000000000001</v>
      </c>
    </row>
    <row r="442" spans="1:20" x14ac:dyDescent="0.25">
      <c r="A442" s="364" t="s">
        <v>2436</v>
      </c>
      <c r="B442" s="361" t="s">
        <v>2437</v>
      </c>
      <c r="C442" t="s">
        <v>1920</v>
      </c>
      <c r="D442" s="361">
        <v>54</v>
      </c>
      <c r="E442" s="364"/>
      <c r="F442" s="361" t="s">
        <v>1921</v>
      </c>
      <c r="T442" s="361">
        <v>0.17599999999999999</v>
      </c>
    </row>
    <row r="443" spans="1:20" x14ac:dyDescent="0.25">
      <c r="A443" s="364" t="s">
        <v>2438</v>
      </c>
      <c r="B443" s="361" t="s">
        <v>2439</v>
      </c>
      <c r="C443" t="s">
        <v>1920</v>
      </c>
      <c r="D443" s="361">
        <v>54</v>
      </c>
      <c r="E443" s="364"/>
      <c r="F443" s="361" t="s">
        <v>1921</v>
      </c>
      <c r="T443" s="361">
        <v>4.4970000000000003E-2</v>
      </c>
    </row>
    <row r="444" spans="1:20" x14ac:dyDescent="0.25">
      <c r="A444" s="364" t="s">
        <v>2440</v>
      </c>
      <c r="B444" s="361" t="s">
        <v>2441</v>
      </c>
      <c r="C444" t="s">
        <v>1920</v>
      </c>
      <c r="D444" s="361">
        <v>27</v>
      </c>
      <c r="E444" s="364"/>
      <c r="F444" s="361" t="s">
        <v>1921</v>
      </c>
      <c r="T444" s="361">
        <v>1.046</v>
      </c>
    </row>
    <row r="445" spans="1:20" x14ac:dyDescent="0.25">
      <c r="A445" s="364" t="s">
        <v>370</v>
      </c>
      <c r="B445" s="361" t="s">
        <v>2442</v>
      </c>
      <c r="C445" t="s">
        <v>1920</v>
      </c>
      <c r="D445" s="361">
        <v>16</v>
      </c>
      <c r="E445" s="364"/>
      <c r="F445" s="361" t="s">
        <v>1917</v>
      </c>
      <c r="T445" s="361">
        <v>4.0999999999999996</v>
      </c>
    </row>
    <row r="446" spans="1:20" x14ac:dyDescent="0.25">
      <c r="A446" s="364" t="s">
        <v>369</v>
      </c>
      <c r="B446" s="361" t="s">
        <v>2443</v>
      </c>
      <c r="C446" t="s">
        <v>1920</v>
      </c>
      <c r="D446" s="361">
        <v>16</v>
      </c>
      <c r="E446" s="364"/>
      <c r="F446" s="361" t="s">
        <v>1917</v>
      </c>
      <c r="T446" s="361">
        <v>10.25</v>
      </c>
    </row>
    <row r="447" spans="1:20" x14ac:dyDescent="0.25">
      <c r="A447" s="364" t="s">
        <v>349</v>
      </c>
      <c r="B447" s="361" t="s">
        <v>2444</v>
      </c>
      <c r="C447" t="s">
        <v>1920</v>
      </c>
      <c r="D447" s="361">
        <v>16</v>
      </c>
      <c r="E447" s="364"/>
      <c r="F447" s="361" t="s">
        <v>1917</v>
      </c>
      <c r="T447" s="361">
        <v>10.25</v>
      </c>
    </row>
    <row r="448" spans="1:20" x14ac:dyDescent="0.25">
      <c r="A448" s="364" t="s">
        <v>222</v>
      </c>
      <c r="B448" s="361" t="s">
        <v>779</v>
      </c>
      <c r="C448" t="s">
        <v>1916</v>
      </c>
      <c r="D448" s="361">
        <v>2</v>
      </c>
      <c r="E448" s="364"/>
      <c r="F448" s="361" t="s">
        <v>1917</v>
      </c>
      <c r="T448" s="361">
        <v>914</v>
      </c>
    </row>
    <row r="449" spans="1:20" x14ac:dyDescent="0.25">
      <c r="A449" s="364" t="s">
        <v>2445</v>
      </c>
      <c r="B449" s="361" t="s">
        <v>2446</v>
      </c>
      <c r="C449" t="s">
        <v>1920</v>
      </c>
      <c r="D449" s="361">
        <v>45</v>
      </c>
      <c r="E449" s="364"/>
      <c r="F449" s="361" t="s">
        <v>1917</v>
      </c>
      <c r="T449" s="361">
        <v>31.5</v>
      </c>
    </row>
    <row r="450" spans="1:20" x14ac:dyDescent="0.25">
      <c r="A450" s="364" t="s">
        <v>2447</v>
      </c>
      <c r="B450" s="361" t="s">
        <v>2446</v>
      </c>
      <c r="C450" t="s">
        <v>1920</v>
      </c>
      <c r="D450" s="361">
        <v>45</v>
      </c>
      <c r="E450" s="364"/>
      <c r="F450" s="361" t="s">
        <v>1917</v>
      </c>
      <c r="T450" s="361">
        <v>32.299999999999997</v>
      </c>
    </row>
    <row r="451" spans="1:20" x14ac:dyDescent="0.25">
      <c r="A451" s="364" t="s">
        <v>2448</v>
      </c>
      <c r="B451" s="361" t="s">
        <v>2449</v>
      </c>
      <c r="C451" t="s">
        <v>1920</v>
      </c>
      <c r="D451" s="361">
        <v>45</v>
      </c>
      <c r="E451" s="364"/>
      <c r="F451" s="361" t="s">
        <v>1917</v>
      </c>
      <c r="T451" s="361">
        <v>49.6</v>
      </c>
    </row>
    <row r="452" spans="1:20" x14ac:dyDescent="0.25">
      <c r="A452" s="364" t="s">
        <v>2450</v>
      </c>
      <c r="B452" s="361" t="s">
        <v>2451</v>
      </c>
      <c r="C452" t="s">
        <v>1920</v>
      </c>
      <c r="D452" s="361">
        <v>54</v>
      </c>
      <c r="E452" s="364"/>
      <c r="F452" s="361" t="s">
        <v>1921</v>
      </c>
      <c r="T452" s="361">
        <v>0.246</v>
      </c>
    </row>
    <row r="453" spans="1:20" x14ac:dyDescent="0.25">
      <c r="A453" s="364" t="s">
        <v>2452</v>
      </c>
      <c r="B453" s="361" t="s">
        <v>2453</v>
      </c>
      <c r="C453" t="s">
        <v>1920</v>
      </c>
      <c r="D453" s="361">
        <v>54</v>
      </c>
      <c r="E453" s="364"/>
      <c r="F453" s="361" t="s">
        <v>1921</v>
      </c>
      <c r="T453" s="361">
        <v>0.13500000000000001</v>
      </c>
    </row>
    <row r="454" spans="1:20" x14ac:dyDescent="0.25">
      <c r="A454" s="364" t="s">
        <v>2454</v>
      </c>
      <c r="B454" s="361" t="s">
        <v>2455</v>
      </c>
      <c r="C454" t="s">
        <v>1920</v>
      </c>
      <c r="D454" s="361">
        <v>27</v>
      </c>
      <c r="E454" s="364"/>
      <c r="F454" s="361" t="s">
        <v>1921</v>
      </c>
      <c r="T454" s="361">
        <v>1.1910000000000001</v>
      </c>
    </row>
    <row r="455" spans="1:20" x14ac:dyDescent="0.25">
      <c r="A455" s="364" t="s">
        <v>2456</v>
      </c>
      <c r="B455" s="361" t="s">
        <v>2457</v>
      </c>
      <c r="C455" t="s">
        <v>2419</v>
      </c>
      <c r="D455" s="361">
        <v>4</v>
      </c>
      <c r="E455" s="364"/>
      <c r="F455" s="361" t="s">
        <v>1921</v>
      </c>
      <c r="T455" s="361">
        <v>0.10100000000000001</v>
      </c>
    </row>
    <row r="456" spans="1:20" x14ac:dyDescent="0.25">
      <c r="A456" s="364" t="s">
        <v>2458</v>
      </c>
      <c r="B456" s="361" t="s">
        <v>2459</v>
      </c>
      <c r="C456" t="s">
        <v>2419</v>
      </c>
      <c r="D456" s="361">
        <v>4</v>
      </c>
      <c r="E456" s="364"/>
      <c r="F456" s="361" t="s">
        <v>1921</v>
      </c>
      <c r="T456" s="361">
        <v>0.17100000000000001</v>
      </c>
    </row>
    <row r="457" spans="1:20" x14ac:dyDescent="0.25">
      <c r="A457" s="364" t="s">
        <v>780</v>
      </c>
      <c r="B457" s="361" t="s">
        <v>781</v>
      </c>
      <c r="C457" t="s">
        <v>1922</v>
      </c>
      <c r="D457" s="361">
        <v>1</v>
      </c>
      <c r="E457" s="364"/>
      <c r="F457" s="361" t="s">
        <v>1917</v>
      </c>
      <c r="T457" s="361">
        <v>10.83</v>
      </c>
    </row>
    <row r="458" spans="1:20" x14ac:dyDescent="0.25">
      <c r="A458" s="364" t="s">
        <v>782</v>
      </c>
      <c r="B458" s="361" t="s">
        <v>783</v>
      </c>
      <c r="C458" t="s">
        <v>1922</v>
      </c>
      <c r="D458" s="361">
        <v>1</v>
      </c>
      <c r="E458" s="364"/>
      <c r="F458" s="361" t="s">
        <v>1917</v>
      </c>
      <c r="T458" s="361">
        <v>29.77</v>
      </c>
    </row>
    <row r="459" spans="1:20" x14ac:dyDescent="0.25">
      <c r="A459" s="364" t="s">
        <v>2460</v>
      </c>
      <c r="B459" s="361" t="s">
        <v>2461</v>
      </c>
      <c r="C459" t="s">
        <v>1920</v>
      </c>
      <c r="D459" s="361">
        <v>24</v>
      </c>
      <c r="E459" s="364"/>
      <c r="F459" s="361" t="s">
        <v>1921</v>
      </c>
      <c r="T459" s="361">
        <v>3.2300000000000002E-2</v>
      </c>
    </row>
    <row r="460" spans="1:20" x14ac:dyDescent="0.25">
      <c r="A460" s="364" t="s">
        <v>2462</v>
      </c>
      <c r="B460" s="361" t="s">
        <v>2463</v>
      </c>
      <c r="C460" t="s">
        <v>1920</v>
      </c>
      <c r="D460" s="361">
        <v>24</v>
      </c>
      <c r="E460" s="364"/>
      <c r="F460" s="361" t="s">
        <v>1921</v>
      </c>
      <c r="T460" s="361">
        <v>3.2300000000000002E-2</v>
      </c>
    </row>
    <row r="461" spans="1:20" x14ac:dyDescent="0.25">
      <c r="A461" s="364" t="s">
        <v>2464</v>
      </c>
      <c r="B461" s="361" t="s">
        <v>2465</v>
      </c>
      <c r="C461" t="s">
        <v>1920</v>
      </c>
      <c r="D461" s="361">
        <v>24</v>
      </c>
      <c r="E461" s="364"/>
      <c r="F461" s="361" t="s">
        <v>1921</v>
      </c>
      <c r="T461" s="361">
        <v>3.2300000000000002E-2</v>
      </c>
    </row>
    <row r="462" spans="1:20" x14ac:dyDescent="0.25">
      <c r="A462" s="364" t="s">
        <v>2466</v>
      </c>
      <c r="B462" s="361" t="s">
        <v>2467</v>
      </c>
      <c r="C462" t="s">
        <v>1920</v>
      </c>
      <c r="D462" s="361">
        <v>27</v>
      </c>
      <c r="E462" s="364"/>
      <c r="F462" s="361" t="s">
        <v>1921</v>
      </c>
      <c r="T462" s="361">
        <v>0.82399999999999995</v>
      </c>
    </row>
    <row r="463" spans="1:20" x14ac:dyDescent="0.25">
      <c r="A463" s="364" t="s">
        <v>405</v>
      </c>
      <c r="B463" s="361" t="s">
        <v>2468</v>
      </c>
      <c r="C463" t="s">
        <v>1920</v>
      </c>
      <c r="D463" s="361">
        <v>27</v>
      </c>
      <c r="E463" s="364"/>
      <c r="F463" s="361" t="s">
        <v>1921</v>
      </c>
      <c r="T463" s="361">
        <v>1.2</v>
      </c>
    </row>
    <row r="464" spans="1:20" x14ac:dyDescent="0.25">
      <c r="A464" s="364" t="s">
        <v>388</v>
      </c>
      <c r="B464" s="361" t="s">
        <v>2469</v>
      </c>
      <c r="C464" t="s">
        <v>1920</v>
      </c>
      <c r="D464" s="361">
        <v>27</v>
      </c>
      <c r="E464" s="364"/>
      <c r="F464" s="361" t="s">
        <v>1921</v>
      </c>
      <c r="T464" s="361">
        <v>1.206</v>
      </c>
    </row>
    <row r="465" spans="1:20" x14ac:dyDescent="0.25">
      <c r="A465" s="364" t="s">
        <v>393</v>
      </c>
      <c r="B465" s="361" t="s">
        <v>2470</v>
      </c>
      <c r="C465" t="s">
        <v>1920</v>
      </c>
      <c r="D465" s="361">
        <v>27</v>
      </c>
      <c r="E465" s="364"/>
      <c r="F465" s="361" t="s">
        <v>1921</v>
      </c>
      <c r="T465" s="361">
        <v>1.179</v>
      </c>
    </row>
    <row r="466" spans="1:20" x14ac:dyDescent="0.25">
      <c r="A466" s="364" t="s">
        <v>2471</v>
      </c>
      <c r="B466" s="361" t="s">
        <v>2472</v>
      </c>
      <c r="C466" t="s">
        <v>1920</v>
      </c>
      <c r="D466" s="361">
        <v>27</v>
      </c>
      <c r="E466" s="364"/>
      <c r="F466" s="361" t="s">
        <v>1921</v>
      </c>
      <c r="T466" s="361">
        <v>1.367</v>
      </c>
    </row>
    <row r="467" spans="1:20" x14ac:dyDescent="0.25">
      <c r="A467" s="364" t="s">
        <v>390</v>
      </c>
      <c r="B467" s="361" t="s">
        <v>2473</v>
      </c>
      <c r="C467" t="s">
        <v>1920</v>
      </c>
      <c r="D467" s="361">
        <v>27</v>
      </c>
      <c r="E467" s="364"/>
      <c r="F467" s="361" t="s">
        <v>1921</v>
      </c>
      <c r="T467" s="361">
        <v>1.204</v>
      </c>
    </row>
    <row r="468" spans="1:20" x14ac:dyDescent="0.25">
      <c r="A468" s="364" t="s">
        <v>288</v>
      </c>
      <c r="B468" s="361" t="s">
        <v>784</v>
      </c>
      <c r="C468" t="s">
        <v>1916</v>
      </c>
      <c r="D468" s="361">
        <v>2</v>
      </c>
      <c r="E468" s="364"/>
      <c r="F468" s="361" t="s">
        <v>1917</v>
      </c>
      <c r="T468" s="361">
        <v>40</v>
      </c>
    </row>
    <row r="469" spans="1:20" x14ac:dyDescent="0.25">
      <c r="A469" s="364" t="s">
        <v>2474</v>
      </c>
      <c r="B469" s="361" t="s">
        <v>2475</v>
      </c>
      <c r="C469" t="s">
        <v>1920</v>
      </c>
      <c r="D469" s="361">
        <v>54</v>
      </c>
      <c r="E469" s="364"/>
      <c r="F469" s="361" t="s">
        <v>1921</v>
      </c>
      <c r="T469" s="361">
        <v>3.1199999999999999E-2</v>
      </c>
    </row>
    <row r="470" spans="1:20" x14ac:dyDescent="0.25">
      <c r="A470" s="364" t="s">
        <v>2476</v>
      </c>
      <c r="B470" s="361" t="s">
        <v>2477</v>
      </c>
      <c r="C470" t="s">
        <v>2095</v>
      </c>
      <c r="D470" s="361">
        <v>95</v>
      </c>
      <c r="E470" s="364"/>
      <c r="F470" s="361" t="s">
        <v>2201</v>
      </c>
      <c r="T470" s="361">
        <v>1.0000000000000001E-5</v>
      </c>
    </row>
    <row r="471" spans="1:20" x14ac:dyDescent="0.25">
      <c r="A471" s="364" t="s">
        <v>374</v>
      </c>
      <c r="B471" s="361" t="s">
        <v>2478</v>
      </c>
      <c r="C471" t="s">
        <v>1920</v>
      </c>
      <c r="D471" s="361">
        <v>45</v>
      </c>
      <c r="E471" s="364"/>
      <c r="F471" s="361" t="s">
        <v>1917</v>
      </c>
      <c r="T471" s="361">
        <v>26.8</v>
      </c>
    </row>
    <row r="472" spans="1:20" x14ac:dyDescent="0.25">
      <c r="A472" s="364" t="s">
        <v>2479</v>
      </c>
      <c r="B472" s="361" t="s">
        <v>2480</v>
      </c>
      <c r="C472" t="s">
        <v>1920</v>
      </c>
      <c r="D472" s="361">
        <v>54</v>
      </c>
      <c r="E472" s="364"/>
      <c r="F472" s="361" t="s">
        <v>1921</v>
      </c>
      <c r="T472" s="361">
        <v>0.13038</v>
      </c>
    </row>
    <row r="473" spans="1:20" x14ac:dyDescent="0.25">
      <c r="A473" s="364" t="s">
        <v>2481</v>
      </c>
      <c r="B473" s="361" t="s">
        <v>2482</v>
      </c>
      <c r="C473" t="s">
        <v>1920</v>
      </c>
      <c r="D473" s="361">
        <v>45</v>
      </c>
      <c r="E473" s="364"/>
      <c r="F473" s="361" t="s">
        <v>1917</v>
      </c>
      <c r="T473" s="361">
        <v>49.6</v>
      </c>
    </row>
    <row r="474" spans="1:20" x14ac:dyDescent="0.25">
      <c r="A474" s="364" t="s">
        <v>439</v>
      </c>
      <c r="B474" s="361" t="s">
        <v>2483</v>
      </c>
      <c r="C474" t="s">
        <v>1920</v>
      </c>
      <c r="D474" s="361">
        <v>54</v>
      </c>
      <c r="E474" s="364"/>
      <c r="F474" s="361" t="s">
        <v>1921</v>
      </c>
      <c r="T474" s="361">
        <v>0.20535</v>
      </c>
    </row>
    <row r="475" spans="1:20" x14ac:dyDescent="0.25">
      <c r="A475" s="364" t="s">
        <v>362</v>
      </c>
      <c r="B475" s="361" t="s">
        <v>2484</v>
      </c>
      <c r="C475" t="s">
        <v>1920</v>
      </c>
      <c r="D475" s="361">
        <v>19</v>
      </c>
      <c r="E475" s="364"/>
      <c r="F475" s="361" t="s">
        <v>1917</v>
      </c>
      <c r="T475" s="361">
        <v>16.5</v>
      </c>
    </row>
    <row r="476" spans="1:20" x14ac:dyDescent="0.25">
      <c r="A476" s="364" t="s">
        <v>2485</v>
      </c>
      <c r="B476" s="361" t="s">
        <v>2486</v>
      </c>
      <c r="C476" t="s">
        <v>1920</v>
      </c>
      <c r="D476" s="361">
        <v>22</v>
      </c>
      <c r="E476" s="364"/>
      <c r="F476" s="361" t="s">
        <v>1921</v>
      </c>
      <c r="T476" s="361">
        <v>388.26666999999998</v>
      </c>
    </row>
    <row r="477" spans="1:20" x14ac:dyDescent="0.25">
      <c r="A477" s="364" t="s">
        <v>2487</v>
      </c>
      <c r="B477" s="361" t="s">
        <v>2488</v>
      </c>
      <c r="C477" t="s">
        <v>1920</v>
      </c>
      <c r="D477" s="361">
        <v>45</v>
      </c>
      <c r="E477" s="364"/>
      <c r="F477" s="361" t="s">
        <v>1917</v>
      </c>
      <c r="T477" s="361">
        <v>49.6</v>
      </c>
    </row>
    <row r="478" spans="1:20" x14ac:dyDescent="0.25">
      <c r="A478" s="364" t="s">
        <v>2489</v>
      </c>
      <c r="B478" s="361" t="s">
        <v>2490</v>
      </c>
      <c r="C478" t="s">
        <v>1920</v>
      </c>
      <c r="D478" s="361">
        <v>24</v>
      </c>
      <c r="E478" s="364"/>
      <c r="F478" s="361" t="s">
        <v>2201</v>
      </c>
      <c r="T478" s="361">
        <v>159.77207999999999</v>
      </c>
    </row>
    <row r="479" spans="1:20" x14ac:dyDescent="0.25">
      <c r="A479" s="364" t="s">
        <v>440</v>
      </c>
      <c r="B479" s="361" t="s">
        <v>2491</v>
      </c>
      <c r="C479" t="s">
        <v>1920</v>
      </c>
      <c r="D479" s="361">
        <v>27</v>
      </c>
      <c r="E479" s="364"/>
      <c r="F479" s="361" t="s">
        <v>1921</v>
      </c>
      <c r="T479" s="361">
        <v>1.2</v>
      </c>
    </row>
    <row r="480" spans="1:20" x14ac:dyDescent="0.25">
      <c r="A480" s="364" t="s">
        <v>2492</v>
      </c>
      <c r="B480" s="361" t="s">
        <v>2493</v>
      </c>
      <c r="C480" t="s">
        <v>1920</v>
      </c>
      <c r="D480" s="361">
        <v>20</v>
      </c>
      <c r="E480" s="364"/>
      <c r="F480" s="361" t="s">
        <v>2201</v>
      </c>
      <c r="T480" s="361">
        <v>36.700000000000003</v>
      </c>
    </row>
    <row r="481" spans="1:20" x14ac:dyDescent="0.25">
      <c r="A481" s="364" t="s">
        <v>2494</v>
      </c>
      <c r="B481" s="361" t="s">
        <v>2495</v>
      </c>
      <c r="C481" t="s">
        <v>1920</v>
      </c>
      <c r="D481" s="361">
        <v>24</v>
      </c>
      <c r="E481" s="364"/>
      <c r="F481" s="361" t="s">
        <v>2201</v>
      </c>
      <c r="T481" s="361">
        <v>79</v>
      </c>
    </row>
    <row r="482" spans="1:20" x14ac:dyDescent="0.25">
      <c r="A482" s="364" t="s">
        <v>146</v>
      </c>
      <c r="B482" s="361" t="s">
        <v>785</v>
      </c>
      <c r="C482" t="s">
        <v>1922</v>
      </c>
      <c r="D482" s="361">
        <v>1</v>
      </c>
      <c r="E482" s="364"/>
      <c r="F482" s="361" t="s">
        <v>1917</v>
      </c>
      <c r="T482" s="361">
        <v>11.9</v>
      </c>
    </row>
    <row r="483" spans="1:20" x14ac:dyDescent="0.25">
      <c r="A483" s="364" t="s">
        <v>2496</v>
      </c>
      <c r="B483" s="361" t="s">
        <v>2497</v>
      </c>
      <c r="C483" t="s">
        <v>1920</v>
      </c>
      <c r="D483" s="361">
        <v>45</v>
      </c>
      <c r="E483" s="364"/>
      <c r="F483" s="361" t="s">
        <v>1917</v>
      </c>
      <c r="T483" s="361">
        <v>34.799999999999997</v>
      </c>
    </row>
    <row r="484" spans="1:20" x14ac:dyDescent="0.25">
      <c r="A484" s="364" t="s">
        <v>2498</v>
      </c>
      <c r="B484" s="361" t="s">
        <v>2499</v>
      </c>
      <c r="C484" t="s">
        <v>1920</v>
      </c>
      <c r="D484" s="361">
        <v>24</v>
      </c>
      <c r="E484" s="364"/>
      <c r="F484" s="361" t="s">
        <v>2201</v>
      </c>
      <c r="T484" s="361">
        <v>190.96100000000001</v>
      </c>
    </row>
    <row r="485" spans="1:20" x14ac:dyDescent="0.25">
      <c r="A485" s="364" t="s">
        <v>2500</v>
      </c>
      <c r="B485" s="361" t="s">
        <v>2501</v>
      </c>
      <c r="C485" t="s">
        <v>1920</v>
      </c>
      <c r="D485" s="361">
        <v>15</v>
      </c>
      <c r="E485" s="364"/>
      <c r="F485" s="361" t="s">
        <v>1917</v>
      </c>
      <c r="T485" s="361">
        <v>39.4</v>
      </c>
    </row>
    <row r="486" spans="1:20" x14ac:dyDescent="0.25">
      <c r="A486" s="364" t="s">
        <v>2502</v>
      </c>
      <c r="B486" s="361" t="s">
        <v>2503</v>
      </c>
      <c r="C486" t="s">
        <v>1920</v>
      </c>
      <c r="D486" s="361">
        <v>12</v>
      </c>
      <c r="E486" s="364"/>
      <c r="F486" s="361" t="s">
        <v>1921</v>
      </c>
      <c r="T486" s="361">
        <v>9.5689999999999997E-2</v>
      </c>
    </row>
    <row r="487" spans="1:20" x14ac:dyDescent="0.25">
      <c r="A487" s="364" t="s">
        <v>2504</v>
      </c>
      <c r="B487" s="361" t="s">
        <v>2505</v>
      </c>
      <c r="C487" t="s">
        <v>1920</v>
      </c>
      <c r="D487" s="361">
        <v>45</v>
      </c>
      <c r="E487" s="364"/>
      <c r="F487" s="361" t="s">
        <v>1917</v>
      </c>
      <c r="T487" s="361">
        <v>25.9</v>
      </c>
    </row>
    <row r="488" spans="1:20" x14ac:dyDescent="0.25">
      <c r="A488" s="364" t="s">
        <v>2506</v>
      </c>
      <c r="B488" s="361" t="s">
        <v>2507</v>
      </c>
      <c r="C488" t="s">
        <v>1920</v>
      </c>
      <c r="D488" s="361">
        <v>24</v>
      </c>
      <c r="E488" s="364"/>
      <c r="F488" s="361" t="s">
        <v>2201</v>
      </c>
      <c r="T488" s="361">
        <v>112.518</v>
      </c>
    </row>
    <row r="489" spans="1:20" x14ac:dyDescent="0.25">
      <c r="A489" s="364" t="s">
        <v>2508</v>
      </c>
      <c r="B489" s="361" t="s">
        <v>2509</v>
      </c>
      <c r="C489" t="s">
        <v>1920</v>
      </c>
      <c r="D489" s="361">
        <v>20</v>
      </c>
      <c r="E489" s="364"/>
      <c r="F489" s="361" t="s">
        <v>2201</v>
      </c>
      <c r="T489" s="361">
        <v>230.9</v>
      </c>
    </row>
    <row r="490" spans="1:20" x14ac:dyDescent="0.25">
      <c r="A490" s="364" t="s">
        <v>2510</v>
      </c>
      <c r="B490" s="361" t="s">
        <v>2511</v>
      </c>
      <c r="C490" t="s">
        <v>1920</v>
      </c>
      <c r="D490" s="361">
        <v>22</v>
      </c>
      <c r="E490" s="364"/>
      <c r="F490" s="361" t="s">
        <v>1921</v>
      </c>
      <c r="T490" s="361">
        <v>0.46744000000000002</v>
      </c>
    </row>
    <row r="491" spans="1:20" x14ac:dyDescent="0.25">
      <c r="A491" s="364" t="s">
        <v>786</v>
      </c>
      <c r="B491" s="361" t="s">
        <v>787</v>
      </c>
      <c r="C491" t="s">
        <v>1922</v>
      </c>
      <c r="D491" s="361">
        <v>1</v>
      </c>
      <c r="E491" s="364"/>
      <c r="F491" s="361" t="s">
        <v>1917</v>
      </c>
      <c r="T491" s="361">
        <v>7.1</v>
      </c>
    </row>
    <row r="492" spans="1:20" x14ac:dyDescent="0.25">
      <c r="A492" s="364" t="s">
        <v>2512</v>
      </c>
      <c r="B492" s="361" t="s">
        <v>2513</v>
      </c>
      <c r="C492" t="s">
        <v>2419</v>
      </c>
      <c r="D492" s="361">
        <v>4</v>
      </c>
      <c r="E492" s="364"/>
      <c r="F492" s="361" t="s">
        <v>1921</v>
      </c>
      <c r="T492" s="361">
        <v>8.1200000000000005E-3</v>
      </c>
    </row>
    <row r="493" spans="1:20" x14ac:dyDescent="0.25">
      <c r="A493" s="364" t="s">
        <v>2514</v>
      </c>
      <c r="B493" s="361" t="s">
        <v>2515</v>
      </c>
      <c r="C493" t="s">
        <v>1920</v>
      </c>
      <c r="D493" s="361">
        <v>15</v>
      </c>
      <c r="E493" s="364"/>
      <c r="F493" s="361" t="s">
        <v>1917</v>
      </c>
      <c r="T493" s="361">
        <v>39.4</v>
      </c>
    </row>
    <row r="494" spans="1:20" x14ac:dyDescent="0.25">
      <c r="A494" s="364" t="s">
        <v>2516</v>
      </c>
      <c r="B494" s="361" t="s">
        <v>2517</v>
      </c>
      <c r="C494" t="s">
        <v>1920</v>
      </c>
      <c r="D494" s="361">
        <v>15</v>
      </c>
      <c r="E494" s="364"/>
      <c r="F494" s="361" t="s">
        <v>1917</v>
      </c>
      <c r="T494" s="361">
        <v>39.4</v>
      </c>
    </row>
    <row r="495" spans="1:20" x14ac:dyDescent="0.25">
      <c r="A495" s="364" t="s">
        <v>2518</v>
      </c>
      <c r="B495" s="361" t="s">
        <v>2519</v>
      </c>
      <c r="C495" t="s">
        <v>1920</v>
      </c>
      <c r="D495" s="361">
        <v>15</v>
      </c>
      <c r="E495" s="364"/>
      <c r="F495" s="361" t="s">
        <v>1917</v>
      </c>
      <c r="T495" s="361">
        <v>39.4</v>
      </c>
    </row>
    <row r="496" spans="1:20" x14ac:dyDescent="0.25">
      <c r="A496" s="364" t="s">
        <v>2520</v>
      </c>
      <c r="B496" s="361" t="s">
        <v>2521</v>
      </c>
      <c r="C496" t="s">
        <v>1920</v>
      </c>
      <c r="D496" s="361">
        <v>15</v>
      </c>
      <c r="E496" s="364"/>
      <c r="F496" s="361" t="s">
        <v>1917</v>
      </c>
      <c r="T496" s="361">
        <v>26.8</v>
      </c>
    </row>
    <row r="497" spans="1:20" x14ac:dyDescent="0.25">
      <c r="A497" s="364" t="s">
        <v>2522</v>
      </c>
      <c r="B497" s="361" t="s">
        <v>2523</v>
      </c>
      <c r="C497" t="s">
        <v>1920</v>
      </c>
      <c r="D497" s="361">
        <v>24</v>
      </c>
      <c r="E497" s="364"/>
      <c r="F497" s="361" t="s">
        <v>2201</v>
      </c>
      <c r="T497" s="361">
        <v>89.838099999999997</v>
      </c>
    </row>
    <row r="498" spans="1:20" x14ac:dyDescent="0.25">
      <c r="A498" s="364" t="s">
        <v>2524</v>
      </c>
      <c r="B498" s="361" t="s">
        <v>2525</v>
      </c>
      <c r="C498" t="s">
        <v>1920</v>
      </c>
      <c r="D498" s="361">
        <v>15</v>
      </c>
      <c r="E498" s="364"/>
      <c r="F498" s="361" t="s">
        <v>1917</v>
      </c>
      <c r="T498" s="361">
        <v>26.8</v>
      </c>
    </row>
    <row r="499" spans="1:20" x14ac:dyDescent="0.25">
      <c r="A499" s="364" t="s">
        <v>788</v>
      </c>
      <c r="B499" s="361" t="s">
        <v>789</v>
      </c>
      <c r="C499" t="s">
        <v>1916</v>
      </c>
      <c r="D499" s="361">
        <v>2</v>
      </c>
      <c r="E499" s="364"/>
      <c r="F499" s="361" t="s">
        <v>1917</v>
      </c>
      <c r="T499" s="361">
        <v>183.5</v>
      </c>
    </row>
    <row r="500" spans="1:20" x14ac:dyDescent="0.25">
      <c r="A500" s="364" t="s">
        <v>790</v>
      </c>
      <c r="B500" s="361" t="s">
        <v>791</v>
      </c>
      <c r="C500" t="s">
        <v>1922</v>
      </c>
      <c r="D500" s="361">
        <v>1</v>
      </c>
      <c r="E500" s="364"/>
      <c r="F500" s="361" t="s">
        <v>1917</v>
      </c>
      <c r="T500" s="361">
        <v>70.06</v>
      </c>
    </row>
    <row r="501" spans="1:20" x14ac:dyDescent="0.25">
      <c r="A501" s="364" t="s">
        <v>2526</v>
      </c>
      <c r="B501" s="361" t="s">
        <v>2527</v>
      </c>
      <c r="C501" t="s">
        <v>1920</v>
      </c>
      <c r="D501" s="361">
        <v>11</v>
      </c>
      <c r="E501" s="364"/>
      <c r="F501" s="361" t="s">
        <v>2201</v>
      </c>
      <c r="T501" s="361">
        <v>298.75</v>
      </c>
    </row>
    <row r="502" spans="1:20" x14ac:dyDescent="0.25">
      <c r="A502" s="364" t="s">
        <v>2528</v>
      </c>
      <c r="B502" s="361" t="s">
        <v>2529</v>
      </c>
      <c r="C502" t="s">
        <v>1920</v>
      </c>
      <c r="D502" s="361">
        <v>27</v>
      </c>
      <c r="E502" s="364"/>
      <c r="F502" s="361" t="s">
        <v>1921</v>
      </c>
      <c r="T502" s="361">
        <v>0.76100000000000001</v>
      </c>
    </row>
    <row r="503" spans="1:20" x14ac:dyDescent="0.25">
      <c r="A503" s="364" t="s">
        <v>2530</v>
      </c>
      <c r="B503" s="361" t="s">
        <v>2531</v>
      </c>
      <c r="C503" t="s">
        <v>1920</v>
      </c>
      <c r="D503" s="361">
        <v>27</v>
      </c>
      <c r="E503" s="364"/>
      <c r="F503" s="361" t="s">
        <v>1921</v>
      </c>
      <c r="T503" s="361">
        <v>0.61799999999999999</v>
      </c>
    </row>
    <row r="504" spans="1:20" x14ac:dyDescent="0.25">
      <c r="A504" s="364" t="s">
        <v>792</v>
      </c>
      <c r="B504" s="361" t="s">
        <v>793</v>
      </c>
      <c r="C504" t="s">
        <v>1922</v>
      </c>
      <c r="D504" s="361">
        <v>1</v>
      </c>
      <c r="E504" s="364"/>
      <c r="F504" s="361" t="s">
        <v>1917</v>
      </c>
      <c r="T504" s="361">
        <v>158</v>
      </c>
    </row>
    <row r="505" spans="1:20" x14ac:dyDescent="0.25">
      <c r="A505" s="364" t="s">
        <v>2532</v>
      </c>
      <c r="B505" s="361" t="s">
        <v>2533</v>
      </c>
      <c r="C505" t="s">
        <v>1920</v>
      </c>
      <c r="D505" s="361">
        <v>54</v>
      </c>
      <c r="E505" s="364"/>
      <c r="F505" s="361" t="s">
        <v>1921</v>
      </c>
      <c r="T505" s="361">
        <v>0.11316</v>
      </c>
    </row>
    <row r="506" spans="1:20" x14ac:dyDescent="0.25">
      <c r="A506" s="364" t="s">
        <v>2534</v>
      </c>
      <c r="B506" s="361" t="s">
        <v>2535</v>
      </c>
      <c r="C506" t="s">
        <v>1920</v>
      </c>
      <c r="D506" s="361">
        <v>20</v>
      </c>
      <c r="E506" s="364"/>
      <c r="F506" s="361" t="s">
        <v>1921</v>
      </c>
      <c r="T506" s="361">
        <v>3.2300000000000002E-2</v>
      </c>
    </row>
    <row r="507" spans="1:20" x14ac:dyDescent="0.25">
      <c r="A507" s="364" t="s">
        <v>2536</v>
      </c>
      <c r="B507" s="361" t="s">
        <v>2537</v>
      </c>
      <c r="C507" t="s">
        <v>1920</v>
      </c>
      <c r="D507" s="361">
        <v>22</v>
      </c>
      <c r="E507" s="364"/>
      <c r="F507" s="361" t="s">
        <v>1921</v>
      </c>
      <c r="T507" s="361">
        <v>445.95</v>
      </c>
    </row>
    <row r="508" spans="1:20" x14ac:dyDescent="0.25">
      <c r="A508" s="364" t="s">
        <v>111</v>
      </c>
      <c r="B508" s="361" t="s">
        <v>794</v>
      </c>
      <c r="C508" t="s">
        <v>1922</v>
      </c>
      <c r="D508" s="361">
        <v>1</v>
      </c>
      <c r="E508" s="364"/>
      <c r="F508" s="361" t="s">
        <v>1917</v>
      </c>
      <c r="T508" s="361">
        <v>73.739999999999995</v>
      </c>
    </row>
    <row r="509" spans="1:20" x14ac:dyDescent="0.25">
      <c r="A509" s="364" t="s">
        <v>248</v>
      </c>
      <c r="B509" s="361" t="s">
        <v>795</v>
      </c>
      <c r="C509" t="s">
        <v>1922</v>
      </c>
      <c r="D509" s="361">
        <v>1</v>
      </c>
      <c r="E509" s="364"/>
      <c r="F509" s="361" t="s">
        <v>1917</v>
      </c>
      <c r="T509" s="361">
        <v>98.44</v>
      </c>
    </row>
    <row r="510" spans="1:20" x14ac:dyDescent="0.25">
      <c r="A510" s="364" t="s">
        <v>120</v>
      </c>
      <c r="B510" s="361" t="s">
        <v>796</v>
      </c>
      <c r="C510" t="s">
        <v>1916</v>
      </c>
      <c r="D510" s="361">
        <v>2</v>
      </c>
      <c r="E510" s="364"/>
      <c r="F510" s="361" t="s">
        <v>1917</v>
      </c>
      <c r="T510" s="361">
        <v>2525</v>
      </c>
    </row>
    <row r="511" spans="1:20" x14ac:dyDescent="0.25">
      <c r="A511" s="364" t="s">
        <v>2538</v>
      </c>
      <c r="B511" s="361" t="s">
        <v>2539</v>
      </c>
      <c r="C511" t="s">
        <v>1920</v>
      </c>
      <c r="D511" s="361">
        <v>15</v>
      </c>
      <c r="E511" s="364"/>
      <c r="F511" s="361" t="s">
        <v>1917</v>
      </c>
      <c r="T511" s="361">
        <v>24.45</v>
      </c>
    </row>
    <row r="512" spans="1:20" x14ac:dyDescent="0.25">
      <c r="A512" s="364" t="s">
        <v>2540</v>
      </c>
      <c r="B512" s="361" t="s">
        <v>2541</v>
      </c>
      <c r="C512" t="s">
        <v>1920</v>
      </c>
      <c r="D512" s="361">
        <v>24</v>
      </c>
      <c r="E512" s="364"/>
      <c r="F512" s="361" t="s">
        <v>1921</v>
      </c>
      <c r="T512" s="361">
        <v>0.68708999999999998</v>
      </c>
    </row>
    <row r="513" spans="1:20" x14ac:dyDescent="0.25">
      <c r="A513" s="364" t="s">
        <v>797</v>
      </c>
      <c r="B513" s="361" t="s">
        <v>798</v>
      </c>
      <c r="C513" t="s">
        <v>1922</v>
      </c>
      <c r="D513" s="361">
        <v>1</v>
      </c>
      <c r="E513" s="364"/>
      <c r="F513" s="361" t="s">
        <v>1921</v>
      </c>
      <c r="T513" s="361">
        <v>51</v>
      </c>
    </row>
    <row r="514" spans="1:20" x14ac:dyDescent="0.25">
      <c r="A514" s="364" t="s">
        <v>2542</v>
      </c>
      <c r="B514" s="361" t="s">
        <v>2543</v>
      </c>
      <c r="C514" t="s">
        <v>1920</v>
      </c>
      <c r="D514" s="361">
        <v>50</v>
      </c>
      <c r="E514" s="364"/>
      <c r="F514" s="361" t="s">
        <v>1921</v>
      </c>
      <c r="T514" s="361">
        <v>5.1180000000000003E-2</v>
      </c>
    </row>
    <row r="515" spans="1:20" x14ac:dyDescent="0.25">
      <c r="A515" s="364" t="s">
        <v>2544</v>
      </c>
      <c r="B515" s="361" t="s">
        <v>2545</v>
      </c>
      <c r="C515" t="s">
        <v>1920</v>
      </c>
      <c r="D515" s="361">
        <v>56</v>
      </c>
      <c r="E515" s="364"/>
      <c r="F515" s="361" t="s">
        <v>1921</v>
      </c>
      <c r="T515" s="361">
        <v>1.157</v>
      </c>
    </row>
    <row r="516" spans="1:20" x14ac:dyDescent="0.25">
      <c r="A516" s="364" t="s">
        <v>2546</v>
      </c>
      <c r="B516" s="361" t="s">
        <v>2547</v>
      </c>
      <c r="C516" t="s">
        <v>1920</v>
      </c>
      <c r="D516" s="361">
        <v>50</v>
      </c>
      <c r="E516" s="364"/>
      <c r="F516" s="361" t="s">
        <v>1921</v>
      </c>
      <c r="T516" s="361">
        <v>5.1180000000000003E-2</v>
      </c>
    </row>
    <row r="517" spans="1:20" x14ac:dyDescent="0.25">
      <c r="A517" s="364" t="s">
        <v>2548</v>
      </c>
      <c r="B517" s="361" t="s">
        <v>2549</v>
      </c>
      <c r="C517" t="s">
        <v>1920</v>
      </c>
      <c r="D517" s="361">
        <v>56</v>
      </c>
      <c r="E517" s="364"/>
      <c r="F517" s="361" t="s">
        <v>1921</v>
      </c>
      <c r="T517" s="361">
        <v>1.157</v>
      </c>
    </row>
    <row r="518" spans="1:20" x14ac:dyDescent="0.25">
      <c r="A518" s="364" t="s">
        <v>2550</v>
      </c>
      <c r="B518" s="361" t="s">
        <v>2551</v>
      </c>
      <c r="C518" t="s">
        <v>1920</v>
      </c>
      <c r="D518" s="361">
        <v>54</v>
      </c>
      <c r="E518" s="364"/>
      <c r="F518" s="361" t="s">
        <v>2201</v>
      </c>
      <c r="T518" s="361">
        <v>122.61069999999999</v>
      </c>
    </row>
    <row r="519" spans="1:20" x14ac:dyDescent="0.25">
      <c r="A519" s="364" t="s">
        <v>2552</v>
      </c>
      <c r="B519" s="361" t="s">
        <v>2553</v>
      </c>
      <c r="C519" t="s">
        <v>1920</v>
      </c>
      <c r="D519" s="361">
        <v>52</v>
      </c>
      <c r="E519" s="364"/>
      <c r="F519" s="361" t="s">
        <v>2201</v>
      </c>
      <c r="T519" s="361">
        <v>106.65</v>
      </c>
    </row>
    <row r="520" spans="1:20" x14ac:dyDescent="0.25">
      <c r="A520" s="364" t="s">
        <v>2554</v>
      </c>
      <c r="B520" s="361" t="s">
        <v>2555</v>
      </c>
      <c r="C520" t="s">
        <v>1920</v>
      </c>
      <c r="D520" s="361">
        <v>22</v>
      </c>
      <c r="E520" s="364"/>
      <c r="F520" s="361" t="s">
        <v>1921</v>
      </c>
      <c r="T520" s="361">
        <v>445.95</v>
      </c>
    </row>
    <row r="521" spans="1:20" x14ac:dyDescent="0.25">
      <c r="A521" s="364" t="s">
        <v>2556</v>
      </c>
      <c r="B521" s="361" t="s">
        <v>2557</v>
      </c>
      <c r="C521" t="s">
        <v>1920</v>
      </c>
      <c r="D521" s="361">
        <v>22</v>
      </c>
      <c r="E521" s="364"/>
      <c r="F521" s="361" t="s">
        <v>1921</v>
      </c>
      <c r="T521" s="361">
        <v>388.26666999999998</v>
      </c>
    </row>
    <row r="522" spans="1:20" x14ac:dyDescent="0.25">
      <c r="A522" s="364" t="s">
        <v>2558</v>
      </c>
      <c r="B522" s="361" t="s">
        <v>2559</v>
      </c>
      <c r="C522" t="s">
        <v>1920</v>
      </c>
      <c r="D522" s="361">
        <v>45</v>
      </c>
      <c r="E522" s="364"/>
      <c r="F522" s="361" t="s">
        <v>1917</v>
      </c>
      <c r="T522" s="361">
        <v>49.6</v>
      </c>
    </row>
    <row r="523" spans="1:20" x14ac:dyDescent="0.25">
      <c r="A523" s="364" t="s">
        <v>2560</v>
      </c>
      <c r="B523" s="361" t="s">
        <v>2561</v>
      </c>
      <c r="C523" t="s">
        <v>1920</v>
      </c>
      <c r="D523" s="361">
        <v>22</v>
      </c>
      <c r="E523" s="364"/>
      <c r="F523" s="361" t="s">
        <v>1921</v>
      </c>
      <c r="T523" s="361">
        <v>525.88</v>
      </c>
    </row>
    <row r="524" spans="1:20" x14ac:dyDescent="0.25">
      <c r="A524" s="364" t="s">
        <v>2562</v>
      </c>
      <c r="B524" s="361" t="s">
        <v>2302</v>
      </c>
      <c r="C524" t="s">
        <v>1920</v>
      </c>
      <c r="D524" s="361">
        <v>50</v>
      </c>
      <c r="E524" s="364"/>
      <c r="F524" s="361" t="s">
        <v>1921</v>
      </c>
      <c r="T524" s="361">
        <v>9.8799999999999999E-2</v>
      </c>
    </row>
    <row r="525" spans="1:20" x14ac:dyDescent="0.25">
      <c r="A525" s="364" t="s">
        <v>2563</v>
      </c>
      <c r="B525" s="361" t="s">
        <v>2564</v>
      </c>
      <c r="C525" t="s">
        <v>1920</v>
      </c>
      <c r="D525" s="361">
        <v>27</v>
      </c>
      <c r="E525" s="364"/>
      <c r="F525" s="361" t="s">
        <v>1921</v>
      </c>
      <c r="T525" s="361">
        <v>0.89800000000000002</v>
      </c>
    </row>
    <row r="526" spans="1:20" x14ac:dyDescent="0.25">
      <c r="A526" s="364" t="s">
        <v>799</v>
      </c>
      <c r="B526" s="361" t="s">
        <v>800</v>
      </c>
      <c r="C526" t="s">
        <v>1922</v>
      </c>
      <c r="D526" s="361">
        <v>1</v>
      </c>
      <c r="E526" s="364"/>
      <c r="F526" s="361" t="s">
        <v>1917</v>
      </c>
      <c r="T526" s="361">
        <v>73.42</v>
      </c>
    </row>
    <row r="527" spans="1:20" x14ac:dyDescent="0.25">
      <c r="A527" s="364" t="s">
        <v>2565</v>
      </c>
      <c r="B527" s="361" t="s">
        <v>2566</v>
      </c>
      <c r="C527" t="s">
        <v>1920</v>
      </c>
      <c r="D527" s="361">
        <v>24</v>
      </c>
      <c r="E527" s="364"/>
      <c r="F527" s="361" t="s">
        <v>1921</v>
      </c>
      <c r="T527" s="361">
        <v>6.3469999999999999E-2</v>
      </c>
    </row>
    <row r="528" spans="1:20" x14ac:dyDescent="0.25">
      <c r="A528" s="364" t="s">
        <v>2567</v>
      </c>
      <c r="B528" s="361" t="s">
        <v>2568</v>
      </c>
      <c r="C528" t="s">
        <v>1920</v>
      </c>
      <c r="D528" s="361">
        <v>22</v>
      </c>
      <c r="E528" s="364"/>
      <c r="F528" s="361" t="s">
        <v>1921</v>
      </c>
      <c r="T528" s="361">
        <v>6.4750000000000002E-2</v>
      </c>
    </row>
    <row r="529" spans="1:20" x14ac:dyDescent="0.25">
      <c r="A529" s="364" t="s">
        <v>801</v>
      </c>
      <c r="B529" s="361" t="s">
        <v>802</v>
      </c>
      <c r="C529" t="s">
        <v>1922</v>
      </c>
      <c r="D529" s="361">
        <v>1</v>
      </c>
      <c r="E529" s="364"/>
      <c r="F529" s="361" t="s">
        <v>1917</v>
      </c>
      <c r="T529" s="361">
        <v>19.7</v>
      </c>
    </row>
    <row r="530" spans="1:20" x14ac:dyDescent="0.25">
      <c r="A530" s="364" t="s">
        <v>803</v>
      </c>
      <c r="B530" s="361" t="s">
        <v>804</v>
      </c>
      <c r="C530" t="s">
        <v>1922</v>
      </c>
      <c r="D530" s="361">
        <v>1</v>
      </c>
      <c r="E530" s="364"/>
      <c r="F530" s="361" t="s">
        <v>1917</v>
      </c>
      <c r="T530" s="361">
        <v>86.44</v>
      </c>
    </row>
    <row r="531" spans="1:20" x14ac:dyDescent="0.25">
      <c r="A531" s="364" t="s">
        <v>805</v>
      </c>
      <c r="B531" s="361" t="s">
        <v>806</v>
      </c>
      <c r="C531" t="s">
        <v>1922</v>
      </c>
      <c r="D531" s="361">
        <v>1</v>
      </c>
      <c r="E531" s="364"/>
      <c r="F531" s="361" t="s">
        <v>1917</v>
      </c>
      <c r="T531" s="361">
        <v>190.05</v>
      </c>
    </row>
    <row r="532" spans="1:20" x14ac:dyDescent="0.25">
      <c r="A532" s="364" t="s">
        <v>238</v>
      </c>
      <c r="B532" s="361" t="s">
        <v>807</v>
      </c>
      <c r="C532" t="s">
        <v>1922</v>
      </c>
      <c r="D532" s="361">
        <v>1</v>
      </c>
      <c r="E532" s="364"/>
      <c r="F532" s="361" t="s">
        <v>1917</v>
      </c>
      <c r="T532" s="361">
        <v>84.94</v>
      </c>
    </row>
    <row r="533" spans="1:20" x14ac:dyDescent="0.25">
      <c r="A533" s="364" t="s">
        <v>2569</v>
      </c>
      <c r="B533" s="361" t="s">
        <v>2570</v>
      </c>
      <c r="C533" t="s">
        <v>1920</v>
      </c>
      <c r="D533" s="361">
        <v>15</v>
      </c>
      <c r="E533" s="364"/>
      <c r="F533" s="361" t="s">
        <v>1917</v>
      </c>
      <c r="T533" s="361">
        <v>49.6</v>
      </c>
    </row>
    <row r="534" spans="1:20" x14ac:dyDescent="0.25">
      <c r="A534" s="364" t="s">
        <v>2571</v>
      </c>
      <c r="B534" s="361" t="s">
        <v>2572</v>
      </c>
      <c r="C534" t="s">
        <v>1920</v>
      </c>
      <c r="D534" s="361">
        <v>15</v>
      </c>
      <c r="E534" s="364"/>
      <c r="F534" s="361" t="s">
        <v>1917</v>
      </c>
      <c r="T534" s="361">
        <v>49.6</v>
      </c>
    </row>
    <row r="535" spans="1:20" x14ac:dyDescent="0.25">
      <c r="A535" s="364" t="s">
        <v>2573</v>
      </c>
      <c r="B535" s="361" t="s">
        <v>2574</v>
      </c>
      <c r="C535" t="s">
        <v>1920</v>
      </c>
      <c r="D535" s="361">
        <v>24</v>
      </c>
      <c r="E535" s="364"/>
      <c r="F535" s="361" t="s">
        <v>2201</v>
      </c>
      <c r="T535" s="361">
        <v>194.83199999999999</v>
      </c>
    </row>
    <row r="536" spans="1:20" x14ac:dyDescent="0.25">
      <c r="A536" s="364" t="s">
        <v>2575</v>
      </c>
      <c r="B536" s="361" t="s">
        <v>2576</v>
      </c>
      <c r="C536" t="s">
        <v>1920</v>
      </c>
      <c r="D536" s="361">
        <v>22</v>
      </c>
      <c r="E536" s="364"/>
      <c r="F536" s="361" t="s">
        <v>1921</v>
      </c>
      <c r="T536" s="361">
        <v>445.95</v>
      </c>
    </row>
    <row r="537" spans="1:20" x14ac:dyDescent="0.25">
      <c r="A537" s="364" t="s">
        <v>2577</v>
      </c>
      <c r="B537" s="361" t="s">
        <v>2578</v>
      </c>
      <c r="C537" t="s">
        <v>1920</v>
      </c>
      <c r="D537" s="361">
        <v>22</v>
      </c>
      <c r="E537" s="364"/>
      <c r="F537" s="361" t="s">
        <v>1921</v>
      </c>
      <c r="T537" s="361">
        <v>445.95</v>
      </c>
    </row>
    <row r="538" spans="1:20" x14ac:dyDescent="0.25">
      <c r="A538" s="364" t="s">
        <v>2579</v>
      </c>
      <c r="B538" s="361" t="s">
        <v>2580</v>
      </c>
      <c r="C538">
        <v>2</v>
      </c>
      <c r="D538" s="361">
        <v>27</v>
      </c>
      <c r="E538" s="364"/>
      <c r="F538" s="361" t="s">
        <v>1921</v>
      </c>
      <c r="T538" s="361">
        <v>1.19861</v>
      </c>
    </row>
    <row r="539" spans="1:20" x14ac:dyDescent="0.25">
      <c r="A539" s="364" t="s">
        <v>230</v>
      </c>
      <c r="B539" s="361" t="s">
        <v>808</v>
      </c>
      <c r="C539" t="s">
        <v>1922</v>
      </c>
      <c r="D539" s="361">
        <v>1</v>
      </c>
      <c r="E539" s="364"/>
      <c r="F539" s="361" t="s">
        <v>1917</v>
      </c>
      <c r="T539" s="361">
        <v>6.41</v>
      </c>
    </row>
    <row r="540" spans="1:20" x14ac:dyDescent="0.25">
      <c r="A540" s="364" t="s">
        <v>2581</v>
      </c>
      <c r="B540" s="361" t="s">
        <v>2582</v>
      </c>
      <c r="C540" t="s">
        <v>1920</v>
      </c>
      <c r="D540" s="361">
        <v>24</v>
      </c>
      <c r="E540" s="364"/>
      <c r="F540" s="361" t="s">
        <v>1921</v>
      </c>
      <c r="T540" s="361">
        <v>5.373E-2</v>
      </c>
    </row>
    <row r="541" spans="1:20" x14ac:dyDescent="0.25">
      <c r="A541" s="364" t="s">
        <v>2583</v>
      </c>
      <c r="B541" s="361" t="s">
        <v>2584</v>
      </c>
      <c r="C541" t="s">
        <v>1920</v>
      </c>
      <c r="D541" s="361">
        <v>24</v>
      </c>
      <c r="E541" s="364"/>
      <c r="F541" s="361" t="s">
        <v>1921</v>
      </c>
      <c r="T541" s="361">
        <v>0.41565000000000002</v>
      </c>
    </row>
    <row r="542" spans="1:20" x14ac:dyDescent="0.25">
      <c r="A542" s="364" t="s">
        <v>2585</v>
      </c>
      <c r="B542" s="361" t="s">
        <v>2586</v>
      </c>
      <c r="C542" t="s">
        <v>1920</v>
      </c>
      <c r="D542" s="361">
        <v>24</v>
      </c>
      <c r="E542" s="364"/>
      <c r="F542" s="361" t="s">
        <v>1921</v>
      </c>
      <c r="T542" s="361">
        <v>9.3820000000000001E-2</v>
      </c>
    </row>
    <row r="543" spans="1:20" x14ac:dyDescent="0.25">
      <c r="A543" s="364" t="s">
        <v>2587</v>
      </c>
      <c r="B543" s="361" t="s">
        <v>2588</v>
      </c>
      <c r="C543" t="s">
        <v>1920</v>
      </c>
      <c r="D543" s="361">
        <v>45</v>
      </c>
      <c r="E543" s="364"/>
      <c r="F543" s="361" t="s">
        <v>1917</v>
      </c>
      <c r="T543" s="361">
        <v>24.9</v>
      </c>
    </row>
    <row r="544" spans="1:20" x14ac:dyDescent="0.25">
      <c r="A544" s="364" t="s">
        <v>2589</v>
      </c>
      <c r="B544" s="361" t="s">
        <v>2590</v>
      </c>
      <c r="C544" t="s">
        <v>1920</v>
      </c>
      <c r="D544" s="361">
        <v>45</v>
      </c>
      <c r="E544" s="364"/>
      <c r="F544" s="361" t="s">
        <v>1917</v>
      </c>
      <c r="T544" s="361">
        <v>26.8</v>
      </c>
    </row>
    <row r="545" spans="1:20" x14ac:dyDescent="0.25">
      <c r="A545" s="364" t="s">
        <v>441</v>
      </c>
      <c r="B545" s="361" t="s">
        <v>2591</v>
      </c>
      <c r="C545" t="s">
        <v>1920</v>
      </c>
      <c r="D545" s="361">
        <v>54</v>
      </c>
      <c r="E545" s="364"/>
      <c r="F545" s="361" t="s">
        <v>1921</v>
      </c>
      <c r="T545" s="361">
        <v>0.14179</v>
      </c>
    </row>
    <row r="546" spans="1:20" x14ac:dyDescent="0.25">
      <c r="A546" s="364" t="s">
        <v>2592</v>
      </c>
      <c r="B546" s="361" t="s">
        <v>2593</v>
      </c>
      <c r="C546" t="s">
        <v>1920</v>
      </c>
      <c r="D546" s="361">
        <v>45</v>
      </c>
      <c r="E546" s="364"/>
      <c r="F546" s="361" t="s">
        <v>1917</v>
      </c>
      <c r="T546" s="361">
        <v>25.7</v>
      </c>
    </row>
    <row r="547" spans="1:20" x14ac:dyDescent="0.25">
      <c r="A547" s="364" t="s">
        <v>2594</v>
      </c>
      <c r="B547" s="361" t="s">
        <v>2595</v>
      </c>
      <c r="C547" t="s">
        <v>1920</v>
      </c>
      <c r="D547" s="361">
        <v>48</v>
      </c>
      <c r="E547" s="364"/>
      <c r="F547" s="361" t="s">
        <v>1921</v>
      </c>
      <c r="T547" s="361">
        <v>0.25900000000000001</v>
      </c>
    </row>
    <row r="548" spans="1:20" x14ac:dyDescent="0.25">
      <c r="A548" s="364" t="s">
        <v>2596</v>
      </c>
      <c r="B548" s="361" t="s">
        <v>2595</v>
      </c>
      <c r="C548" t="s">
        <v>1920</v>
      </c>
      <c r="D548" s="361">
        <v>48</v>
      </c>
      <c r="E548" s="364"/>
      <c r="F548" s="361" t="s">
        <v>1921</v>
      </c>
      <c r="T548" s="361">
        <v>0.25900000000000001</v>
      </c>
    </row>
    <row r="549" spans="1:20" x14ac:dyDescent="0.25">
      <c r="A549" s="364" t="s">
        <v>2597</v>
      </c>
      <c r="B549" s="361" t="s">
        <v>2598</v>
      </c>
      <c r="C549" t="s">
        <v>1920</v>
      </c>
      <c r="D549" s="361">
        <v>48</v>
      </c>
      <c r="E549" s="364"/>
      <c r="F549" s="361" t="s">
        <v>1921</v>
      </c>
      <c r="T549" s="361">
        <v>0.21124999999999999</v>
      </c>
    </row>
    <row r="550" spans="1:20" x14ac:dyDescent="0.25">
      <c r="A550" s="364" t="s">
        <v>809</v>
      </c>
      <c r="B550" s="361" t="s">
        <v>810</v>
      </c>
      <c r="C550" t="s">
        <v>1916</v>
      </c>
      <c r="D550" s="361">
        <v>2</v>
      </c>
      <c r="E550" s="364"/>
      <c r="F550" s="361" t="s">
        <v>1917</v>
      </c>
      <c r="T550" s="361">
        <v>70.2</v>
      </c>
    </row>
    <row r="551" spans="1:20" x14ac:dyDescent="0.25">
      <c r="A551" s="364" t="s">
        <v>2599</v>
      </c>
      <c r="B551" s="361" t="s">
        <v>2600</v>
      </c>
      <c r="C551" t="s">
        <v>1920</v>
      </c>
      <c r="D551" s="361">
        <v>27</v>
      </c>
      <c r="E551" s="364"/>
      <c r="F551" s="361" t="s">
        <v>1921</v>
      </c>
      <c r="T551" s="361">
        <v>1.0529999999999999</v>
      </c>
    </row>
    <row r="552" spans="1:20" x14ac:dyDescent="0.25">
      <c r="A552" s="364" t="s">
        <v>2601</v>
      </c>
      <c r="B552" s="361" t="s">
        <v>2602</v>
      </c>
      <c r="C552" t="s">
        <v>1920</v>
      </c>
      <c r="D552" s="361">
        <v>11</v>
      </c>
      <c r="E552" s="364"/>
      <c r="F552" s="361" t="s">
        <v>2201</v>
      </c>
      <c r="T552" s="361">
        <v>398.53</v>
      </c>
    </row>
    <row r="553" spans="1:20" x14ac:dyDescent="0.25">
      <c r="A553" s="364" t="s">
        <v>2603</v>
      </c>
      <c r="B553" s="361" t="s">
        <v>2604</v>
      </c>
      <c r="C553" t="s">
        <v>1920</v>
      </c>
      <c r="D553" s="361">
        <v>45</v>
      </c>
      <c r="E553" s="364"/>
      <c r="F553" s="361" t="s">
        <v>1917</v>
      </c>
      <c r="T553" s="361">
        <v>26.8</v>
      </c>
    </row>
    <row r="554" spans="1:20" x14ac:dyDescent="0.25">
      <c r="A554" s="364" t="s">
        <v>396</v>
      </c>
      <c r="B554" s="361" t="s">
        <v>2605</v>
      </c>
      <c r="C554" t="s">
        <v>1920</v>
      </c>
      <c r="D554" s="361">
        <v>54</v>
      </c>
      <c r="E554" s="364"/>
      <c r="F554" s="361" t="s">
        <v>1921</v>
      </c>
      <c r="T554" s="361">
        <v>3.6409999999999998E-2</v>
      </c>
    </row>
    <row r="555" spans="1:20" x14ac:dyDescent="0.25">
      <c r="A555" s="364" t="s">
        <v>397</v>
      </c>
      <c r="B555" s="361" t="s">
        <v>2606</v>
      </c>
      <c r="C555" t="s">
        <v>1920</v>
      </c>
      <c r="D555" s="361">
        <v>26</v>
      </c>
      <c r="E555" s="364"/>
      <c r="F555" s="361" t="s">
        <v>1921</v>
      </c>
      <c r="T555" s="361">
        <v>0.79700000000000004</v>
      </c>
    </row>
    <row r="556" spans="1:20" x14ac:dyDescent="0.25">
      <c r="A556" s="364" t="s">
        <v>2607</v>
      </c>
      <c r="B556" s="361" t="s">
        <v>2608</v>
      </c>
      <c r="C556" t="s">
        <v>1920</v>
      </c>
      <c r="D556" s="361">
        <v>15</v>
      </c>
      <c r="E556" s="364"/>
      <c r="F556" s="361" t="s">
        <v>1917</v>
      </c>
      <c r="T556" s="361">
        <v>37.299999999999997</v>
      </c>
    </row>
    <row r="557" spans="1:20" x14ac:dyDescent="0.25">
      <c r="A557" s="364" t="s">
        <v>306</v>
      </c>
      <c r="B557" s="361" t="s">
        <v>811</v>
      </c>
      <c r="C557" t="s">
        <v>1916</v>
      </c>
      <c r="D557" s="361">
        <v>2</v>
      </c>
      <c r="E557" s="364"/>
      <c r="F557" s="361" t="s">
        <v>1917</v>
      </c>
      <c r="T557" s="361">
        <v>59.87</v>
      </c>
    </row>
    <row r="558" spans="1:20" x14ac:dyDescent="0.25">
      <c r="A558" s="364" t="s">
        <v>254</v>
      </c>
      <c r="B558" s="361" t="s">
        <v>812</v>
      </c>
      <c r="C558" t="s">
        <v>1922</v>
      </c>
      <c r="D558" s="361">
        <v>1</v>
      </c>
      <c r="E558" s="364"/>
      <c r="F558" s="361" t="s">
        <v>1917</v>
      </c>
      <c r="T558" s="361">
        <v>68.599999999999994</v>
      </c>
    </row>
    <row r="559" spans="1:20" x14ac:dyDescent="0.25">
      <c r="A559" s="364" t="s">
        <v>363</v>
      </c>
      <c r="B559" s="361" t="s">
        <v>2609</v>
      </c>
      <c r="C559" t="s">
        <v>1920</v>
      </c>
      <c r="D559" s="361">
        <v>16</v>
      </c>
      <c r="E559" s="364"/>
      <c r="F559" s="361" t="s">
        <v>1917</v>
      </c>
      <c r="T559" s="361">
        <v>5.6</v>
      </c>
    </row>
    <row r="560" spans="1:20" x14ac:dyDescent="0.25">
      <c r="A560" s="364" t="s">
        <v>2610</v>
      </c>
      <c r="B560" s="361" t="s">
        <v>2611</v>
      </c>
      <c r="C560" t="s">
        <v>1920</v>
      </c>
      <c r="D560" s="361">
        <v>50</v>
      </c>
      <c r="E560" s="364"/>
      <c r="F560" s="361" t="s">
        <v>1921</v>
      </c>
      <c r="T560" s="361">
        <v>3.4200000000000001E-2</v>
      </c>
    </row>
    <row r="561" spans="1:20" x14ac:dyDescent="0.25">
      <c r="A561" s="364" t="s">
        <v>2612</v>
      </c>
      <c r="B561" s="361" t="s">
        <v>2613</v>
      </c>
      <c r="C561" t="s">
        <v>1920</v>
      </c>
      <c r="D561" s="361">
        <v>20</v>
      </c>
      <c r="E561" s="364"/>
      <c r="F561" s="361" t="s">
        <v>1921</v>
      </c>
      <c r="T561" s="361">
        <v>3.0800000000000001E-2</v>
      </c>
    </row>
    <row r="562" spans="1:20" x14ac:dyDescent="0.25">
      <c r="A562" s="364" t="s">
        <v>2614</v>
      </c>
      <c r="B562" s="361" t="s">
        <v>2615</v>
      </c>
      <c r="C562" t="s">
        <v>1920</v>
      </c>
      <c r="D562" s="361">
        <v>20</v>
      </c>
      <c r="E562" s="364"/>
      <c r="F562" s="361" t="s">
        <v>1921</v>
      </c>
      <c r="T562" s="361">
        <v>3.2300000000000002E-2</v>
      </c>
    </row>
    <row r="563" spans="1:20" x14ac:dyDescent="0.25">
      <c r="A563" s="364" t="s">
        <v>2616</v>
      </c>
      <c r="B563" s="361" t="s">
        <v>2613</v>
      </c>
      <c r="C563" t="s">
        <v>1920</v>
      </c>
      <c r="D563" s="361">
        <v>20</v>
      </c>
      <c r="E563" s="364"/>
      <c r="F563" s="361" t="s">
        <v>1921</v>
      </c>
      <c r="T563" s="361">
        <v>3.1899999999999998E-2</v>
      </c>
    </row>
    <row r="564" spans="1:20" x14ac:dyDescent="0.25">
      <c r="A564" s="364" t="s">
        <v>2617</v>
      </c>
      <c r="B564" s="361" t="s">
        <v>2615</v>
      </c>
      <c r="C564" t="s">
        <v>1920</v>
      </c>
      <c r="D564" s="361">
        <v>20</v>
      </c>
      <c r="E564" s="364"/>
      <c r="F564" s="361" t="s">
        <v>1921</v>
      </c>
      <c r="T564" s="361">
        <v>3.1899999999999998E-2</v>
      </c>
    </row>
    <row r="565" spans="1:20" x14ac:dyDescent="0.25">
      <c r="A565" s="364" t="s">
        <v>152</v>
      </c>
      <c r="B565" s="361" t="s">
        <v>813</v>
      </c>
      <c r="C565" t="s">
        <v>1922</v>
      </c>
      <c r="D565" s="361">
        <v>90</v>
      </c>
      <c r="E565" s="364"/>
      <c r="F565" s="361" t="s">
        <v>1917</v>
      </c>
      <c r="T565" s="361">
        <v>188.43</v>
      </c>
    </row>
    <row r="566" spans="1:20" x14ac:dyDescent="0.25">
      <c r="A566" s="364" t="s">
        <v>191</v>
      </c>
      <c r="B566" s="361" t="s">
        <v>814</v>
      </c>
      <c r="C566" t="s">
        <v>1922</v>
      </c>
      <c r="D566" s="361">
        <v>1</v>
      </c>
      <c r="E566" s="364"/>
      <c r="F566" s="361" t="s">
        <v>2201</v>
      </c>
      <c r="T566" s="361">
        <v>7.6</v>
      </c>
    </row>
    <row r="567" spans="1:20" x14ac:dyDescent="0.25">
      <c r="A567" s="364" t="s">
        <v>2618</v>
      </c>
      <c r="B567" s="361" t="s">
        <v>2619</v>
      </c>
      <c r="C567" t="s">
        <v>1920</v>
      </c>
      <c r="D567" s="361">
        <v>45</v>
      </c>
      <c r="E567" s="364"/>
      <c r="F567" s="361" t="s">
        <v>1917</v>
      </c>
      <c r="T567" s="361">
        <v>39.4</v>
      </c>
    </row>
    <row r="568" spans="1:20" x14ac:dyDescent="0.25">
      <c r="A568" s="364" t="s">
        <v>2620</v>
      </c>
      <c r="B568" s="361" t="s">
        <v>2619</v>
      </c>
      <c r="C568" t="s">
        <v>1920</v>
      </c>
      <c r="D568" s="361">
        <v>45</v>
      </c>
      <c r="E568" s="364"/>
      <c r="F568" s="361" t="s">
        <v>1917</v>
      </c>
      <c r="T568" s="361">
        <v>49.6</v>
      </c>
    </row>
    <row r="569" spans="1:20" x14ac:dyDescent="0.25">
      <c r="A569" s="364" t="s">
        <v>2621</v>
      </c>
      <c r="B569" s="361" t="s">
        <v>2622</v>
      </c>
      <c r="C569" t="s">
        <v>1920</v>
      </c>
      <c r="D569" s="361">
        <v>54</v>
      </c>
      <c r="E569" s="364"/>
      <c r="F569" s="361" t="s">
        <v>1921</v>
      </c>
      <c r="T569" s="361">
        <v>0.12470000000000001</v>
      </c>
    </row>
    <row r="570" spans="1:20" x14ac:dyDescent="0.25">
      <c r="A570" s="364" t="s">
        <v>2623</v>
      </c>
      <c r="B570" s="361" t="s">
        <v>2622</v>
      </c>
      <c r="C570" t="s">
        <v>1920</v>
      </c>
      <c r="D570" s="361">
        <v>54</v>
      </c>
      <c r="E570" s="364"/>
      <c r="F570" s="361" t="s">
        <v>1921</v>
      </c>
      <c r="T570" s="361">
        <v>0.2167</v>
      </c>
    </row>
    <row r="571" spans="1:20" x14ac:dyDescent="0.25">
      <c r="A571" s="364" t="s">
        <v>2624</v>
      </c>
      <c r="B571" s="361" t="s">
        <v>2622</v>
      </c>
      <c r="C571" t="s">
        <v>1920</v>
      </c>
      <c r="D571" s="361">
        <v>54</v>
      </c>
      <c r="E571" s="364"/>
      <c r="F571" s="361" t="s">
        <v>1921</v>
      </c>
      <c r="T571" s="361">
        <v>0.24501999999999999</v>
      </c>
    </row>
    <row r="572" spans="1:20" x14ac:dyDescent="0.25">
      <c r="A572" s="364" t="s">
        <v>2625</v>
      </c>
      <c r="B572" s="361" t="s">
        <v>2626</v>
      </c>
      <c r="C572" t="s">
        <v>1920</v>
      </c>
      <c r="D572" s="361">
        <v>10</v>
      </c>
      <c r="E572" s="364"/>
      <c r="F572" s="361" t="s">
        <v>1921</v>
      </c>
      <c r="T572" s="361">
        <v>0.1706</v>
      </c>
    </row>
    <row r="573" spans="1:20" x14ac:dyDescent="0.25">
      <c r="A573" s="364" t="s">
        <v>2627</v>
      </c>
      <c r="B573" s="361" t="s">
        <v>2628</v>
      </c>
      <c r="C573" t="s">
        <v>1920</v>
      </c>
      <c r="D573" s="361">
        <v>10</v>
      </c>
      <c r="E573" s="364"/>
      <c r="F573" s="361" t="s">
        <v>1921</v>
      </c>
      <c r="T573" s="361">
        <v>0.16500000000000001</v>
      </c>
    </row>
    <row r="574" spans="1:20" x14ac:dyDescent="0.25">
      <c r="A574" s="364" t="s">
        <v>2629</v>
      </c>
      <c r="B574" s="361" t="s">
        <v>2630</v>
      </c>
      <c r="C574" t="s">
        <v>1920</v>
      </c>
      <c r="D574" s="361">
        <v>27</v>
      </c>
      <c r="E574" s="364"/>
      <c r="F574" s="361" t="s">
        <v>1921</v>
      </c>
      <c r="T574" s="361">
        <v>0.70599999999999996</v>
      </c>
    </row>
    <row r="575" spans="1:20" x14ac:dyDescent="0.25">
      <c r="A575" s="364" t="s">
        <v>2631</v>
      </c>
      <c r="B575" s="361" t="s">
        <v>2632</v>
      </c>
      <c r="C575" t="s">
        <v>1920</v>
      </c>
      <c r="D575" s="361">
        <v>10</v>
      </c>
      <c r="E575" s="364"/>
      <c r="F575" s="361" t="s">
        <v>1921</v>
      </c>
      <c r="T575" s="361">
        <v>0.28000000000000003</v>
      </c>
    </row>
    <row r="576" spans="1:20" x14ac:dyDescent="0.25">
      <c r="A576" s="364" t="s">
        <v>2633</v>
      </c>
      <c r="B576" s="361" t="s">
        <v>2634</v>
      </c>
      <c r="C576" t="s">
        <v>1920</v>
      </c>
      <c r="D576" s="361">
        <v>12</v>
      </c>
      <c r="E576" s="364"/>
      <c r="F576" s="361" t="s">
        <v>1921</v>
      </c>
      <c r="T576" s="361">
        <v>5.5E-2</v>
      </c>
    </row>
    <row r="577" spans="1:20" x14ac:dyDescent="0.25">
      <c r="A577" s="364" t="s">
        <v>815</v>
      </c>
      <c r="B577" s="361" t="s">
        <v>816</v>
      </c>
      <c r="C577" t="s">
        <v>1916</v>
      </c>
      <c r="D577" s="361">
        <v>2</v>
      </c>
      <c r="E577" s="364"/>
      <c r="F577" s="361" t="s">
        <v>1917</v>
      </c>
      <c r="T577" s="361">
        <v>4941.6666699999996</v>
      </c>
    </row>
    <row r="578" spans="1:20" x14ac:dyDescent="0.25">
      <c r="A578" s="364" t="s">
        <v>2635</v>
      </c>
      <c r="B578" s="361" t="s">
        <v>2636</v>
      </c>
      <c r="C578" t="s">
        <v>1920</v>
      </c>
      <c r="D578" s="361">
        <v>27</v>
      </c>
      <c r="E578" s="364"/>
      <c r="F578" s="361" t="s">
        <v>1921</v>
      </c>
      <c r="T578" s="361">
        <v>1.63</v>
      </c>
    </row>
    <row r="579" spans="1:20" x14ac:dyDescent="0.25">
      <c r="A579" s="364" t="s">
        <v>442</v>
      </c>
      <c r="B579" s="361" t="s">
        <v>2637</v>
      </c>
      <c r="C579" t="s">
        <v>1920</v>
      </c>
      <c r="D579" s="361">
        <v>27</v>
      </c>
      <c r="E579" s="364"/>
      <c r="F579" s="361" t="s">
        <v>1921</v>
      </c>
      <c r="T579" s="361">
        <v>0.14605000000000001</v>
      </c>
    </row>
    <row r="580" spans="1:20" x14ac:dyDescent="0.25">
      <c r="A580" s="364" t="s">
        <v>817</v>
      </c>
      <c r="B580" s="361" t="s">
        <v>818</v>
      </c>
      <c r="C580" t="s">
        <v>1922</v>
      </c>
      <c r="D580" s="361">
        <v>97</v>
      </c>
      <c r="E580" s="364"/>
      <c r="F580" s="361" t="s">
        <v>2638</v>
      </c>
      <c r="T580" s="361">
        <v>45.25</v>
      </c>
    </row>
    <row r="581" spans="1:20" x14ac:dyDescent="0.25">
      <c r="A581" s="364" t="s">
        <v>819</v>
      </c>
      <c r="B581" s="361" t="s">
        <v>820</v>
      </c>
      <c r="C581" t="s">
        <v>1922</v>
      </c>
      <c r="D581" s="361">
        <v>97</v>
      </c>
      <c r="E581" s="364"/>
      <c r="F581" s="361" t="s">
        <v>2638</v>
      </c>
      <c r="T581" s="361">
        <v>214.25</v>
      </c>
    </row>
    <row r="582" spans="1:20" x14ac:dyDescent="0.25">
      <c r="A582" s="364" t="s">
        <v>821</v>
      </c>
      <c r="B582" s="361" t="s">
        <v>822</v>
      </c>
      <c r="C582" t="s">
        <v>1916</v>
      </c>
      <c r="D582" s="361">
        <v>2</v>
      </c>
      <c r="E582" s="364"/>
      <c r="F582" s="361" t="s">
        <v>1917</v>
      </c>
      <c r="T582" s="361">
        <v>520</v>
      </c>
    </row>
    <row r="583" spans="1:20" x14ac:dyDescent="0.25">
      <c r="A583" s="364" t="s">
        <v>2639</v>
      </c>
      <c r="B583" s="361" t="s">
        <v>2640</v>
      </c>
      <c r="C583" t="s">
        <v>1920</v>
      </c>
      <c r="D583" s="361">
        <v>24</v>
      </c>
      <c r="E583" s="364"/>
      <c r="F583" s="361" t="s">
        <v>2201</v>
      </c>
      <c r="T583" s="361">
        <v>83.375299999999996</v>
      </c>
    </row>
    <row r="584" spans="1:20" x14ac:dyDescent="0.25">
      <c r="A584" s="364" t="s">
        <v>2641</v>
      </c>
      <c r="B584" s="361" t="s">
        <v>2642</v>
      </c>
      <c r="C584" t="s">
        <v>1920</v>
      </c>
      <c r="D584" s="361">
        <v>24</v>
      </c>
      <c r="E584" s="364"/>
      <c r="F584" s="361" t="s">
        <v>2201</v>
      </c>
      <c r="T584" s="361">
        <v>65.856800000000007</v>
      </c>
    </row>
    <row r="585" spans="1:20" x14ac:dyDescent="0.25">
      <c r="A585" s="364" t="s">
        <v>2643</v>
      </c>
      <c r="B585" s="361" t="s">
        <v>2644</v>
      </c>
      <c r="C585" t="s">
        <v>1920</v>
      </c>
      <c r="D585" s="361">
        <v>24</v>
      </c>
      <c r="E585" s="364"/>
      <c r="F585" s="361" t="s">
        <v>2201</v>
      </c>
      <c r="T585" s="361">
        <v>118.53362</v>
      </c>
    </row>
    <row r="586" spans="1:20" x14ac:dyDescent="0.25">
      <c r="A586" s="364" t="s">
        <v>823</v>
      </c>
      <c r="B586" s="361" t="s">
        <v>824</v>
      </c>
      <c r="C586" t="s">
        <v>1922</v>
      </c>
      <c r="D586" s="361">
        <v>1</v>
      </c>
      <c r="E586" s="364"/>
      <c r="F586" s="361" t="s">
        <v>1917</v>
      </c>
      <c r="T586" s="361">
        <v>23.2</v>
      </c>
    </row>
    <row r="587" spans="1:20" x14ac:dyDescent="0.25">
      <c r="A587" s="364" t="s">
        <v>2645</v>
      </c>
      <c r="B587" s="361" t="s">
        <v>2646</v>
      </c>
      <c r="C587" t="s">
        <v>1920</v>
      </c>
      <c r="D587" s="361">
        <v>10</v>
      </c>
      <c r="E587" s="364"/>
      <c r="F587" s="361" t="s">
        <v>1921</v>
      </c>
      <c r="T587" s="361">
        <v>0.186</v>
      </c>
    </row>
    <row r="588" spans="1:20" x14ac:dyDescent="0.25">
      <c r="A588" s="364" t="s">
        <v>2647</v>
      </c>
      <c r="B588" s="361" t="s">
        <v>2648</v>
      </c>
      <c r="C588" t="s">
        <v>1920</v>
      </c>
      <c r="D588" s="361">
        <v>10</v>
      </c>
      <c r="E588" s="364"/>
      <c r="F588" s="361" t="s">
        <v>1921</v>
      </c>
      <c r="T588" s="361">
        <v>0.79800000000000004</v>
      </c>
    </row>
    <row r="589" spans="1:20" x14ac:dyDescent="0.25">
      <c r="A589" s="364" t="s">
        <v>2649</v>
      </c>
      <c r="B589" s="361" t="s">
        <v>2650</v>
      </c>
      <c r="C589" t="s">
        <v>1920</v>
      </c>
      <c r="D589" s="361">
        <v>10</v>
      </c>
      <c r="E589" s="364"/>
      <c r="F589" s="361" t="s">
        <v>1921</v>
      </c>
      <c r="T589" s="361">
        <v>1.5</v>
      </c>
    </row>
    <row r="590" spans="1:20" x14ac:dyDescent="0.25">
      <c r="A590" s="364" t="s">
        <v>2651</v>
      </c>
      <c r="B590" s="361" t="s">
        <v>2652</v>
      </c>
      <c r="C590" t="s">
        <v>1920</v>
      </c>
      <c r="D590" s="361">
        <v>10</v>
      </c>
      <c r="E590" s="364"/>
      <c r="F590" s="361" t="s">
        <v>1921</v>
      </c>
      <c r="T590" s="361">
        <v>0.23577000000000001</v>
      </c>
    </row>
    <row r="591" spans="1:20" x14ac:dyDescent="0.25">
      <c r="A591" s="364" t="s">
        <v>2653</v>
      </c>
      <c r="B591" s="361" t="s">
        <v>2654</v>
      </c>
      <c r="C591" t="s">
        <v>1920</v>
      </c>
      <c r="D591" s="361">
        <v>16</v>
      </c>
      <c r="E591" s="364"/>
      <c r="F591" s="361" t="s">
        <v>1917</v>
      </c>
      <c r="T591" s="361">
        <v>5.6</v>
      </c>
    </row>
    <row r="592" spans="1:20" x14ac:dyDescent="0.25">
      <c r="A592" s="364" t="s">
        <v>2655</v>
      </c>
      <c r="B592" s="361" t="s">
        <v>2656</v>
      </c>
      <c r="C592" t="s">
        <v>1920</v>
      </c>
      <c r="D592" s="361">
        <v>54</v>
      </c>
      <c r="E592" s="364"/>
      <c r="F592" s="361" t="s">
        <v>1921</v>
      </c>
      <c r="T592" s="361">
        <v>0.45928999999999998</v>
      </c>
    </row>
    <row r="593" spans="1:20" x14ac:dyDescent="0.25">
      <c r="A593" s="364" t="s">
        <v>2657</v>
      </c>
      <c r="B593" s="361" t="s">
        <v>2658</v>
      </c>
      <c r="C593" t="s">
        <v>1920</v>
      </c>
      <c r="D593" s="361">
        <v>54</v>
      </c>
      <c r="E593" s="364"/>
      <c r="F593" s="361" t="s">
        <v>1921</v>
      </c>
      <c r="T593" s="361">
        <v>0.78078999999999998</v>
      </c>
    </row>
    <row r="594" spans="1:20" x14ac:dyDescent="0.25">
      <c r="A594" s="364" t="s">
        <v>2659</v>
      </c>
      <c r="B594" s="361" t="s">
        <v>2660</v>
      </c>
      <c r="C594" t="s">
        <v>1920</v>
      </c>
      <c r="D594" s="361">
        <v>15</v>
      </c>
      <c r="E594" s="364"/>
      <c r="F594" s="361" t="s">
        <v>1917</v>
      </c>
      <c r="T594" s="361">
        <v>25.33999</v>
      </c>
    </row>
    <row r="595" spans="1:20" x14ac:dyDescent="0.25">
      <c r="A595" s="364" t="s">
        <v>2661</v>
      </c>
      <c r="B595" s="361" t="s">
        <v>2662</v>
      </c>
      <c r="C595" t="s">
        <v>1920</v>
      </c>
      <c r="D595" s="361">
        <v>15</v>
      </c>
      <c r="E595" s="364"/>
      <c r="F595" s="361" t="s">
        <v>1917</v>
      </c>
      <c r="T595" s="361">
        <v>39.4</v>
      </c>
    </row>
    <row r="596" spans="1:20" x14ac:dyDescent="0.25">
      <c r="A596" s="364" t="s">
        <v>2663</v>
      </c>
      <c r="B596" s="361" t="s">
        <v>2374</v>
      </c>
      <c r="C596" t="s">
        <v>1920</v>
      </c>
      <c r="D596" s="361">
        <v>24</v>
      </c>
      <c r="E596" s="364"/>
      <c r="F596" s="361" t="s">
        <v>1921</v>
      </c>
      <c r="T596" s="361">
        <v>0.76339999999999997</v>
      </c>
    </row>
    <row r="597" spans="1:20" x14ac:dyDescent="0.25">
      <c r="A597" s="364" t="s">
        <v>2664</v>
      </c>
      <c r="B597" s="361" t="s">
        <v>2665</v>
      </c>
      <c r="C597" t="s">
        <v>1920</v>
      </c>
      <c r="D597" s="361">
        <v>54</v>
      </c>
      <c r="E597" s="364"/>
      <c r="F597" s="361" t="s">
        <v>1921</v>
      </c>
      <c r="T597" s="361">
        <v>0.23518</v>
      </c>
    </row>
    <row r="598" spans="1:20" x14ac:dyDescent="0.25">
      <c r="A598" s="364" t="s">
        <v>2666</v>
      </c>
      <c r="B598" s="361" t="s">
        <v>2667</v>
      </c>
      <c r="C598" t="s">
        <v>1920</v>
      </c>
      <c r="D598" s="361">
        <v>54</v>
      </c>
      <c r="E598" s="364"/>
      <c r="F598" s="361" t="s">
        <v>1921</v>
      </c>
      <c r="T598" s="361">
        <v>0.58252999999999999</v>
      </c>
    </row>
    <row r="599" spans="1:20" x14ac:dyDescent="0.25">
      <c r="A599" s="364" t="s">
        <v>825</v>
      </c>
      <c r="B599" s="361" t="s">
        <v>826</v>
      </c>
      <c r="C599" t="s">
        <v>1922</v>
      </c>
      <c r="D599" s="361">
        <v>27</v>
      </c>
      <c r="E599" s="364"/>
      <c r="F599" s="361" t="s">
        <v>1921</v>
      </c>
      <c r="T599" s="361">
        <v>1.0429999999999999</v>
      </c>
    </row>
    <row r="600" spans="1:20" x14ac:dyDescent="0.25">
      <c r="A600" s="364" t="s">
        <v>2668</v>
      </c>
      <c r="B600" s="361" t="s">
        <v>2669</v>
      </c>
      <c r="C600" t="s">
        <v>1920</v>
      </c>
      <c r="D600" s="361">
        <v>54</v>
      </c>
      <c r="E600" s="364"/>
      <c r="F600" s="361" t="s">
        <v>1921</v>
      </c>
      <c r="T600" s="361">
        <v>0.67030000000000001</v>
      </c>
    </row>
    <row r="601" spans="1:20" x14ac:dyDescent="0.25">
      <c r="A601" s="364" t="s">
        <v>125</v>
      </c>
      <c r="B601" s="361" t="s">
        <v>827</v>
      </c>
      <c r="C601" t="s">
        <v>1916</v>
      </c>
      <c r="D601" s="361">
        <v>2</v>
      </c>
      <c r="E601" s="364"/>
      <c r="F601" s="361" t="s">
        <v>1917</v>
      </c>
      <c r="T601" s="361">
        <v>45.18</v>
      </c>
    </row>
    <row r="602" spans="1:20" x14ac:dyDescent="0.25">
      <c r="A602" s="364" t="s">
        <v>2670</v>
      </c>
      <c r="B602" s="361" t="s">
        <v>2671</v>
      </c>
      <c r="C602" t="s">
        <v>1920</v>
      </c>
      <c r="D602" s="361">
        <v>54</v>
      </c>
      <c r="E602" s="364"/>
      <c r="F602" s="361" t="s">
        <v>1921</v>
      </c>
      <c r="T602" s="361">
        <v>5.8999999999999997E-2</v>
      </c>
    </row>
    <row r="603" spans="1:20" x14ac:dyDescent="0.25">
      <c r="A603" s="364" t="s">
        <v>2672</v>
      </c>
      <c r="B603" s="361" t="s">
        <v>2671</v>
      </c>
      <c r="C603" t="s">
        <v>1920</v>
      </c>
      <c r="D603" s="361">
        <v>54</v>
      </c>
      <c r="E603" s="364"/>
      <c r="F603" s="361" t="s">
        <v>1921</v>
      </c>
      <c r="T603" s="361">
        <v>6.2E-2</v>
      </c>
    </row>
    <row r="604" spans="1:20" x14ac:dyDescent="0.25">
      <c r="A604" s="364" t="s">
        <v>2673</v>
      </c>
      <c r="B604" s="361" t="s">
        <v>2674</v>
      </c>
      <c r="C604" t="s">
        <v>1920</v>
      </c>
      <c r="D604" s="361">
        <v>22</v>
      </c>
      <c r="E604" s="364"/>
      <c r="F604" s="361" t="s">
        <v>1921</v>
      </c>
      <c r="T604" s="361">
        <v>525.88</v>
      </c>
    </row>
    <row r="605" spans="1:20" x14ac:dyDescent="0.25">
      <c r="A605" s="364" t="s">
        <v>2675</v>
      </c>
      <c r="B605" s="361" t="s">
        <v>2676</v>
      </c>
      <c r="C605" t="s">
        <v>1920</v>
      </c>
      <c r="D605" s="361">
        <v>45</v>
      </c>
      <c r="E605" s="364"/>
      <c r="F605" s="361" t="s">
        <v>1917</v>
      </c>
      <c r="T605" s="361">
        <v>37.299999999999997</v>
      </c>
    </row>
    <row r="606" spans="1:20" x14ac:dyDescent="0.25">
      <c r="A606" s="364" t="s">
        <v>2677</v>
      </c>
      <c r="B606" s="361" t="s">
        <v>2678</v>
      </c>
      <c r="C606" t="s">
        <v>1920</v>
      </c>
      <c r="D606" s="361">
        <v>45</v>
      </c>
      <c r="E606" s="364"/>
      <c r="F606" s="361" t="s">
        <v>1917</v>
      </c>
      <c r="T606" s="361">
        <v>26.8</v>
      </c>
    </row>
    <row r="607" spans="1:20" x14ac:dyDescent="0.25">
      <c r="A607" s="364" t="s">
        <v>2679</v>
      </c>
      <c r="B607" s="361" t="s">
        <v>2680</v>
      </c>
      <c r="C607" t="s">
        <v>1920</v>
      </c>
      <c r="D607" s="361">
        <v>45</v>
      </c>
      <c r="E607" s="364"/>
      <c r="F607" s="361" t="s">
        <v>1917</v>
      </c>
      <c r="T607" s="361">
        <v>49.6</v>
      </c>
    </row>
    <row r="608" spans="1:20" x14ac:dyDescent="0.25">
      <c r="A608" s="364" t="s">
        <v>2681</v>
      </c>
      <c r="B608" s="361" t="s">
        <v>2682</v>
      </c>
      <c r="C608" t="s">
        <v>1920</v>
      </c>
      <c r="D608" s="361">
        <v>45</v>
      </c>
      <c r="E608" s="364"/>
      <c r="F608" s="361" t="s">
        <v>1917</v>
      </c>
      <c r="T608" s="361">
        <v>49.6</v>
      </c>
    </row>
    <row r="609" spans="1:20" x14ac:dyDescent="0.25">
      <c r="A609" s="364" t="s">
        <v>2683</v>
      </c>
      <c r="B609" s="361" t="s">
        <v>2684</v>
      </c>
      <c r="C609" t="s">
        <v>1920</v>
      </c>
      <c r="D609" s="361">
        <v>45</v>
      </c>
      <c r="E609" s="364"/>
      <c r="F609" s="361" t="s">
        <v>1917</v>
      </c>
      <c r="T609" s="361">
        <v>39.4</v>
      </c>
    </row>
    <row r="610" spans="1:20" x14ac:dyDescent="0.25">
      <c r="A610" s="364" t="s">
        <v>2685</v>
      </c>
      <c r="B610" s="361" t="s">
        <v>1919</v>
      </c>
      <c r="C610" t="s">
        <v>1920</v>
      </c>
      <c r="D610" s="361">
        <v>20</v>
      </c>
      <c r="E610" s="364"/>
      <c r="F610" s="361" t="s">
        <v>1921</v>
      </c>
      <c r="T610" s="361">
        <v>3.0810000000000001E-2</v>
      </c>
    </row>
    <row r="611" spans="1:20" x14ac:dyDescent="0.25">
      <c r="A611" s="364" t="s">
        <v>2686</v>
      </c>
      <c r="B611" s="361" t="s">
        <v>2687</v>
      </c>
      <c r="C611" t="s">
        <v>1920</v>
      </c>
      <c r="D611" s="361">
        <v>24</v>
      </c>
      <c r="E611" s="364"/>
      <c r="F611" s="361" t="s">
        <v>2201</v>
      </c>
      <c r="T611" s="361">
        <v>146.08930000000001</v>
      </c>
    </row>
    <row r="612" spans="1:20" x14ac:dyDescent="0.25">
      <c r="A612" s="364" t="s">
        <v>2688</v>
      </c>
      <c r="B612" s="361" t="s">
        <v>2689</v>
      </c>
      <c r="C612" t="s">
        <v>1920</v>
      </c>
      <c r="D612" s="361">
        <v>24</v>
      </c>
      <c r="E612" s="364"/>
      <c r="F612" s="361" t="s">
        <v>2201</v>
      </c>
      <c r="T612" s="361">
        <v>290.61829999999998</v>
      </c>
    </row>
    <row r="613" spans="1:20" x14ac:dyDescent="0.25">
      <c r="A613" s="364" t="s">
        <v>2690</v>
      </c>
      <c r="B613" s="361" t="s">
        <v>2691</v>
      </c>
      <c r="C613" t="s">
        <v>1920</v>
      </c>
      <c r="D613" s="361">
        <v>15</v>
      </c>
      <c r="E613" s="364"/>
      <c r="F613" s="361" t="s">
        <v>1917</v>
      </c>
      <c r="T613" s="361">
        <v>24.9</v>
      </c>
    </row>
    <row r="614" spans="1:20" x14ac:dyDescent="0.25">
      <c r="A614" s="364" t="s">
        <v>2692</v>
      </c>
      <c r="B614" s="361" t="s">
        <v>2693</v>
      </c>
      <c r="C614" t="s">
        <v>1920</v>
      </c>
      <c r="D614" s="361">
        <v>19</v>
      </c>
      <c r="E614" s="364"/>
      <c r="F614" s="361" t="s">
        <v>1917</v>
      </c>
      <c r="T614" s="361">
        <v>16.5</v>
      </c>
    </row>
    <row r="615" spans="1:20" x14ac:dyDescent="0.25">
      <c r="A615" s="364" t="s">
        <v>2694</v>
      </c>
      <c r="B615" s="361" t="s">
        <v>2695</v>
      </c>
      <c r="C615" t="s">
        <v>1920</v>
      </c>
      <c r="D615" s="361">
        <v>24</v>
      </c>
      <c r="E615" s="364"/>
      <c r="F615" s="361" t="s">
        <v>1921</v>
      </c>
      <c r="T615" s="361">
        <v>0.12889999999999999</v>
      </c>
    </row>
    <row r="616" spans="1:20" x14ac:dyDescent="0.25">
      <c r="A616" s="364" t="s">
        <v>2696</v>
      </c>
      <c r="B616" s="361" t="s">
        <v>2697</v>
      </c>
      <c r="C616" t="s">
        <v>1920</v>
      </c>
      <c r="D616" s="361">
        <v>24</v>
      </c>
      <c r="E616" s="364"/>
      <c r="F616" s="361" t="s">
        <v>1921</v>
      </c>
      <c r="T616" s="361">
        <v>8.659E-2</v>
      </c>
    </row>
    <row r="617" spans="1:20" x14ac:dyDescent="0.25">
      <c r="A617" s="364" t="s">
        <v>2698</v>
      </c>
      <c r="B617" s="361" t="s">
        <v>2699</v>
      </c>
      <c r="C617" t="s">
        <v>1920</v>
      </c>
      <c r="D617" s="361">
        <v>24</v>
      </c>
      <c r="E617" s="364"/>
      <c r="F617" s="361" t="s">
        <v>2201</v>
      </c>
      <c r="T617" s="361">
        <v>291.8861</v>
      </c>
    </row>
    <row r="618" spans="1:20" x14ac:dyDescent="0.25">
      <c r="A618" s="364" t="s">
        <v>2700</v>
      </c>
      <c r="B618" s="361" t="s">
        <v>2701</v>
      </c>
      <c r="C618" t="s">
        <v>1920</v>
      </c>
      <c r="D618" s="361">
        <v>22</v>
      </c>
      <c r="E618" s="364"/>
      <c r="F618" s="361" t="s">
        <v>1921</v>
      </c>
      <c r="T618" s="361">
        <v>525.88</v>
      </c>
    </row>
    <row r="619" spans="1:20" x14ac:dyDescent="0.25">
      <c r="A619" s="364" t="s">
        <v>2702</v>
      </c>
      <c r="B619" s="361" t="s">
        <v>2703</v>
      </c>
      <c r="C619" t="s">
        <v>1920</v>
      </c>
      <c r="D619" s="361">
        <v>24</v>
      </c>
      <c r="E619" s="364"/>
      <c r="F619" s="361" t="s">
        <v>2201</v>
      </c>
      <c r="T619" s="361">
        <v>175.15199999999999</v>
      </c>
    </row>
    <row r="620" spans="1:20" x14ac:dyDescent="0.25">
      <c r="A620" s="364" t="s">
        <v>2704</v>
      </c>
      <c r="B620" s="361" t="s">
        <v>2705</v>
      </c>
      <c r="C620" t="s">
        <v>1920</v>
      </c>
      <c r="D620" s="361">
        <v>15</v>
      </c>
      <c r="E620" s="364"/>
      <c r="F620" s="361" t="s">
        <v>1917</v>
      </c>
      <c r="T620" s="361">
        <v>49.6</v>
      </c>
    </row>
    <row r="621" spans="1:20" x14ac:dyDescent="0.25">
      <c r="A621" s="364" t="s">
        <v>2706</v>
      </c>
      <c r="B621" s="361" t="s">
        <v>2707</v>
      </c>
      <c r="C621" t="s">
        <v>1920</v>
      </c>
      <c r="D621" s="361">
        <v>20</v>
      </c>
      <c r="E621" s="364"/>
      <c r="F621" s="361" t="s">
        <v>1921</v>
      </c>
      <c r="T621" s="361">
        <v>5.1200000000000002E-2</v>
      </c>
    </row>
    <row r="622" spans="1:20" x14ac:dyDescent="0.25">
      <c r="A622" s="364" t="s">
        <v>2708</v>
      </c>
      <c r="B622" s="361" t="s">
        <v>2709</v>
      </c>
      <c r="C622" t="s">
        <v>1920</v>
      </c>
      <c r="D622" s="361">
        <v>27</v>
      </c>
      <c r="E622" s="364"/>
      <c r="F622" s="361" t="s">
        <v>1921</v>
      </c>
      <c r="T622" s="361">
        <v>0.76200000000000001</v>
      </c>
    </row>
    <row r="623" spans="1:20" x14ac:dyDescent="0.25">
      <c r="A623" s="364" t="s">
        <v>2710</v>
      </c>
      <c r="B623" s="361" t="s">
        <v>2711</v>
      </c>
      <c r="C623" t="s">
        <v>1920</v>
      </c>
      <c r="D623" s="361">
        <v>27</v>
      </c>
      <c r="E623" s="364"/>
      <c r="F623" s="361" t="s">
        <v>1921</v>
      </c>
      <c r="T623" s="361">
        <v>1.1000000000000001</v>
      </c>
    </row>
    <row r="624" spans="1:20" x14ac:dyDescent="0.25">
      <c r="A624" s="364" t="s">
        <v>2712</v>
      </c>
      <c r="B624" s="361" t="s">
        <v>2713</v>
      </c>
      <c r="C624" t="s">
        <v>1920</v>
      </c>
      <c r="D624" s="361">
        <v>27</v>
      </c>
      <c r="E624" s="364"/>
      <c r="F624" s="361" t="s">
        <v>1921</v>
      </c>
      <c r="T624" s="361">
        <v>0.76700000000000002</v>
      </c>
    </row>
    <row r="625" spans="1:20" x14ac:dyDescent="0.25">
      <c r="A625" s="364" t="s">
        <v>180</v>
      </c>
      <c r="B625" s="361" t="s">
        <v>828</v>
      </c>
      <c r="C625" t="s">
        <v>1922</v>
      </c>
      <c r="D625" s="361">
        <v>1</v>
      </c>
      <c r="E625" s="364"/>
      <c r="F625" s="361" t="s">
        <v>1917</v>
      </c>
      <c r="T625" s="361">
        <v>70.64</v>
      </c>
    </row>
    <row r="626" spans="1:20" x14ac:dyDescent="0.25">
      <c r="A626" s="364" t="s">
        <v>438</v>
      </c>
      <c r="B626" s="361" t="s">
        <v>2714</v>
      </c>
      <c r="C626" t="s">
        <v>1920</v>
      </c>
      <c r="D626" s="361">
        <v>27</v>
      </c>
      <c r="E626" s="364"/>
      <c r="F626" s="361" t="s">
        <v>1921</v>
      </c>
      <c r="T626" s="361">
        <v>0.93300000000000005</v>
      </c>
    </row>
    <row r="627" spans="1:20" x14ac:dyDescent="0.25">
      <c r="A627" s="364" t="s">
        <v>829</v>
      </c>
      <c r="B627" s="361" t="s">
        <v>830</v>
      </c>
      <c r="C627" t="s">
        <v>1916</v>
      </c>
      <c r="D627" s="361">
        <v>2</v>
      </c>
      <c r="E627" s="364"/>
      <c r="F627" s="361" t="s">
        <v>1917</v>
      </c>
      <c r="T627" s="361">
        <v>21.24</v>
      </c>
    </row>
    <row r="628" spans="1:20" x14ac:dyDescent="0.25">
      <c r="A628" s="364" t="s">
        <v>193</v>
      </c>
      <c r="B628" s="361" t="s">
        <v>831</v>
      </c>
      <c r="C628" t="s">
        <v>1916</v>
      </c>
      <c r="D628" s="361">
        <v>2</v>
      </c>
      <c r="E628" s="364"/>
      <c r="F628" s="361" t="s">
        <v>1917</v>
      </c>
      <c r="T628" s="361">
        <v>2550</v>
      </c>
    </row>
    <row r="629" spans="1:20" x14ac:dyDescent="0.25">
      <c r="A629" s="364" t="s">
        <v>2715</v>
      </c>
      <c r="B629" s="361" t="s">
        <v>2716</v>
      </c>
      <c r="C629" t="s">
        <v>1920</v>
      </c>
      <c r="D629" s="361">
        <v>26</v>
      </c>
      <c r="E629" s="364"/>
      <c r="F629" s="361" t="s">
        <v>1921</v>
      </c>
      <c r="T629" s="361">
        <v>0.9</v>
      </c>
    </row>
    <row r="630" spans="1:20" x14ac:dyDescent="0.25">
      <c r="A630" s="364" t="s">
        <v>2717</v>
      </c>
      <c r="B630" s="361" t="s">
        <v>2718</v>
      </c>
      <c r="C630" t="s">
        <v>1920</v>
      </c>
      <c r="D630" s="361">
        <v>16</v>
      </c>
      <c r="E630" s="364"/>
      <c r="F630" s="361" t="s">
        <v>1917</v>
      </c>
      <c r="T630" s="361">
        <v>4.3</v>
      </c>
    </row>
    <row r="631" spans="1:20" x14ac:dyDescent="0.25">
      <c r="A631" s="364" t="s">
        <v>832</v>
      </c>
      <c r="B631" s="361" t="s">
        <v>833</v>
      </c>
      <c r="C631" t="s">
        <v>1916</v>
      </c>
      <c r="D631" s="361">
        <v>3</v>
      </c>
      <c r="E631" s="364"/>
      <c r="F631" s="361" t="s">
        <v>1917</v>
      </c>
      <c r="T631" s="361">
        <v>16.25</v>
      </c>
    </row>
    <row r="632" spans="1:20" x14ac:dyDescent="0.25">
      <c r="A632" s="364" t="s">
        <v>834</v>
      </c>
      <c r="B632" s="361" t="s">
        <v>835</v>
      </c>
      <c r="C632" t="s">
        <v>1916</v>
      </c>
      <c r="D632" s="361">
        <v>2</v>
      </c>
      <c r="E632" s="364"/>
      <c r="F632" s="361" t="s">
        <v>1917</v>
      </c>
      <c r="T632" s="361">
        <v>245</v>
      </c>
    </row>
    <row r="633" spans="1:20" x14ac:dyDescent="0.25">
      <c r="A633" s="364" t="s">
        <v>836</v>
      </c>
      <c r="B633" s="361" t="s">
        <v>837</v>
      </c>
      <c r="C633" t="s">
        <v>1922</v>
      </c>
      <c r="D633" s="361">
        <v>1</v>
      </c>
      <c r="E633" s="364"/>
      <c r="F633" s="361" t="s">
        <v>1917</v>
      </c>
      <c r="T633" s="361">
        <v>61.6</v>
      </c>
    </row>
    <row r="634" spans="1:20" x14ac:dyDescent="0.25">
      <c r="A634" s="364" t="s">
        <v>838</v>
      </c>
      <c r="B634" s="361" t="s">
        <v>839</v>
      </c>
      <c r="C634" t="s">
        <v>1922</v>
      </c>
      <c r="D634" s="361">
        <v>1</v>
      </c>
      <c r="E634" s="364"/>
      <c r="F634" s="361" t="s">
        <v>1917</v>
      </c>
      <c r="T634" s="361">
        <v>34.200000000000003</v>
      </c>
    </row>
    <row r="635" spans="1:20" x14ac:dyDescent="0.25">
      <c r="A635" s="364" t="s">
        <v>2719</v>
      </c>
      <c r="B635" s="361" t="s">
        <v>2720</v>
      </c>
      <c r="C635" t="s">
        <v>1920</v>
      </c>
      <c r="D635" s="361">
        <v>20</v>
      </c>
      <c r="E635" s="364"/>
      <c r="F635" s="361" t="s">
        <v>1921</v>
      </c>
      <c r="T635" s="361">
        <v>3.2300000000000002E-2</v>
      </c>
    </row>
    <row r="636" spans="1:20" x14ac:dyDescent="0.25">
      <c r="A636" s="364" t="s">
        <v>2721</v>
      </c>
      <c r="B636" s="361" t="s">
        <v>2722</v>
      </c>
      <c r="C636" t="s">
        <v>1920</v>
      </c>
      <c r="D636" s="361">
        <v>20</v>
      </c>
      <c r="E636" s="364"/>
      <c r="F636" s="361" t="s">
        <v>1921</v>
      </c>
      <c r="T636" s="361">
        <v>3.1399999999999997E-2</v>
      </c>
    </row>
    <row r="637" spans="1:20" x14ac:dyDescent="0.25">
      <c r="A637" s="364" t="s">
        <v>2723</v>
      </c>
      <c r="B637" s="361" t="s">
        <v>2724</v>
      </c>
      <c r="C637">
        <v>2</v>
      </c>
      <c r="D637" s="361">
        <v>18</v>
      </c>
      <c r="E637" s="364"/>
      <c r="F637" s="361" t="s">
        <v>2725</v>
      </c>
      <c r="T637" s="361">
        <v>0.61799999999999999</v>
      </c>
    </row>
    <row r="638" spans="1:20" x14ac:dyDescent="0.25">
      <c r="A638" s="364" t="s">
        <v>262</v>
      </c>
      <c r="B638" s="361" t="s">
        <v>840</v>
      </c>
      <c r="C638" t="s">
        <v>1922</v>
      </c>
      <c r="D638" s="361">
        <v>1</v>
      </c>
      <c r="E638" s="364"/>
      <c r="F638" s="361" t="s">
        <v>1917</v>
      </c>
      <c r="T638" s="361">
        <v>32.700000000000003</v>
      </c>
    </row>
    <row r="639" spans="1:20" x14ac:dyDescent="0.25">
      <c r="A639" s="364" t="s">
        <v>2726</v>
      </c>
      <c r="B639" s="361" t="s">
        <v>2727</v>
      </c>
      <c r="C639" t="s">
        <v>1920</v>
      </c>
      <c r="D639" s="361">
        <v>24</v>
      </c>
      <c r="E639" s="364"/>
      <c r="F639" s="361" t="s">
        <v>2201</v>
      </c>
      <c r="T639" s="361">
        <v>425.6</v>
      </c>
    </row>
    <row r="640" spans="1:20" x14ac:dyDescent="0.25">
      <c r="A640" s="364" t="s">
        <v>841</v>
      </c>
      <c r="B640" s="361" t="s">
        <v>842</v>
      </c>
      <c r="C640" t="s">
        <v>1922</v>
      </c>
      <c r="D640" s="361">
        <v>1</v>
      </c>
      <c r="E640" s="364"/>
      <c r="F640" s="361" t="s">
        <v>1917</v>
      </c>
      <c r="T640" s="361">
        <v>425</v>
      </c>
    </row>
    <row r="641" spans="1:20" x14ac:dyDescent="0.25">
      <c r="A641" s="364" t="s">
        <v>257</v>
      </c>
      <c r="B641" s="361" t="s">
        <v>843</v>
      </c>
      <c r="C641" t="s">
        <v>1922</v>
      </c>
      <c r="D641" s="361">
        <v>1</v>
      </c>
      <c r="E641" s="364"/>
      <c r="F641" s="361" t="s">
        <v>1917</v>
      </c>
      <c r="T641" s="361">
        <v>77.94</v>
      </c>
    </row>
    <row r="642" spans="1:20" x14ac:dyDescent="0.25">
      <c r="A642" s="364" t="s">
        <v>2728</v>
      </c>
      <c r="B642" s="361" t="s">
        <v>2729</v>
      </c>
      <c r="C642" t="s">
        <v>1920</v>
      </c>
      <c r="D642" s="361">
        <v>27</v>
      </c>
      <c r="E642" s="364"/>
      <c r="F642" s="361" t="s">
        <v>1921</v>
      </c>
      <c r="T642" s="361">
        <v>0.57399999999999995</v>
      </c>
    </row>
    <row r="643" spans="1:20" x14ac:dyDescent="0.25">
      <c r="A643" s="364" t="s">
        <v>844</v>
      </c>
      <c r="B643" s="361" t="s">
        <v>845</v>
      </c>
      <c r="C643" t="s">
        <v>1922</v>
      </c>
      <c r="D643" s="361">
        <v>1</v>
      </c>
      <c r="E643" s="364"/>
      <c r="F643" s="361" t="s">
        <v>1917</v>
      </c>
      <c r="T643" s="361">
        <v>1E-4</v>
      </c>
    </row>
    <row r="644" spans="1:20" x14ac:dyDescent="0.25">
      <c r="A644" s="364" t="s">
        <v>846</v>
      </c>
      <c r="B644" s="361" t="s">
        <v>847</v>
      </c>
      <c r="C644" t="s">
        <v>1922</v>
      </c>
      <c r="D644" s="361">
        <v>1</v>
      </c>
      <c r="E644" s="364"/>
      <c r="F644" s="361" t="s">
        <v>1917</v>
      </c>
      <c r="T644" s="361">
        <v>1.0000000000000001E-5</v>
      </c>
    </row>
    <row r="645" spans="1:20" x14ac:dyDescent="0.25">
      <c r="A645" s="364" t="s">
        <v>214</v>
      </c>
      <c r="B645" s="361" t="s">
        <v>848</v>
      </c>
      <c r="C645" t="s">
        <v>1922</v>
      </c>
      <c r="D645" s="361">
        <v>1</v>
      </c>
      <c r="E645" s="364"/>
      <c r="F645" s="361" t="s">
        <v>1917</v>
      </c>
      <c r="T645" s="361">
        <v>52.18</v>
      </c>
    </row>
    <row r="646" spans="1:20" x14ac:dyDescent="0.25">
      <c r="A646" s="364" t="s">
        <v>2730</v>
      </c>
      <c r="B646" s="361" t="s">
        <v>2731</v>
      </c>
      <c r="C646" t="s">
        <v>1920</v>
      </c>
      <c r="D646" s="361">
        <v>22</v>
      </c>
      <c r="E646" s="364"/>
      <c r="F646" s="361" t="s">
        <v>1921</v>
      </c>
      <c r="T646" s="361">
        <v>445.95</v>
      </c>
    </row>
    <row r="647" spans="1:20" x14ac:dyDescent="0.25">
      <c r="A647" s="364" t="s">
        <v>2732</v>
      </c>
      <c r="B647" s="361" t="s">
        <v>2733</v>
      </c>
      <c r="C647" t="s">
        <v>1920</v>
      </c>
      <c r="D647" s="361" t="s">
        <v>2394</v>
      </c>
      <c r="E647" s="364"/>
      <c r="F647" s="361" t="s">
        <v>1917</v>
      </c>
      <c r="T647" s="361">
        <v>60.35</v>
      </c>
    </row>
    <row r="648" spans="1:20" x14ac:dyDescent="0.25">
      <c r="A648" s="364" t="s">
        <v>2734</v>
      </c>
      <c r="B648" s="361" t="s">
        <v>2735</v>
      </c>
      <c r="C648" t="s">
        <v>1920</v>
      </c>
      <c r="D648" s="361">
        <v>20</v>
      </c>
      <c r="E648" s="364"/>
      <c r="F648" s="361" t="s">
        <v>2201</v>
      </c>
      <c r="T648" s="361">
        <v>7.3</v>
      </c>
    </row>
    <row r="649" spans="1:20" x14ac:dyDescent="0.25">
      <c r="A649" s="364" t="s">
        <v>849</v>
      </c>
      <c r="B649" s="361" t="s">
        <v>850</v>
      </c>
      <c r="C649" t="s">
        <v>1922</v>
      </c>
      <c r="D649" s="361">
        <v>1</v>
      </c>
      <c r="E649" s="364"/>
      <c r="F649" s="361" t="s">
        <v>2638</v>
      </c>
      <c r="T649" s="361">
        <v>11.9</v>
      </c>
    </row>
    <row r="650" spans="1:20" x14ac:dyDescent="0.25">
      <c r="A650" s="364" t="s">
        <v>195</v>
      </c>
      <c r="B650" s="361" t="s">
        <v>851</v>
      </c>
      <c r="C650" t="s">
        <v>1916</v>
      </c>
      <c r="D650" s="361">
        <v>2</v>
      </c>
      <c r="E650" s="364"/>
      <c r="F650" s="361" t="s">
        <v>1917</v>
      </c>
      <c r="T650" s="361">
        <v>21.92</v>
      </c>
    </row>
    <row r="651" spans="1:20" x14ac:dyDescent="0.25">
      <c r="A651" s="364" t="s">
        <v>2736</v>
      </c>
      <c r="B651" s="361" t="s">
        <v>2737</v>
      </c>
      <c r="C651" t="s">
        <v>1920</v>
      </c>
      <c r="D651" s="361">
        <v>12</v>
      </c>
      <c r="E651" s="364"/>
      <c r="F651" s="361" t="s">
        <v>1921</v>
      </c>
      <c r="T651" s="361">
        <v>5.602E-2</v>
      </c>
    </row>
    <row r="652" spans="1:20" x14ac:dyDescent="0.25">
      <c r="A652" s="364" t="s">
        <v>2738</v>
      </c>
      <c r="B652" s="361" t="s">
        <v>2739</v>
      </c>
      <c r="C652" t="s">
        <v>1920</v>
      </c>
      <c r="D652" s="361">
        <v>11</v>
      </c>
      <c r="E652" s="364"/>
      <c r="F652" s="361" t="s">
        <v>1921</v>
      </c>
      <c r="T652" s="361">
        <v>9.2969999999999997E-2</v>
      </c>
    </row>
    <row r="653" spans="1:20" x14ac:dyDescent="0.25">
      <c r="A653" s="364" t="s">
        <v>852</v>
      </c>
      <c r="B653" s="361" t="s">
        <v>853</v>
      </c>
      <c r="C653" t="s">
        <v>1922</v>
      </c>
      <c r="D653" s="361">
        <v>1</v>
      </c>
      <c r="E653" s="364"/>
      <c r="F653" s="361" t="s">
        <v>2725</v>
      </c>
      <c r="T653" s="361">
        <v>390</v>
      </c>
    </row>
    <row r="654" spans="1:20" x14ac:dyDescent="0.25">
      <c r="A654" s="364" t="s">
        <v>2740</v>
      </c>
      <c r="B654" s="361" t="s">
        <v>2741</v>
      </c>
      <c r="C654">
        <v>2</v>
      </c>
      <c r="D654" s="361">
        <v>97</v>
      </c>
      <c r="E654" s="364"/>
      <c r="F654" s="361" t="s">
        <v>1921</v>
      </c>
      <c r="T654" s="361">
        <v>390</v>
      </c>
    </row>
    <row r="655" spans="1:20" x14ac:dyDescent="0.25">
      <c r="A655" s="364" t="s">
        <v>2742</v>
      </c>
      <c r="B655" s="361" t="s">
        <v>2743</v>
      </c>
      <c r="C655">
        <v>2</v>
      </c>
      <c r="D655" s="361">
        <v>97</v>
      </c>
      <c r="E655" s="364"/>
      <c r="F655" s="361" t="s">
        <v>1921</v>
      </c>
      <c r="T655" s="361">
        <v>0.39311000000000001</v>
      </c>
    </row>
    <row r="656" spans="1:20" x14ac:dyDescent="0.25">
      <c r="A656" s="364" t="s">
        <v>2744</v>
      </c>
      <c r="B656" s="361" t="s">
        <v>2745</v>
      </c>
      <c r="C656">
        <v>2</v>
      </c>
      <c r="D656" s="361">
        <v>97</v>
      </c>
      <c r="E656" s="364"/>
      <c r="F656" s="361" t="s">
        <v>1921</v>
      </c>
      <c r="T656" s="361">
        <v>1.571</v>
      </c>
    </row>
    <row r="657" spans="1:20" x14ac:dyDescent="0.25">
      <c r="A657" s="364" t="s">
        <v>2746</v>
      </c>
      <c r="B657" s="361" t="s">
        <v>2747</v>
      </c>
      <c r="C657">
        <v>2</v>
      </c>
      <c r="D657" s="361">
        <v>97</v>
      </c>
      <c r="E657" s="364"/>
      <c r="F657" s="361" t="s">
        <v>1921</v>
      </c>
      <c r="T657" s="361">
        <v>0.15931999999999999</v>
      </c>
    </row>
    <row r="658" spans="1:20" x14ac:dyDescent="0.25">
      <c r="A658" s="364" t="s">
        <v>2748</v>
      </c>
      <c r="B658" s="361" t="s">
        <v>2749</v>
      </c>
      <c r="C658" t="s">
        <v>1920</v>
      </c>
      <c r="D658" s="361">
        <v>22</v>
      </c>
      <c r="E658" s="364"/>
      <c r="F658" s="361" t="s">
        <v>1921</v>
      </c>
      <c r="T658" s="361">
        <v>388.26666999999998</v>
      </c>
    </row>
    <row r="659" spans="1:20" x14ac:dyDescent="0.25">
      <c r="A659" s="364" t="s">
        <v>2750</v>
      </c>
      <c r="B659" s="361" t="s">
        <v>2751</v>
      </c>
      <c r="C659">
        <v>2</v>
      </c>
      <c r="D659" s="361">
        <v>97</v>
      </c>
      <c r="E659" s="364"/>
      <c r="F659" s="361" t="s">
        <v>1921</v>
      </c>
      <c r="T659" s="361">
        <v>0.69699999999999995</v>
      </c>
    </row>
    <row r="660" spans="1:20" x14ac:dyDescent="0.25">
      <c r="A660" s="364" t="s">
        <v>2752</v>
      </c>
      <c r="B660" s="361" t="s">
        <v>2753</v>
      </c>
      <c r="C660">
        <v>2</v>
      </c>
      <c r="D660" s="361">
        <v>97</v>
      </c>
      <c r="E660" s="364"/>
      <c r="F660" s="361" t="s">
        <v>1921</v>
      </c>
      <c r="T660" s="361">
        <v>0.16313</v>
      </c>
    </row>
    <row r="661" spans="1:20" x14ac:dyDescent="0.25">
      <c r="A661" s="364" t="s">
        <v>2754</v>
      </c>
      <c r="B661" s="361" t="s">
        <v>2755</v>
      </c>
      <c r="C661">
        <v>2</v>
      </c>
      <c r="D661" s="361">
        <v>97</v>
      </c>
      <c r="E661" s="364"/>
      <c r="F661" s="361" t="s">
        <v>1921</v>
      </c>
      <c r="T661" s="361">
        <v>0.63700000000000001</v>
      </c>
    </row>
    <row r="662" spans="1:20" x14ac:dyDescent="0.25">
      <c r="A662" s="364" t="s">
        <v>2756</v>
      </c>
      <c r="B662" s="361" t="s">
        <v>2757</v>
      </c>
      <c r="C662">
        <v>2</v>
      </c>
      <c r="D662" s="361">
        <v>97</v>
      </c>
      <c r="E662" s="364"/>
      <c r="F662" s="361" t="s">
        <v>1921</v>
      </c>
      <c r="T662" s="361">
        <v>3.9E-2</v>
      </c>
    </row>
    <row r="663" spans="1:20" x14ac:dyDescent="0.25">
      <c r="A663" s="364" t="s">
        <v>2758</v>
      </c>
      <c r="B663" s="361" t="s">
        <v>2759</v>
      </c>
      <c r="C663">
        <v>2</v>
      </c>
      <c r="D663" s="361">
        <v>97</v>
      </c>
      <c r="E663" s="364"/>
      <c r="F663" s="361" t="s">
        <v>1921</v>
      </c>
      <c r="T663" s="361">
        <v>8.0699999999999994E-2</v>
      </c>
    </row>
    <row r="664" spans="1:20" x14ac:dyDescent="0.25">
      <c r="A664" s="364" t="s">
        <v>2760</v>
      </c>
      <c r="B664" s="361" t="s">
        <v>2761</v>
      </c>
      <c r="C664">
        <v>2</v>
      </c>
      <c r="D664" s="361">
        <v>97</v>
      </c>
      <c r="E664" s="364"/>
      <c r="F664" s="361" t="s">
        <v>1921</v>
      </c>
      <c r="T664" s="361">
        <v>0.14099999999999999</v>
      </c>
    </row>
    <row r="665" spans="1:20" x14ac:dyDescent="0.25">
      <c r="A665" s="364" t="s">
        <v>2762</v>
      </c>
      <c r="B665" s="361" t="s">
        <v>2763</v>
      </c>
      <c r="C665">
        <v>2</v>
      </c>
      <c r="D665" s="361">
        <v>97</v>
      </c>
      <c r="E665" s="364"/>
      <c r="F665" s="361" t="s">
        <v>1921</v>
      </c>
      <c r="T665" s="361">
        <v>3.7</v>
      </c>
    </row>
    <row r="666" spans="1:20" x14ac:dyDescent="0.25">
      <c r="A666" s="364" t="s">
        <v>2764</v>
      </c>
      <c r="B666" s="361" t="s">
        <v>2765</v>
      </c>
      <c r="C666">
        <v>2</v>
      </c>
      <c r="D666" s="361">
        <v>97</v>
      </c>
      <c r="E666" s="364"/>
      <c r="F666" s="361" t="s">
        <v>1921</v>
      </c>
      <c r="T666" s="361">
        <v>78</v>
      </c>
    </row>
    <row r="667" spans="1:20" x14ac:dyDescent="0.25">
      <c r="A667" s="364" t="s">
        <v>2766</v>
      </c>
      <c r="B667" s="361" t="s">
        <v>2767</v>
      </c>
      <c r="C667">
        <v>2</v>
      </c>
      <c r="D667" s="361">
        <v>97</v>
      </c>
      <c r="E667" s="364"/>
      <c r="F667" s="361" t="s">
        <v>1921</v>
      </c>
      <c r="T667" s="361">
        <v>84.5</v>
      </c>
    </row>
    <row r="668" spans="1:20" x14ac:dyDescent="0.25">
      <c r="A668" s="364" t="s">
        <v>2768</v>
      </c>
      <c r="B668" s="361" t="s">
        <v>2769</v>
      </c>
      <c r="C668">
        <v>2</v>
      </c>
      <c r="D668" s="361">
        <v>97</v>
      </c>
      <c r="E668" s="364"/>
      <c r="F668" s="361" t="s">
        <v>1921</v>
      </c>
      <c r="T668" s="361">
        <v>156.63999999999999</v>
      </c>
    </row>
    <row r="669" spans="1:20" x14ac:dyDescent="0.25">
      <c r="A669" s="364" t="s">
        <v>2770</v>
      </c>
      <c r="B669" s="361" t="s">
        <v>2771</v>
      </c>
      <c r="C669">
        <v>2</v>
      </c>
      <c r="D669" s="361">
        <v>97</v>
      </c>
      <c r="E669" s="364"/>
      <c r="F669" s="361" t="s">
        <v>1921</v>
      </c>
      <c r="T669" s="361">
        <v>67</v>
      </c>
    </row>
    <row r="670" spans="1:20" x14ac:dyDescent="0.25">
      <c r="A670" s="364" t="s">
        <v>2772</v>
      </c>
      <c r="B670" s="361" t="s">
        <v>2773</v>
      </c>
      <c r="C670">
        <v>2</v>
      </c>
      <c r="D670" s="361">
        <v>97</v>
      </c>
      <c r="E670" s="364"/>
      <c r="F670" s="361" t="s">
        <v>1921</v>
      </c>
      <c r="T670" s="361">
        <v>98.32</v>
      </c>
    </row>
    <row r="671" spans="1:20" x14ac:dyDescent="0.25">
      <c r="A671" s="364" t="s">
        <v>2774</v>
      </c>
      <c r="B671" s="361" t="s">
        <v>2775</v>
      </c>
      <c r="C671">
        <v>2</v>
      </c>
      <c r="D671" s="361">
        <v>97</v>
      </c>
      <c r="E671" s="364"/>
      <c r="F671" s="361" t="s">
        <v>1921</v>
      </c>
      <c r="T671" s="361">
        <v>139.54669999999999</v>
      </c>
    </row>
    <row r="672" spans="1:20" x14ac:dyDescent="0.25">
      <c r="A672" s="364" t="s">
        <v>2776</v>
      </c>
      <c r="B672" s="361" t="s">
        <v>2777</v>
      </c>
      <c r="C672">
        <v>2</v>
      </c>
      <c r="D672" s="361">
        <v>97</v>
      </c>
      <c r="E672" s="364"/>
      <c r="F672" s="361" t="s">
        <v>1921</v>
      </c>
      <c r="T672" s="361">
        <v>135</v>
      </c>
    </row>
    <row r="673" spans="1:20" x14ac:dyDescent="0.25">
      <c r="A673" s="364" t="s">
        <v>2778</v>
      </c>
      <c r="B673" s="361" t="s">
        <v>2779</v>
      </c>
      <c r="C673">
        <v>2</v>
      </c>
      <c r="D673" s="361">
        <v>97</v>
      </c>
      <c r="E673" s="364"/>
      <c r="F673" s="361" t="s">
        <v>1921</v>
      </c>
      <c r="T673" s="361">
        <v>138.41</v>
      </c>
    </row>
    <row r="674" spans="1:20" x14ac:dyDescent="0.25">
      <c r="A674" s="364" t="s">
        <v>2780</v>
      </c>
      <c r="B674" s="361" t="s">
        <v>2781</v>
      </c>
      <c r="C674">
        <v>2</v>
      </c>
      <c r="D674" s="361">
        <v>97</v>
      </c>
      <c r="E674" s="364"/>
      <c r="F674" s="361" t="s">
        <v>1921</v>
      </c>
      <c r="T674" s="361">
        <v>141.82</v>
      </c>
    </row>
    <row r="675" spans="1:20" x14ac:dyDescent="0.25">
      <c r="A675" s="364" t="s">
        <v>2782</v>
      </c>
      <c r="B675" s="361" t="s">
        <v>2783</v>
      </c>
      <c r="C675">
        <v>2</v>
      </c>
      <c r="D675" s="361">
        <v>97</v>
      </c>
      <c r="E675" s="364"/>
      <c r="F675" s="361" t="s">
        <v>1921</v>
      </c>
      <c r="T675" s="361">
        <v>264</v>
      </c>
    </row>
    <row r="676" spans="1:20" x14ac:dyDescent="0.25">
      <c r="A676" s="364" t="s">
        <v>2784</v>
      </c>
      <c r="B676" s="361" t="s">
        <v>2785</v>
      </c>
      <c r="C676">
        <v>2</v>
      </c>
      <c r="D676" s="361">
        <v>97</v>
      </c>
      <c r="E676" s="364"/>
      <c r="F676" s="361" t="s">
        <v>1921</v>
      </c>
      <c r="T676" s="361">
        <v>264</v>
      </c>
    </row>
    <row r="677" spans="1:20" x14ac:dyDescent="0.25">
      <c r="A677" s="364" t="s">
        <v>2786</v>
      </c>
      <c r="B677" s="361" t="s">
        <v>2787</v>
      </c>
      <c r="C677">
        <v>2</v>
      </c>
      <c r="D677" s="361">
        <v>97</v>
      </c>
      <c r="E677" s="364"/>
      <c r="F677" s="361" t="s">
        <v>1921</v>
      </c>
      <c r="T677" s="361">
        <v>44.810809999999996</v>
      </c>
    </row>
    <row r="678" spans="1:20" x14ac:dyDescent="0.25">
      <c r="A678" s="364" t="s">
        <v>229</v>
      </c>
      <c r="B678" s="361" t="s">
        <v>854</v>
      </c>
      <c r="C678" t="s">
        <v>1916</v>
      </c>
      <c r="D678" s="361">
        <v>2</v>
      </c>
      <c r="E678" s="364"/>
      <c r="F678" s="361" t="s">
        <v>1917</v>
      </c>
      <c r="T678" s="361">
        <v>6.36</v>
      </c>
    </row>
    <row r="679" spans="1:20" x14ac:dyDescent="0.25">
      <c r="A679" s="364" t="s">
        <v>448</v>
      </c>
      <c r="B679" s="361" t="s">
        <v>2788</v>
      </c>
      <c r="C679" t="s">
        <v>1920</v>
      </c>
      <c r="D679" s="361">
        <v>27</v>
      </c>
      <c r="E679" s="364"/>
      <c r="F679" s="361" t="s">
        <v>1921</v>
      </c>
      <c r="T679" s="361">
        <v>1.262</v>
      </c>
    </row>
    <row r="680" spans="1:20" x14ac:dyDescent="0.25">
      <c r="A680" s="364" t="s">
        <v>364</v>
      </c>
      <c r="B680" s="361" t="s">
        <v>2789</v>
      </c>
      <c r="C680" t="s">
        <v>1920</v>
      </c>
      <c r="D680" s="361">
        <v>19</v>
      </c>
      <c r="E680" s="364"/>
      <c r="F680" s="361" t="s">
        <v>1917</v>
      </c>
      <c r="T680" s="361">
        <v>16.5</v>
      </c>
    </row>
    <row r="681" spans="1:20" x14ac:dyDescent="0.25">
      <c r="A681" s="364" t="s">
        <v>2790</v>
      </c>
      <c r="B681" s="361" t="s">
        <v>2791</v>
      </c>
      <c r="C681" t="s">
        <v>1920</v>
      </c>
      <c r="D681" s="361">
        <v>45</v>
      </c>
      <c r="E681" s="364"/>
      <c r="F681" s="361" t="s">
        <v>1917</v>
      </c>
      <c r="T681" s="361">
        <v>39.4</v>
      </c>
    </row>
    <row r="682" spans="1:20" x14ac:dyDescent="0.25">
      <c r="A682" s="364" t="s">
        <v>2792</v>
      </c>
      <c r="B682" s="361" t="s">
        <v>2793</v>
      </c>
      <c r="C682" t="s">
        <v>1920</v>
      </c>
      <c r="D682" s="361">
        <v>15</v>
      </c>
      <c r="E682" s="364"/>
      <c r="F682" s="361" t="s">
        <v>1917</v>
      </c>
      <c r="T682" s="361">
        <v>49.6</v>
      </c>
    </row>
    <row r="683" spans="1:20" x14ac:dyDescent="0.25">
      <c r="A683" s="364" t="s">
        <v>2794</v>
      </c>
      <c r="B683" s="361" t="s">
        <v>2795</v>
      </c>
      <c r="C683" t="s">
        <v>1920</v>
      </c>
      <c r="D683" s="361">
        <v>15</v>
      </c>
      <c r="E683" s="364"/>
      <c r="F683" s="361" t="s">
        <v>1917</v>
      </c>
      <c r="T683" s="361">
        <v>49.6</v>
      </c>
    </row>
    <row r="684" spans="1:20" x14ac:dyDescent="0.25">
      <c r="A684" s="364" t="s">
        <v>2796</v>
      </c>
      <c r="B684" s="361" t="s">
        <v>2797</v>
      </c>
      <c r="C684" t="s">
        <v>1920</v>
      </c>
      <c r="D684" s="361">
        <v>45</v>
      </c>
      <c r="E684" s="364"/>
      <c r="F684" s="361" t="s">
        <v>1917</v>
      </c>
      <c r="T684" s="361">
        <v>49.6</v>
      </c>
    </row>
    <row r="685" spans="1:20" x14ac:dyDescent="0.25">
      <c r="A685" s="364" t="s">
        <v>2798</v>
      </c>
      <c r="B685" s="361" t="s">
        <v>2799</v>
      </c>
      <c r="C685" t="s">
        <v>1920</v>
      </c>
      <c r="D685" s="361">
        <v>45</v>
      </c>
      <c r="E685" s="364"/>
      <c r="F685" s="361" t="s">
        <v>1917</v>
      </c>
      <c r="T685" s="361">
        <v>49.6</v>
      </c>
    </row>
    <row r="686" spans="1:20" x14ac:dyDescent="0.25">
      <c r="A686" s="364" t="s">
        <v>2800</v>
      </c>
      <c r="B686" s="361" t="s">
        <v>2801</v>
      </c>
      <c r="C686" t="s">
        <v>1920</v>
      </c>
      <c r="D686" s="361">
        <v>45</v>
      </c>
      <c r="E686" s="364"/>
      <c r="F686" s="361" t="s">
        <v>1917</v>
      </c>
      <c r="T686" s="361">
        <v>49.6</v>
      </c>
    </row>
    <row r="687" spans="1:20" x14ac:dyDescent="0.25">
      <c r="A687" s="364" t="s">
        <v>2802</v>
      </c>
      <c r="B687" s="361" t="s">
        <v>2803</v>
      </c>
      <c r="C687" t="s">
        <v>1920</v>
      </c>
      <c r="D687" s="361">
        <v>45</v>
      </c>
      <c r="E687" s="364"/>
      <c r="F687" s="361" t="s">
        <v>1917</v>
      </c>
      <c r="T687" s="361">
        <v>49.6</v>
      </c>
    </row>
    <row r="688" spans="1:20" x14ac:dyDescent="0.25">
      <c r="A688" s="364" t="s">
        <v>2804</v>
      </c>
      <c r="B688" s="361" t="s">
        <v>2805</v>
      </c>
      <c r="C688" t="s">
        <v>1920</v>
      </c>
      <c r="D688" s="361">
        <v>45</v>
      </c>
      <c r="E688" s="364"/>
      <c r="F688" s="361" t="s">
        <v>1917</v>
      </c>
      <c r="T688" s="361">
        <v>49.6</v>
      </c>
    </row>
    <row r="689" spans="1:20" x14ac:dyDescent="0.25">
      <c r="A689" s="364" t="s">
        <v>366</v>
      </c>
      <c r="B689" s="361" t="s">
        <v>2806</v>
      </c>
      <c r="C689" t="s">
        <v>1920</v>
      </c>
      <c r="D689" s="361">
        <v>16</v>
      </c>
      <c r="E689" s="364"/>
      <c r="F689" s="361" t="s">
        <v>1917</v>
      </c>
      <c r="T689" s="361">
        <v>8.1869999999999994</v>
      </c>
    </row>
    <row r="690" spans="1:20" x14ac:dyDescent="0.25">
      <c r="A690" s="364" t="s">
        <v>2807</v>
      </c>
      <c r="B690" s="361" t="s">
        <v>2808</v>
      </c>
      <c r="C690" t="s">
        <v>1920</v>
      </c>
      <c r="D690" s="361">
        <v>45</v>
      </c>
      <c r="E690" s="364"/>
      <c r="F690" s="361" t="s">
        <v>1917</v>
      </c>
      <c r="T690" s="361">
        <v>25.3</v>
      </c>
    </row>
    <row r="691" spans="1:20" x14ac:dyDescent="0.25">
      <c r="A691" s="364" t="s">
        <v>2809</v>
      </c>
      <c r="B691" s="361" t="s">
        <v>2810</v>
      </c>
      <c r="C691" t="s">
        <v>1920</v>
      </c>
      <c r="D691" s="361">
        <v>24</v>
      </c>
      <c r="E691" s="364"/>
      <c r="F691" s="361" t="s">
        <v>2201</v>
      </c>
      <c r="T691" s="361">
        <v>389</v>
      </c>
    </row>
    <row r="692" spans="1:20" x14ac:dyDescent="0.25">
      <c r="A692" s="364" t="s">
        <v>2811</v>
      </c>
      <c r="B692" s="361" t="s">
        <v>2812</v>
      </c>
      <c r="C692" t="s">
        <v>1920</v>
      </c>
      <c r="D692" s="361">
        <v>24</v>
      </c>
      <c r="E692" s="364"/>
      <c r="F692" s="361" t="s">
        <v>2201</v>
      </c>
      <c r="T692" s="361">
        <v>269</v>
      </c>
    </row>
    <row r="693" spans="1:20" x14ac:dyDescent="0.25">
      <c r="A693" s="364" t="s">
        <v>2813</v>
      </c>
      <c r="B693" s="361" t="s">
        <v>2814</v>
      </c>
      <c r="C693" t="s">
        <v>1920</v>
      </c>
      <c r="D693" s="361">
        <v>97</v>
      </c>
      <c r="E693" s="364"/>
      <c r="F693" s="361" t="s">
        <v>1921</v>
      </c>
      <c r="T693" s="361">
        <v>4.41</v>
      </c>
    </row>
    <row r="694" spans="1:20" x14ac:dyDescent="0.25">
      <c r="A694" s="364" t="s">
        <v>2815</v>
      </c>
      <c r="B694" s="361" t="s">
        <v>2816</v>
      </c>
      <c r="C694" t="s">
        <v>1920</v>
      </c>
      <c r="D694" s="361">
        <v>54</v>
      </c>
      <c r="E694" s="364"/>
      <c r="F694" s="361" t="s">
        <v>1921</v>
      </c>
      <c r="T694" s="361">
        <v>0.23959</v>
      </c>
    </row>
    <row r="695" spans="1:20" x14ac:dyDescent="0.25">
      <c r="A695" s="364" t="s">
        <v>2817</v>
      </c>
      <c r="B695" s="361" t="s">
        <v>2818</v>
      </c>
      <c r="C695" t="s">
        <v>1920</v>
      </c>
      <c r="D695" s="361">
        <v>45</v>
      </c>
      <c r="E695" s="364"/>
      <c r="F695" s="361" t="s">
        <v>1917</v>
      </c>
      <c r="T695" s="361">
        <v>26.8</v>
      </c>
    </row>
    <row r="696" spans="1:20" x14ac:dyDescent="0.25">
      <c r="A696" s="364" t="s">
        <v>2819</v>
      </c>
      <c r="B696" s="361" t="s">
        <v>2820</v>
      </c>
      <c r="C696" t="s">
        <v>1920</v>
      </c>
      <c r="D696" s="361">
        <v>54</v>
      </c>
      <c r="E696" s="364"/>
      <c r="F696" s="361" t="s">
        <v>1921</v>
      </c>
      <c r="T696" s="361">
        <v>5.3199999999999997E-2</v>
      </c>
    </row>
    <row r="697" spans="1:20" x14ac:dyDescent="0.25">
      <c r="A697" s="364" t="s">
        <v>2821</v>
      </c>
      <c r="B697" s="361" t="s">
        <v>2822</v>
      </c>
      <c r="C697" t="s">
        <v>1920</v>
      </c>
      <c r="D697" s="361">
        <v>22</v>
      </c>
      <c r="E697" s="364"/>
      <c r="F697" s="361" t="s">
        <v>1921</v>
      </c>
      <c r="T697" s="361">
        <v>525.88</v>
      </c>
    </row>
    <row r="698" spans="1:20" x14ac:dyDescent="0.25">
      <c r="A698" s="364" t="s">
        <v>2823</v>
      </c>
      <c r="B698" s="361" t="s">
        <v>2318</v>
      </c>
      <c r="C698" t="s">
        <v>1920</v>
      </c>
      <c r="D698" s="361">
        <v>45</v>
      </c>
      <c r="E698" s="364"/>
      <c r="F698" s="361" t="s">
        <v>1917</v>
      </c>
      <c r="T698" s="361">
        <v>39.4</v>
      </c>
    </row>
    <row r="699" spans="1:20" x14ac:dyDescent="0.25">
      <c r="A699" s="364" t="s">
        <v>2824</v>
      </c>
      <c r="B699" s="361" t="s">
        <v>2825</v>
      </c>
      <c r="C699" t="s">
        <v>1920</v>
      </c>
      <c r="D699" s="361">
        <v>15</v>
      </c>
      <c r="E699" s="364"/>
      <c r="F699" s="361" t="s">
        <v>1917</v>
      </c>
      <c r="T699" s="361">
        <v>39.4</v>
      </c>
    </row>
    <row r="700" spans="1:20" x14ac:dyDescent="0.25">
      <c r="A700" s="364" t="s">
        <v>2826</v>
      </c>
      <c r="B700" s="361" t="s">
        <v>2827</v>
      </c>
      <c r="C700" t="s">
        <v>1920</v>
      </c>
      <c r="D700" s="361">
        <v>24</v>
      </c>
      <c r="E700" s="364"/>
      <c r="F700" s="361" t="s">
        <v>1921</v>
      </c>
      <c r="T700" s="361">
        <v>2.58792</v>
      </c>
    </row>
    <row r="701" spans="1:20" x14ac:dyDescent="0.25">
      <c r="A701" s="364" t="s">
        <v>2828</v>
      </c>
      <c r="B701" s="361" t="s">
        <v>2829</v>
      </c>
      <c r="C701" t="s">
        <v>1920</v>
      </c>
      <c r="D701" s="361">
        <v>15</v>
      </c>
      <c r="E701" s="364"/>
      <c r="F701" s="361" t="s">
        <v>1917</v>
      </c>
      <c r="T701" s="361">
        <v>49.6</v>
      </c>
    </row>
    <row r="702" spans="1:20" x14ac:dyDescent="0.25">
      <c r="A702" s="364" t="s">
        <v>2830</v>
      </c>
      <c r="B702" s="361" t="s">
        <v>2831</v>
      </c>
      <c r="C702" t="s">
        <v>1920</v>
      </c>
      <c r="D702" s="361">
        <v>24</v>
      </c>
      <c r="E702" s="364"/>
      <c r="F702" s="361" t="s">
        <v>1921</v>
      </c>
      <c r="T702" s="361">
        <v>0.68069999999999997</v>
      </c>
    </row>
    <row r="703" spans="1:20" x14ac:dyDescent="0.25">
      <c r="A703" s="364" t="s">
        <v>2832</v>
      </c>
      <c r="B703" s="361" t="s">
        <v>2833</v>
      </c>
      <c r="C703" t="s">
        <v>1920</v>
      </c>
      <c r="D703" s="361">
        <v>24</v>
      </c>
      <c r="E703" s="364"/>
      <c r="F703" s="361" t="s">
        <v>1921</v>
      </c>
      <c r="T703" s="361">
        <v>0.88939999999999997</v>
      </c>
    </row>
    <row r="704" spans="1:20" x14ac:dyDescent="0.25">
      <c r="A704" s="364" t="s">
        <v>855</v>
      </c>
      <c r="B704" s="361" t="s">
        <v>856</v>
      </c>
      <c r="C704" t="s">
        <v>1922</v>
      </c>
      <c r="D704" s="361">
        <v>1</v>
      </c>
      <c r="E704" s="364"/>
      <c r="F704" s="361" t="s">
        <v>1917</v>
      </c>
      <c r="T704" s="361">
        <v>11.22</v>
      </c>
    </row>
    <row r="705" spans="1:20" x14ac:dyDescent="0.25">
      <c r="A705" s="364" t="s">
        <v>2834</v>
      </c>
      <c r="B705" s="361" t="s">
        <v>2835</v>
      </c>
      <c r="C705" t="s">
        <v>1920</v>
      </c>
      <c r="D705" s="361">
        <v>30</v>
      </c>
      <c r="E705" s="364"/>
      <c r="F705" s="361" t="s">
        <v>1921</v>
      </c>
      <c r="T705" s="361">
        <v>0.13217999999999999</v>
      </c>
    </row>
    <row r="706" spans="1:20" x14ac:dyDescent="0.25">
      <c r="A706" s="364" t="s">
        <v>857</v>
      </c>
      <c r="B706" s="361" t="s">
        <v>858</v>
      </c>
      <c r="C706" t="s">
        <v>1922</v>
      </c>
      <c r="D706" s="361">
        <v>1</v>
      </c>
      <c r="E706" s="364"/>
      <c r="F706" s="361" t="s">
        <v>1917</v>
      </c>
      <c r="T706" s="361">
        <v>16.100000000000001</v>
      </c>
    </row>
    <row r="707" spans="1:20" x14ac:dyDescent="0.25">
      <c r="A707" s="364" t="s">
        <v>2836</v>
      </c>
      <c r="B707" s="361" t="s">
        <v>2837</v>
      </c>
      <c r="C707" t="s">
        <v>1920</v>
      </c>
      <c r="D707" s="361">
        <v>15</v>
      </c>
      <c r="E707" s="364"/>
      <c r="F707" s="361" t="s">
        <v>1917</v>
      </c>
      <c r="T707" s="361">
        <v>24.9</v>
      </c>
    </row>
    <row r="708" spans="1:20" x14ac:dyDescent="0.25">
      <c r="A708" s="364" t="s">
        <v>2838</v>
      </c>
      <c r="B708" s="361" t="s">
        <v>2839</v>
      </c>
      <c r="C708" t="s">
        <v>1920</v>
      </c>
      <c r="D708" s="361">
        <v>45</v>
      </c>
      <c r="E708" s="364"/>
      <c r="F708" s="361" t="s">
        <v>1917</v>
      </c>
      <c r="T708" s="361">
        <v>24.9</v>
      </c>
    </row>
    <row r="709" spans="1:20" x14ac:dyDescent="0.25">
      <c r="A709" s="364" t="s">
        <v>2840</v>
      </c>
      <c r="B709" s="361" t="s">
        <v>2841</v>
      </c>
      <c r="C709" t="s">
        <v>1920</v>
      </c>
      <c r="D709" s="361">
        <v>19</v>
      </c>
      <c r="E709" s="364"/>
      <c r="F709" s="361" t="s">
        <v>1917</v>
      </c>
      <c r="T709" s="361">
        <v>37.299999999999997</v>
      </c>
    </row>
    <row r="710" spans="1:20" x14ac:dyDescent="0.25">
      <c r="A710" s="364" t="s">
        <v>859</v>
      </c>
      <c r="B710" s="361" t="s">
        <v>860</v>
      </c>
      <c r="C710" t="s">
        <v>1916</v>
      </c>
      <c r="D710" s="361">
        <v>2</v>
      </c>
      <c r="E710" s="364"/>
      <c r="F710" s="361" t="s">
        <v>1917</v>
      </c>
      <c r="T710" s="361">
        <v>140</v>
      </c>
    </row>
    <row r="711" spans="1:20" x14ac:dyDescent="0.25">
      <c r="A711" s="364" t="s">
        <v>861</v>
      </c>
      <c r="B711" s="361" t="s">
        <v>862</v>
      </c>
      <c r="C711" t="s">
        <v>1922</v>
      </c>
      <c r="D711" s="361">
        <v>1</v>
      </c>
      <c r="E711" s="364"/>
      <c r="F711" s="361" t="s">
        <v>1917</v>
      </c>
      <c r="T711" s="361">
        <v>73.12</v>
      </c>
    </row>
    <row r="712" spans="1:20" x14ac:dyDescent="0.25">
      <c r="A712" s="364" t="s">
        <v>2842</v>
      </c>
      <c r="B712" s="361" t="s">
        <v>2843</v>
      </c>
      <c r="C712" t="s">
        <v>1920</v>
      </c>
      <c r="D712" s="361">
        <v>50</v>
      </c>
      <c r="E712" s="364"/>
      <c r="F712" s="361" t="s">
        <v>1921</v>
      </c>
      <c r="T712" s="361">
        <v>6.59E-2</v>
      </c>
    </row>
    <row r="713" spans="1:20" x14ac:dyDescent="0.25">
      <c r="A713" s="364" t="s">
        <v>2844</v>
      </c>
      <c r="B713" s="361" t="s">
        <v>2845</v>
      </c>
      <c r="C713" t="s">
        <v>1920</v>
      </c>
      <c r="D713" s="361">
        <v>54</v>
      </c>
      <c r="E713" s="364"/>
      <c r="F713" s="361" t="s">
        <v>1921</v>
      </c>
      <c r="T713" s="361">
        <v>9.8699999999999996E-2</v>
      </c>
    </row>
    <row r="714" spans="1:20" x14ac:dyDescent="0.25">
      <c r="A714" s="364" t="s">
        <v>863</v>
      </c>
      <c r="B714" s="361" t="s">
        <v>864</v>
      </c>
      <c r="C714" t="s">
        <v>1922</v>
      </c>
      <c r="D714" s="361">
        <v>5</v>
      </c>
      <c r="E714" s="364"/>
      <c r="F714" s="361" t="s">
        <v>1917</v>
      </c>
      <c r="T714" s="361">
        <v>76.78</v>
      </c>
    </row>
    <row r="715" spans="1:20" x14ac:dyDescent="0.25">
      <c r="A715" s="364" t="s">
        <v>2846</v>
      </c>
      <c r="B715" s="361" t="s">
        <v>2847</v>
      </c>
      <c r="C715" t="s">
        <v>1920</v>
      </c>
      <c r="D715" s="361">
        <v>54</v>
      </c>
      <c r="E715" s="364"/>
      <c r="F715" s="361" t="s">
        <v>1921</v>
      </c>
      <c r="T715" s="361">
        <v>4.5449999999999997E-2</v>
      </c>
    </row>
    <row r="716" spans="1:20" x14ac:dyDescent="0.25">
      <c r="A716" s="364" t="s">
        <v>2848</v>
      </c>
      <c r="B716" s="361" t="s">
        <v>2849</v>
      </c>
      <c r="C716" t="s">
        <v>1920</v>
      </c>
      <c r="D716" s="361">
        <v>54</v>
      </c>
      <c r="E716" s="364"/>
      <c r="F716" s="361" t="s">
        <v>1921</v>
      </c>
      <c r="T716" s="361">
        <v>0.14760000000000001</v>
      </c>
    </row>
    <row r="717" spans="1:20" x14ac:dyDescent="0.25">
      <c r="A717" s="364" t="s">
        <v>2850</v>
      </c>
      <c r="B717" s="361" t="s">
        <v>2851</v>
      </c>
      <c r="C717" t="s">
        <v>1920</v>
      </c>
      <c r="D717" s="361">
        <v>30</v>
      </c>
      <c r="E717" s="364"/>
      <c r="F717" s="361" t="s">
        <v>1921</v>
      </c>
      <c r="T717" s="361">
        <v>4.1099999999999998E-2</v>
      </c>
    </row>
    <row r="718" spans="1:20" x14ac:dyDescent="0.25">
      <c r="A718" s="364" t="s">
        <v>300</v>
      </c>
      <c r="B718" s="361" t="s">
        <v>865</v>
      </c>
      <c r="C718" t="s">
        <v>1916</v>
      </c>
      <c r="D718" s="361">
        <v>2</v>
      </c>
      <c r="E718" s="364"/>
      <c r="F718" s="361" t="s">
        <v>1917</v>
      </c>
      <c r="T718" s="361">
        <v>0.89</v>
      </c>
    </row>
    <row r="719" spans="1:20" x14ac:dyDescent="0.25">
      <c r="A719" s="364" t="s">
        <v>866</v>
      </c>
      <c r="B719" s="361" t="s">
        <v>867</v>
      </c>
      <c r="C719" t="s">
        <v>1922</v>
      </c>
      <c r="D719" s="361">
        <v>1</v>
      </c>
      <c r="E719" s="364"/>
      <c r="F719" s="361" t="s">
        <v>1917</v>
      </c>
      <c r="T719" s="361">
        <v>7.5</v>
      </c>
    </row>
    <row r="720" spans="1:20" x14ac:dyDescent="0.25">
      <c r="A720" s="364" t="s">
        <v>185</v>
      </c>
      <c r="B720" s="361" t="s">
        <v>868</v>
      </c>
      <c r="C720" t="s">
        <v>1922</v>
      </c>
      <c r="D720" s="361">
        <v>1</v>
      </c>
      <c r="E720" s="364"/>
      <c r="F720" s="361" t="s">
        <v>1917</v>
      </c>
      <c r="T720" s="361">
        <v>230.42</v>
      </c>
    </row>
    <row r="721" spans="1:20" x14ac:dyDescent="0.25">
      <c r="A721" s="364" t="s">
        <v>2852</v>
      </c>
      <c r="B721" s="361" t="s">
        <v>2853</v>
      </c>
      <c r="C721" t="s">
        <v>1920</v>
      </c>
      <c r="D721" s="361">
        <v>11</v>
      </c>
      <c r="E721" s="364"/>
      <c r="F721" s="361" t="s">
        <v>2201</v>
      </c>
      <c r="T721" s="361">
        <v>160.75</v>
      </c>
    </row>
    <row r="722" spans="1:20" x14ac:dyDescent="0.25">
      <c r="A722" s="364" t="s">
        <v>2854</v>
      </c>
      <c r="B722" s="361" t="s">
        <v>2855</v>
      </c>
      <c r="C722" t="s">
        <v>1920</v>
      </c>
      <c r="D722" s="361">
        <v>11</v>
      </c>
      <c r="E722" s="364"/>
      <c r="F722" s="361" t="s">
        <v>2201</v>
      </c>
      <c r="T722" s="361">
        <v>258.02999999999997</v>
      </c>
    </row>
    <row r="723" spans="1:20" x14ac:dyDescent="0.25">
      <c r="A723" s="364" t="s">
        <v>2856</v>
      </c>
      <c r="B723" s="361" t="s">
        <v>2857</v>
      </c>
      <c r="C723" t="s">
        <v>1920</v>
      </c>
      <c r="D723" s="361">
        <v>12</v>
      </c>
      <c r="E723" s="364"/>
      <c r="F723" s="361" t="s">
        <v>2201</v>
      </c>
      <c r="T723" s="361">
        <v>52</v>
      </c>
    </row>
    <row r="724" spans="1:20" x14ac:dyDescent="0.25">
      <c r="A724" s="364" t="s">
        <v>2858</v>
      </c>
      <c r="B724" s="361" t="s">
        <v>2859</v>
      </c>
      <c r="C724" t="s">
        <v>1920</v>
      </c>
      <c r="D724" s="361">
        <v>11</v>
      </c>
      <c r="E724" s="364"/>
      <c r="F724" s="361" t="s">
        <v>2201</v>
      </c>
      <c r="T724" s="361">
        <v>308</v>
      </c>
    </row>
    <row r="725" spans="1:20" x14ac:dyDescent="0.25">
      <c r="A725" s="364" t="s">
        <v>2860</v>
      </c>
      <c r="B725" s="361" t="s">
        <v>2861</v>
      </c>
      <c r="C725" t="s">
        <v>2419</v>
      </c>
      <c r="D725" s="361">
        <v>4</v>
      </c>
      <c r="E725" s="364"/>
      <c r="F725" s="361" t="s">
        <v>1921</v>
      </c>
      <c r="T725" s="361">
        <v>4.7E-2</v>
      </c>
    </row>
    <row r="726" spans="1:20" x14ac:dyDescent="0.25">
      <c r="A726" s="364" t="s">
        <v>2862</v>
      </c>
      <c r="B726" s="361" t="s">
        <v>2863</v>
      </c>
      <c r="C726" t="s">
        <v>1920</v>
      </c>
      <c r="D726" s="361">
        <v>24</v>
      </c>
      <c r="E726" s="364"/>
      <c r="F726" s="361" t="s">
        <v>2201</v>
      </c>
      <c r="T726" s="361">
        <v>123.6649</v>
      </c>
    </row>
    <row r="727" spans="1:20" x14ac:dyDescent="0.25">
      <c r="A727" s="364" t="s">
        <v>869</v>
      </c>
      <c r="B727" s="361" t="s">
        <v>870</v>
      </c>
      <c r="C727" t="s">
        <v>1922</v>
      </c>
      <c r="D727" s="361">
        <v>1</v>
      </c>
      <c r="E727" s="364"/>
      <c r="F727" s="361" t="s">
        <v>2145</v>
      </c>
      <c r="T727" s="361">
        <v>0.54</v>
      </c>
    </row>
    <row r="728" spans="1:20" x14ac:dyDescent="0.25">
      <c r="A728" s="364" t="s">
        <v>2864</v>
      </c>
      <c r="B728" s="361" t="s">
        <v>2865</v>
      </c>
      <c r="C728" t="s">
        <v>1920</v>
      </c>
      <c r="D728" s="361">
        <v>27</v>
      </c>
      <c r="E728" s="364"/>
      <c r="F728" s="361" t="s">
        <v>1921</v>
      </c>
      <c r="T728" s="361">
        <v>1.0409999999999999</v>
      </c>
    </row>
    <row r="729" spans="1:20" x14ac:dyDescent="0.25">
      <c r="A729" s="364" t="s">
        <v>2866</v>
      </c>
      <c r="B729" s="361" t="s">
        <v>2867</v>
      </c>
      <c r="C729" t="s">
        <v>1920</v>
      </c>
      <c r="D729" s="361">
        <v>27</v>
      </c>
      <c r="E729" s="364"/>
      <c r="F729" s="361" t="s">
        <v>1921</v>
      </c>
      <c r="T729" s="361">
        <v>0.875</v>
      </c>
    </row>
    <row r="730" spans="1:20" x14ac:dyDescent="0.25">
      <c r="A730" s="364" t="s">
        <v>2868</v>
      </c>
      <c r="B730" s="361" t="s">
        <v>2869</v>
      </c>
      <c r="C730" t="s">
        <v>1920</v>
      </c>
      <c r="D730" s="361">
        <v>27</v>
      </c>
      <c r="E730" s="364"/>
      <c r="F730" s="361" t="s">
        <v>1921</v>
      </c>
      <c r="T730" s="361">
        <v>2.726</v>
      </c>
    </row>
    <row r="731" spans="1:20" x14ac:dyDescent="0.25">
      <c r="A731" s="364" t="s">
        <v>157</v>
      </c>
      <c r="B731" s="361" t="s">
        <v>871</v>
      </c>
      <c r="C731" t="s">
        <v>1916</v>
      </c>
      <c r="D731" s="361">
        <v>2</v>
      </c>
      <c r="E731" s="364"/>
      <c r="F731" s="361" t="s">
        <v>1917</v>
      </c>
      <c r="T731" s="361">
        <v>407.5</v>
      </c>
    </row>
    <row r="732" spans="1:20" x14ac:dyDescent="0.25">
      <c r="A732" s="364" t="s">
        <v>2870</v>
      </c>
      <c r="B732" s="361" t="s">
        <v>2871</v>
      </c>
      <c r="C732" t="s">
        <v>2419</v>
      </c>
      <c r="D732" s="361">
        <v>4</v>
      </c>
      <c r="E732" s="364"/>
      <c r="F732" s="361" t="s">
        <v>1921</v>
      </c>
      <c r="T732" s="361">
        <v>0.13633000000000001</v>
      </c>
    </row>
    <row r="733" spans="1:20" x14ac:dyDescent="0.25">
      <c r="A733" s="364" t="s">
        <v>266</v>
      </c>
      <c r="B733" s="361" t="s">
        <v>872</v>
      </c>
      <c r="C733" t="s">
        <v>1916</v>
      </c>
      <c r="D733" s="361">
        <v>2</v>
      </c>
      <c r="E733" s="364"/>
      <c r="F733" s="361" t="s">
        <v>1917</v>
      </c>
      <c r="T733" s="361">
        <v>1807.5</v>
      </c>
    </row>
    <row r="734" spans="1:20" x14ac:dyDescent="0.25">
      <c r="A734" s="364" t="s">
        <v>181</v>
      </c>
      <c r="B734" s="361" t="s">
        <v>873</v>
      </c>
      <c r="C734" t="s">
        <v>1922</v>
      </c>
      <c r="D734" s="361">
        <v>1</v>
      </c>
      <c r="E734" s="364"/>
      <c r="F734" s="361" t="s">
        <v>1917</v>
      </c>
      <c r="T734" s="361">
        <v>243.6</v>
      </c>
    </row>
    <row r="735" spans="1:20" x14ac:dyDescent="0.25">
      <c r="A735" s="364" t="s">
        <v>874</v>
      </c>
      <c r="B735" s="361" t="s">
        <v>875</v>
      </c>
      <c r="C735" t="s">
        <v>1922</v>
      </c>
      <c r="D735" s="361">
        <v>1</v>
      </c>
      <c r="E735" s="364"/>
      <c r="F735" s="361" t="s">
        <v>1917</v>
      </c>
      <c r="T735" s="361">
        <v>90.03</v>
      </c>
    </row>
    <row r="736" spans="1:20" x14ac:dyDescent="0.25">
      <c r="A736" s="364" t="s">
        <v>429</v>
      </c>
      <c r="B736" s="361" t="s">
        <v>2872</v>
      </c>
      <c r="C736" t="s">
        <v>1920</v>
      </c>
      <c r="D736" s="361">
        <v>27</v>
      </c>
      <c r="E736" s="364"/>
      <c r="F736" s="361" t="s">
        <v>1921</v>
      </c>
      <c r="T736" s="361">
        <v>1.1419999999999999</v>
      </c>
    </row>
    <row r="737" spans="1:20" x14ac:dyDescent="0.25">
      <c r="A737" s="364" t="s">
        <v>258</v>
      </c>
      <c r="B737" s="361" t="s">
        <v>876</v>
      </c>
      <c r="C737" t="s">
        <v>1922</v>
      </c>
      <c r="D737" s="361">
        <v>1</v>
      </c>
      <c r="E737" s="364"/>
      <c r="F737" s="361" t="s">
        <v>1917</v>
      </c>
      <c r="T737" s="361">
        <v>80.28</v>
      </c>
    </row>
    <row r="738" spans="1:20" x14ac:dyDescent="0.25">
      <c r="A738" s="364" t="s">
        <v>2873</v>
      </c>
      <c r="B738" s="361" t="s">
        <v>2874</v>
      </c>
      <c r="C738" t="s">
        <v>1920</v>
      </c>
      <c r="D738" s="361">
        <v>45</v>
      </c>
      <c r="E738" s="364"/>
      <c r="F738" s="361" t="s">
        <v>1917</v>
      </c>
      <c r="T738" s="361">
        <v>101.87</v>
      </c>
    </row>
    <row r="739" spans="1:20" x14ac:dyDescent="0.25">
      <c r="A739" s="364" t="s">
        <v>2875</v>
      </c>
      <c r="B739" s="361" t="s">
        <v>2876</v>
      </c>
      <c r="C739" t="s">
        <v>1920</v>
      </c>
      <c r="D739" s="361">
        <v>54</v>
      </c>
      <c r="E739" s="364"/>
      <c r="F739" s="361" t="s">
        <v>1921</v>
      </c>
      <c r="T739" s="361">
        <v>0.37293999999999999</v>
      </c>
    </row>
    <row r="740" spans="1:20" x14ac:dyDescent="0.25">
      <c r="A740" s="364" t="s">
        <v>2877</v>
      </c>
      <c r="B740" s="361" t="s">
        <v>2878</v>
      </c>
      <c r="C740" t="s">
        <v>1920</v>
      </c>
      <c r="D740" s="361">
        <v>45</v>
      </c>
      <c r="E740" s="364"/>
      <c r="F740" s="361" t="s">
        <v>1917</v>
      </c>
      <c r="T740" s="361">
        <v>58.9</v>
      </c>
    </row>
    <row r="741" spans="1:20" x14ac:dyDescent="0.25">
      <c r="A741" s="364" t="s">
        <v>2879</v>
      </c>
      <c r="B741" s="361" t="s">
        <v>2880</v>
      </c>
      <c r="C741" t="s">
        <v>1920</v>
      </c>
      <c r="D741" s="361">
        <v>54</v>
      </c>
      <c r="E741" s="364"/>
      <c r="F741" s="361" t="s">
        <v>1921</v>
      </c>
      <c r="T741" s="361">
        <v>0.15251999999999999</v>
      </c>
    </row>
    <row r="742" spans="1:20" x14ac:dyDescent="0.25">
      <c r="A742" s="364" t="s">
        <v>2881</v>
      </c>
      <c r="B742" s="361" t="s">
        <v>2882</v>
      </c>
      <c r="C742" t="s">
        <v>1920</v>
      </c>
      <c r="D742" s="361">
        <v>54</v>
      </c>
      <c r="E742" s="364"/>
      <c r="F742" s="361" t="s">
        <v>1921</v>
      </c>
      <c r="T742" s="361">
        <v>0.29225000000000001</v>
      </c>
    </row>
    <row r="743" spans="1:20" x14ac:dyDescent="0.25">
      <c r="A743" s="364" t="s">
        <v>2883</v>
      </c>
      <c r="B743" s="361" t="s">
        <v>2884</v>
      </c>
      <c r="C743" t="s">
        <v>1920</v>
      </c>
      <c r="D743" s="361">
        <v>45</v>
      </c>
      <c r="E743" s="364"/>
      <c r="F743" s="361" t="s">
        <v>1917</v>
      </c>
      <c r="T743" s="361">
        <v>49.6</v>
      </c>
    </row>
    <row r="744" spans="1:20" x14ac:dyDescent="0.25">
      <c r="A744" s="364" t="s">
        <v>2885</v>
      </c>
      <c r="B744" s="361" t="s">
        <v>2886</v>
      </c>
      <c r="C744" t="s">
        <v>1920</v>
      </c>
      <c r="D744" s="361">
        <v>54</v>
      </c>
      <c r="E744" s="364"/>
      <c r="F744" s="361" t="s">
        <v>1921</v>
      </c>
      <c r="T744" s="361">
        <v>0.2792</v>
      </c>
    </row>
    <row r="745" spans="1:20" x14ac:dyDescent="0.25">
      <c r="A745" s="364" t="s">
        <v>2887</v>
      </c>
      <c r="B745" s="361" t="s">
        <v>2888</v>
      </c>
      <c r="C745" t="s">
        <v>1920</v>
      </c>
      <c r="D745" s="361">
        <v>52</v>
      </c>
      <c r="E745" s="364"/>
      <c r="F745" s="361" t="s">
        <v>1921</v>
      </c>
      <c r="T745" s="361">
        <v>3.9E-2</v>
      </c>
    </row>
    <row r="746" spans="1:20" x14ac:dyDescent="0.25">
      <c r="A746" s="364" t="s">
        <v>2889</v>
      </c>
      <c r="B746" s="361" t="s">
        <v>2890</v>
      </c>
      <c r="C746" t="s">
        <v>1920</v>
      </c>
      <c r="D746" s="361">
        <v>24</v>
      </c>
      <c r="E746" s="364"/>
      <c r="F746" s="361" t="s">
        <v>1921</v>
      </c>
      <c r="T746" s="361">
        <v>0.26619999999999999</v>
      </c>
    </row>
    <row r="747" spans="1:20" x14ac:dyDescent="0.25">
      <c r="A747" s="364" t="s">
        <v>2891</v>
      </c>
      <c r="B747" s="361" t="s">
        <v>2892</v>
      </c>
      <c r="C747" t="s">
        <v>1920</v>
      </c>
      <c r="D747" s="361">
        <v>54</v>
      </c>
      <c r="E747" s="364"/>
      <c r="F747" s="361" t="s">
        <v>1921</v>
      </c>
      <c r="T747" s="361">
        <v>0.45558999999999999</v>
      </c>
    </row>
    <row r="748" spans="1:20" x14ac:dyDescent="0.25">
      <c r="A748" s="364" t="s">
        <v>2893</v>
      </c>
      <c r="B748" s="361" t="s">
        <v>2894</v>
      </c>
      <c r="C748" t="s">
        <v>1920</v>
      </c>
      <c r="D748" s="361">
        <v>54</v>
      </c>
      <c r="E748" s="364"/>
      <c r="F748" s="361" t="s">
        <v>1921</v>
      </c>
      <c r="T748" s="361">
        <v>0.1663</v>
      </c>
    </row>
    <row r="749" spans="1:20" x14ac:dyDescent="0.25">
      <c r="A749" s="364" t="s">
        <v>413</v>
      </c>
      <c r="B749" s="361" t="s">
        <v>2895</v>
      </c>
      <c r="C749" t="s">
        <v>1920</v>
      </c>
      <c r="D749" s="361">
        <v>27</v>
      </c>
      <c r="E749" s="364"/>
      <c r="F749" s="361" t="s">
        <v>1921</v>
      </c>
      <c r="T749" s="361">
        <v>1.0469999999999999</v>
      </c>
    </row>
    <row r="750" spans="1:20" x14ac:dyDescent="0.25">
      <c r="A750" s="364" t="s">
        <v>2896</v>
      </c>
      <c r="B750" s="361" t="s">
        <v>2897</v>
      </c>
      <c r="C750" t="s">
        <v>1920</v>
      </c>
      <c r="D750" s="361">
        <v>24</v>
      </c>
      <c r="E750" s="364"/>
      <c r="F750" s="361" t="s">
        <v>2201</v>
      </c>
      <c r="T750" s="361">
        <v>139.72800000000001</v>
      </c>
    </row>
    <row r="751" spans="1:20" x14ac:dyDescent="0.25">
      <c r="A751" s="364" t="s">
        <v>2898</v>
      </c>
      <c r="B751" s="361" t="s">
        <v>2899</v>
      </c>
      <c r="C751" t="s">
        <v>1920</v>
      </c>
      <c r="D751" s="361">
        <v>24</v>
      </c>
      <c r="E751" s="364"/>
      <c r="F751" s="361" t="s">
        <v>2201</v>
      </c>
      <c r="T751" s="361">
        <v>188.53440000000001</v>
      </c>
    </row>
    <row r="752" spans="1:20" x14ac:dyDescent="0.25">
      <c r="A752" s="364" t="s">
        <v>877</v>
      </c>
      <c r="B752" s="361" t="s">
        <v>878</v>
      </c>
      <c r="C752" t="s">
        <v>1922</v>
      </c>
      <c r="D752" s="361">
        <v>5</v>
      </c>
      <c r="E752" s="364"/>
      <c r="F752" s="361" t="s">
        <v>1917</v>
      </c>
      <c r="T752" s="361">
        <v>164.59</v>
      </c>
    </row>
    <row r="753" spans="1:20" x14ac:dyDescent="0.25">
      <c r="A753" s="364" t="s">
        <v>2900</v>
      </c>
      <c r="B753" s="361" t="s">
        <v>2901</v>
      </c>
      <c r="C753" t="s">
        <v>1920</v>
      </c>
      <c r="D753" s="361">
        <v>54</v>
      </c>
      <c r="E753" s="364"/>
      <c r="F753" s="361" t="s">
        <v>1921</v>
      </c>
      <c r="T753" s="361">
        <v>0.19697000000000001</v>
      </c>
    </row>
    <row r="754" spans="1:20" x14ac:dyDescent="0.25">
      <c r="A754" s="364" t="s">
        <v>2902</v>
      </c>
      <c r="B754" s="361" t="s">
        <v>2903</v>
      </c>
      <c r="C754" t="s">
        <v>1920</v>
      </c>
      <c r="D754" s="361">
        <v>54</v>
      </c>
      <c r="E754" s="364"/>
      <c r="F754" s="361" t="s">
        <v>1921</v>
      </c>
      <c r="T754" s="361">
        <v>0.12998999999999999</v>
      </c>
    </row>
    <row r="755" spans="1:20" x14ac:dyDescent="0.25">
      <c r="A755" s="364" t="s">
        <v>2904</v>
      </c>
      <c r="B755" s="361" t="s">
        <v>2905</v>
      </c>
      <c r="C755" t="s">
        <v>1920</v>
      </c>
      <c r="D755" s="361">
        <v>54</v>
      </c>
      <c r="E755" s="364"/>
      <c r="F755" s="361" t="s">
        <v>1921</v>
      </c>
      <c r="T755" s="361">
        <v>0.24693000000000001</v>
      </c>
    </row>
    <row r="756" spans="1:20" x14ac:dyDescent="0.25">
      <c r="A756" s="364" t="s">
        <v>2906</v>
      </c>
      <c r="B756" s="361" t="s">
        <v>2907</v>
      </c>
      <c r="C756" t="s">
        <v>1920</v>
      </c>
      <c r="D756" s="361">
        <v>54</v>
      </c>
      <c r="E756" s="364"/>
      <c r="F756" s="361" t="s">
        <v>1921</v>
      </c>
      <c r="T756" s="361">
        <v>0.28694999999999998</v>
      </c>
    </row>
    <row r="757" spans="1:20" x14ac:dyDescent="0.25">
      <c r="A757" s="364" t="s">
        <v>2908</v>
      </c>
      <c r="B757" s="361" t="s">
        <v>2909</v>
      </c>
      <c r="C757" t="s">
        <v>1920</v>
      </c>
      <c r="D757" s="361">
        <v>54</v>
      </c>
      <c r="E757" s="364"/>
      <c r="F757" s="361" t="s">
        <v>1921</v>
      </c>
      <c r="T757" s="361">
        <v>0.30764999999999998</v>
      </c>
    </row>
    <row r="758" spans="1:20" x14ac:dyDescent="0.25">
      <c r="A758" s="364" t="s">
        <v>2910</v>
      </c>
      <c r="B758" s="361" t="s">
        <v>2911</v>
      </c>
      <c r="C758" t="s">
        <v>1920</v>
      </c>
      <c r="D758" s="361">
        <v>54</v>
      </c>
      <c r="E758" s="364"/>
      <c r="F758" s="361" t="s">
        <v>1921</v>
      </c>
      <c r="T758" s="361">
        <v>0.24443000000000001</v>
      </c>
    </row>
    <row r="759" spans="1:20" x14ac:dyDescent="0.25">
      <c r="A759" s="364" t="s">
        <v>2912</v>
      </c>
      <c r="B759" s="361" t="s">
        <v>2913</v>
      </c>
      <c r="C759" t="s">
        <v>1920</v>
      </c>
      <c r="D759" s="361">
        <v>54</v>
      </c>
      <c r="E759" s="364"/>
      <c r="F759" s="361" t="s">
        <v>1921</v>
      </c>
      <c r="T759" s="361">
        <v>0.30070999999999998</v>
      </c>
    </row>
    <row r="760" spans="1:20" x14ac:dyDescent="0.25">
      <c r="A760" s="364" t="s">
        <v>2914</v>
      </c>
      <c r="B760" s="361" t="s">
        <v>2915</v>
      </c>
      <c r="C760" t="s">
        <v>1920</v>
      </c>
      <c r="D760" s="361">
        <v>45</v>
      </c>
      <c r="E760" s="364"/>
      <c r="F760" s="361" t="s">
        <v>1917</v>
      </c>
      <c r="T760" s="361">
        <v>39.4</v>
      </c>
    </row>
    <row r="761" spans="1:20" x14ac:dyDescent="0.25">
      <c r="A761" s="364" t="s">
        <v>459</v>
      </c>
      <c r="B761" s="361" t="s">
        <v>2916</v>
      </c>
      <c r="C761" t="s">
        <v>1920</v>
      </c>
      <c r="D761" s="361">
        <v>54</v>
      </c>
      <c r="E761" s="364"/>
      <c r="F761" s="361" t="s">
        <v>1921</v>
      </c>
      <c r="T761" s="361">
        <v>0.26351999999999998</v>
      </c>
    </row>
    <row r="762" spans="1:20" x14ac:dyDescent="0.25">
      <c r="A762" s="364" t="s">
        <v>2917</v>
      </c>
      <c r="B762" s="361" t="s">
        <v>2918</v>
      </c>
      <c r="C762" t="s">
        <v>1920</v>
      </c>
      <c r="D762" s="361">
        <v>45</v>
      </c>
      <c r="E762" s="364"/>
      <c r="F762" s="361" t="s">
        <v>1917</v>
      </c>
      <c r="T762" s="361">
        <v>49.6</v>
      </c>
    </row>
    <row r="763" spans="1:20" x14ac:dyDescent="0.25">
      <c r="A763" s="364" t="s">
        <v>460</v>
      </c>
      <c r="B763" s="361" t="s">
        <v>2919</v>
      </c>
      <c r="C763" t="s">
        <v>1920</v>
      </c>
      <c r="D763" s="361">
        <v>54</v>
      </c>
      <c r="E763" s="364"/>
      <c r="F763" s="361" t="s">
        <v>1921</v>
      </c>
      <c r="T763" s="361">
        <v>0.44396999999999998</v>
      </c>
    </row>
    <row r="764" spans="1:20" x14ac:dyDescent="0.25">
      <c r="A764" s="364" t="s">
        <v>2920</v>
      </c>
      <c r="B764" s="361" t="s">
        <v>2921</v>
      </c>
      <c r="C764" t="s">
        <v>1920</v>
      </c>
      <c r="D764" s="361">
        <v>15</v>
      </c>
      <c r="E764" s="364"/>
      <c r="F764" s="361" t="s">
        <v>1917</v>
      </c>
      <c r="T764" s="361">
        <v>49.6</v>
      </c>
    </row>
    <row r="765" spans="1:20" x14ac:dyDescent="0.25">
      <c r="A765" s="364" t="s">
        <v>2922</v>
      </c>
      <c r="B765" s="361" t="s">
        <v>2923</v>
      </c>
      <c r="C765" t="s">
        <v>1920</v>
      </c>
      <c r="D765" s="361">
        <v>15</v>
      </c>
      <c r="E765" s="364"/>
      <c r="F765" s="361" t="s">
        <v>1917</v>
      </c>
      <c r="T765" s="361">
        <v>49.6</v>
      </c>
    </row>
    <row r="766" spans="1:20" x14ac:dyDescent="0.25">
      <c r="A766" s="364" t="s">
        <v>2924</v>
      </c>
      <c r="B766" s="361" t="s">
        <v>2925</v>
      </c>
      <c r="C766" t="s">
        <v>1920</v>
      </c>
      <c r="D766" s="361">
        <v>24</v>
      </c>
      <c r="E766" s="364"/>
      <c r="F766" s="361" t="s">
        <v>2201</v>
      </c>
      <c r="T766" s="361">
        <v>286.93439999999998</v>
      </c>
    </row>
    <row r="767" spans="1:20" x14ac:dyDescent="0.25">
      <c r="A767" s="364" t="s">
        <v>2926</v>
      </c>
      <c r="B767" s="361" t="s">
        <v>2927</v>
      </c>
      <c r="C767" t="s">
        <v>1920</v>
      </c>
      <c r="D767" s="361">
        <v>15</v>
      </c>
      <c r="E767" s="364"/>
      <c r="F767" s="361" t="s">
        <v>1917</v>
      </c>
      <c r="T767" s="361">
        <v>49.6</v>
      </c>
    </row>
    <row r="768" spans="1:20" x14ac:dyDescent="0.25">
      <c r="A768" s="364" t="s">
        <v>2928</v>
      </c>
      <c r="B768" s="361" t="s">
        <v>2929</v>
      </c>
      <c r="C768" t="s">
        <v>1920</v>
      </c>
      <c r="D768" s="361">
        <v>24</v>
      </c>
      <c r="E768" s="364"/>
      <c r="F768" s="361" t="s">
        <v>2201</v>
      </c>
      <c r="T768" s="361">
        <v>228.69120000000001</v>
      </c>
    </row>
    <row r="769" spans="1:20" x14ac:dyDescent="0.25">
      <c r="A769" s="364" t="s">
        <v>2930</v>
      </c>
      <c r="B769" s="361" t="s">
        <v>2931</v>
      </c>
      <c r="C769" t="s">
        <v>1920</v>
      </c>
      <c r="D769" s="361">
        <v>30</v>
      </c>
      <c r="E769" s="364"/>
      <c r="F769" s="361" t="s">
        <v>1921</v>
      </c>
      <c r="T769" s="361">
        <v>0.13599</v>
      </c>
    </row>
    <row r="770" spans="1:20" x14ac:dyDescent="0.25">
      <c r="A770" s="364" t="s">
        <v>2932</v>
      </c>
      <c r="B770" s="361" t="s">
        <v>2933</v>
      </c>
      <c r="C770" t="s">
        <v>2419</v>
      </c>
      <c r="D770" s="361">
        <v>4</v>
      </c>
      <c r="E770" s="364"/>
      <c r="F770" s="361" t="s">
        <v>1921</v>
      </c>
      <c r="T770" s="361">
        <v>0.41860000000000003</v>
      </c>
    </row>
    <row r="771" spans="1:20" x14ac:dyDescent="0.25">
      <c r="A771" s="364" t="s">
        <v>879</v>
      </c>
      <c r="B771" s="361" t="s">
        <v>880</v>
      </c>
      <c r="C771" t="s">
        <v>1922</v>
      </c>
      <c r="D771" s="361">
        <v>1</v>
      </c>
      <c r="E771" s="364"/>
      <c r="F771" s="361" t="s">
        <v>1917</v>
      </c>
      <c r="T771" s="361">
        <v>88.71</v>
      </c>
    </row>
    <row r="772" spans="1:20" x14ac:dyDescent="0.25">
      <c r="A772" s="364" t="s">
        <v>2934</v>
      </c>
      <c r="B772" s="361" t="s">
        <v>2935</v>
      </c>
      <c r="C772" t="s">
        <v>1920</v>
      </c>
      <c r="D772" s="361">
        <v>56</v>
      </c>
      <c r="E772" s="364"/>
      <c r="F772" s="361" t="s">
        <v>1921</v>
      </c>
      <c r="T772" s="361">
        <v>0.48899999999999999</v>
      </c>
    </row>
    <row r="773" spans="1:20" x14ac:dyDescent="0.25">
      <c r="A773" s="364" t="s">
        <v>2936</v>
      </c>
      <c r="B773" s="361" t="s">
        <v>2937</v>
      </c>
      <c r="C773" t="s">
        <v>1920</v>
      </c>
      <c r="D773" s="361">
        <v>24</v>
      </c>
      <c r="E773" s="364"/>
      <c r="F773" s="361" t="s">
        <v>1921</v>
      </c>
      <c r="T773" s="361">
        <v>0.13338</v>
      </c>
    </row>
    <row r="774" spans="1:20" x14ac:dyDescent="0.25">
      <c r="A774" s="364" t="s">
        <v>2938</v>
      </c>
      <c r="B774" s="361" t="s">
        <v>2939</v>
      </c>
      <c r="C774" t="s">
        <v>1920</v>
      </c>
      <c r="D774" s="361">
        <v>59</v>
      </c>
      <c r="E774" s="364"/>
      <c r="F774" s="361" t="s">
        <v>1921</v>
      </c>
      <c r="T774" s="361">
        <v>0.26556999999999997</v>
      </c>
    </row>
    <row r="775" spans="1:20" x14ac:dyDescent="0.25">
      <c r="A775" s="364" t="s">
        <v>2940</v>
      </c>
      <c r="B775" s="361" t="s">
        <v>2941</v>
      </c>
      <c r="C775" t="s">
        <v>1920</v>
      </c>
      <c r="D775" s="361">
        <v>27</v>
      </c>
      <c r="E775" s="364"/>
      <c r="F775" s="361" t="s">
        <v>1921</v>
      </c>
      <c r="T775" s="361">
        <v>1.087</v>
      </c>
    </row>
    <row r="776" spans="1:20" x14ac:dyDescent="0.25">
      <c r="A776" s="364" t="s">
        <v>367</v>
      </c>
      <c r="B776" s="361" t="s">
        <v>2942</v>
      </c>
      <c r="C776" t="s">
        <v>1920</v>
      </c>
      <c r="D776" s="361">
        <v>16</v>
      </c>
      <c r="E776" s="364"/>
      <c r="F776" s="361" t="s">
        <v>1917</v>
      </c>
      <c r="T776" s="361">
        <v>18.385999999999999</v>
      </c>
    </row>
    <row r="777" spans="1:20" x14ac:dyDescent="0.25">
      <c r="A777" s="364" t="s">
        <v>2943</v>
      </c>
      <c r="B777" s="361" t="s">
        <v>2944</v>
      </c>
      <c r="C777" t="s">
        <v>1920</v>
      </c>
      <c r="D777" s="361">
        <v>20</v>
      </c>
      <c r="E777" s="364"/>
      <c r="F777" s="361" t="s">
        <v>1921</v>
      </c>
      <c r="T777" s="361">
        <v>5.1200000000000002E-2</v>
      </c>
    </row>
    <row r="778" spans="1:20" x14ac:dyDescent="0.25">
      <c r="A778" s="364" t="s">
        <v>2945</v>
      </c>
      <c r="B778" s="361" t="s">
        <v>2946</v>
      </c>
      <c r="C778" t="s">
        <v>2419</v>
      </c>
      <c r="D778" s="361">
        <v>4</v>
      </c>
      <c r="E778" s="364"/>
      <c r="F778" s="361" t="s">
        <v>1921</v>
      </c>
      <c r="T778" s="361">
        <v>9.0329999999999994E-2</v>
      </c>
    </row>
    <row r="779" spans="1:20" x14ac:dyDescent="0.25">
      <c r="A779" s="364" t="s">
        <v>2947</v>
      </c>
      <c r="B779" s="361" t="s">
        <v>2948</v>
      </c>
      <c r="C779" t="s">
        <v>2419</v>
      </c>
      <c r="D779" s="361">
        <v>4</v>
      </c>
      <c r="E779" s="364"/>
      <c r="F779" s="361" t="s">
        <v>1921</v>
      </c>
      <c r="T779" s="361">
        <v>0.12433</v>
      </c>
    </row>
    <row r="780" spans="1:20" x14ac:dyDescent="0.25">
      <c r="A780" s="364" t="s">
        <v>2949</v>
      </c>
      <c r="B780" s="361" t="s">
        <v>2950</v>
      </c>
      <c r="C780" t="s">
        <v>1920</v>
      </c>
      <c r="D780" s="361">
        <v>45</v>
      </c>
      <c r="E780" s="364"/>
      <c r="F780" s="361" t="s">
        <v>1917</v>
      </c>
      <c r="T780" s="361">
        <v>31.5</v>
      </c>
    </row>
    <row r="781" spans="1:20" x14ac:dyDescent="0.25">
      <c r="A781" s="364" t="s">
        <v>2951</v>
      </c>
      <c r="B781" s="361" t="s">
        <v>2952</v>
      </c>
      <c r="C781" t="s">
        <v>1920</v>
      </c>
      <c r="D781" s="361">
        <v>45</v>
      </c>
      <c r="E781" s="364"/>
      <c r="F781" s="361" t="s">
        <v>1917</v>
      </c>
      <c r="T781" s="361">
        <v>34.799999999999997</v>
      </c>
    </row>
    <row r="782" spans="1:20" x14ac:dyDescent="0.25">
      <c r="A782" s="364" t="s">
        <v>2953</v>
      </c>
      <c r="B782" s="361" t="s">
        <v>2954</v>
      </c>
      <c r="C782" t="s">
        <v>1920</v>
      </c>
      <c r="D782" s="361">
        <v>45</v>
      </c>
      <c r="E782" s="364"/>
      <c r="F782" s="361" t="s">
        <v>1917</v>
      </c>
      <c r="T782" s="361">
        <v>49.6</v>
      </c>
    </row>
    <row r="783" spans="1:20" x14ac:dyDescent="0.25">
      <c r="A783" s="364" t="s">
        <v>2955</v>
      </c>
      <c r="B783" s="361" t="s">
        <v>2956</v>
      </c>
      <c r="C783" t="s">
        <v>1920</v>
      </c>
      <c r="D783" s="361">
        <v>45</v>
      </c>
      <c r="E783" s="364"/>
      <c r="F783" s="361" t="s">
        <v>1917</v>
      </c>
      <c r="T783" s="361">
        <v>26.8</v>
      </c>
    </row>
    <row r="784" spans="1:20" x14ac:dyDescent="0.25">
      <c r="A784" s="364" t="s">
        <v>2957</v>
      </c>
      <c r="B784" s="361" t="s">
        <v>2958</v>
      </c>
      <c r="C784" t="s">
        <v>1920</v>
      </c>
      <c r="D784" s="361">
        <v>45</v>
      </c>
      <c r="E784" s="364"/>
      <c r="F784" s="361" t="s">
        <v>1921</v>
      </c>
      <c r="T784" s="361">
        <v>49.6</v>
      </c>
    </row>
    <row r="785" spans="1:20" x14ac:dyDescent="0.25">
      <c r="A785" s="364" t="s">
        <v>2959</v>
      </c>
      <c r="B785" s="361" t="s">
        <v>2960</v>
      </c>
      <c r="C785" t="s">
        <v>1920</v>
      </c>
      <c r="D785" s="361">
        <v>45</v>
      </c>
      <c r="E785" s="364"/>
      <c r="F785" s="361" t="s">
        <v>1917</v>
      </c>
      <c r="T785" s="361">
        <v>39.4</v>
      </c>
    </row>
    <row r="786" spans="1:20" x14ac:dyDescent="0.25">
      <c r="A786" s="364" t="s">
        <v>2961</v>
      </c>
      <c r="B786" s="361" t="s">
        <v>2962</v>
      </c>
      <c r="C786" t="s">
        <v>1920</v>
      </c>
      <c r="D786" s="361">
        <v>54</v>
      </c>
      <c r="E786" s="364"/>
      <c r="F786" s="361" t="s">
        <v>1921</v>
      </c>
      <c r="T786" s="361">
        <v>0.1358</v>
      </c>
    </row>
    <row r="787" spans="1:20" x14ac:dyDescent="0.25">
      <c r="A787" s="364" t="s">
        <v>2963</v>
      </c>
      <c r="B787" s="361" t="s">
        <v>2964</v>
      </c>
      <c r="C787" t="s">
        <v>1920</v>
      </c>
      <c r="D787" s="361">
        <v>54</v>
      </c>
      <c r="E787" s="364"/>
      <c r="F787" s="361" t="s">
        <v>1921</v>
      </c>
      <c r="T787" s="361">
        <v>0.22919999999999999</v>
      </c>
    </row>
    <row r="788" spans="1:20" x14ac:dyDescent="0.25">
      <c r="A788" s="364" t="s">
        <v>2965</v>
      </c>
      <c r="B788" s="361" t="s">
        <v>2966</v>
      </c>
      <c r="C788" t="s">
        <v>1920</v>
      </c>
      <c r="D788" s="361">
        <v>54</v>
      </c>
      <c r="E788" s="364"/>
      <c r="F788" s="361" t="s">
        <v>1921</v>
      </c>
      <c r="T788" s="361">
        <v>0.15941</v>
      </c>
    </row>
    <row r="789" spans="1:20" x14ac:dyDescent="0.25">
      <c r="A789" s="364" t="s">
        <v>2967</v>
      </c>
      <c r="B789" s="361" t="s">
        <v>2968</v>
      </c>
      <c r="C789" t="s">
        <v>1920</v>
      </c>
      <c r="D789" s="361">
        <v>54</v>
      </c>
      <c r="E789" s="364"/>
      <c r="F789" s="361" t="s">
        <v>1921</v>
      </c>
      <c r="T789" s="361">
        <v>0.30503999999999998</v>
      </c>
    </row>
    <row r="790" spans="1:20" x14ac:dyDescent="0.25">
      <c r="A790" s="364" t="s">
        <v>2969</v>
      </c>
      <c r="B790" s="361" t="s">
        <v>2970</v>
      </c>
      <c r="C790" t="s">
        <v>1920</v>
      </c>
      <c r="D790" s="361">
        <v>54</v>
      </c>
      <c r="E790" s="364"/>
      <c r="F790" s="361" t="s">
        <v>1921</v>
      </c>
      <c r="T790" s="361">
        <v>0.21353</v>
      </c>
    </row>
    <row r="791" spans="1:20" x14ac:dyDescent="0.25">
      <c r="A791" s="364" t="s">
        <v>2971</v>
      </c>
      <c r="B791" s="361" t="s">
        <v>2972</v>
      </c>
      <c r="C791" t="s">
        <v>1920</v>
      </c>
      <c r="D791" s="361">
        <v>45</v>
      </c>
      <c r="E791" s="364"/>
      <c r="F791" s="361" t="s">
        <v>1917</v>
      </c>
      <c r="T791" s="361">
        <v>39.4</v>
      </c>
    </row>
    <row r="792" spans="1:20" x14ac:dyDescent="0.25">
      <c r="A792" s="364" t="s">
        <v>2973</v>
      </c>
      <c r="B792" s="361" t="s">
        <v>2974</v>
      </c>
      <c r="C792" t="s">
        <v>1920</v>
      </c>
      <c r="D792" s="361">
        <v>54</v>
      </c>
      <c r="E792" s="364"/>
      <c r="F792" s="361" t="s">
        <v>1921</v>
      </c>
      <c r="T792" s="361">
        <v>0.23518</v>
      </c>
    </row>
    <row r="793" spans="1:20" x14ac:dyDescent="0.25">
      <c r="A793" s="364" t="s">
        <v>2975</v>
      </c>
      <c r="B793" s="361" t="s">
        <v>2976</v>
      </c>
      <c r="C793" t="s">
        <v>1920</v>
      </c>
      <c r="D793" s="361">
        <v>45</v>
      </c>
      <c r="E793" s="364"/>
      <c r="F793" s="361" t="s">
        <v>1917</v>
      </c>
      <c r="T793" s="361">
        <v>39.4</v>
      </c>
    </row>
    <row r="794" spans="1:20" x14ac:dyDescent="0.25">
      <c r="A794" s="364" t="s">
        <v>2977</v>
      </c>
      <c r="B794" s="361" t="s">
        <v>2978</v>
      </c>
      <c r="C794" t="s">
        <v>1920</v>
      </c>
      <c r="D794" s="361">
        <v>45</v>
      </c>
      <c r="E794" s="364"/>
      <c r="F794" s="361" t="s">
        <v>1917</v>
      </c>
      <c r="T794" s="361">
        <v>49.6</v>
      </c>
    </row>
    <row r="795" spans="1:20" x14ac:dyDescent="0.25">
      <c r="A795" s="364" t="s">
        <v>2979</v>
      </c>
      <c r="B795" s="361" t="s">
        <v>2980</v>
      </c>
      <c r="C795" t="s">
        <v>1920</v>
      </c>
      <c r="D795" s="361">
        <v>20</v>
      </c>
      <c r="E795" s="364"/>
      <c r="F795" s="361" t="s">
        <v>1921</v>
      </c>
      <c r="T795" s="361">
        <v>3.2300000000000002E-2</v>
      </c>
    </row>
    <row r="796" spans="1:20" x14ac:dyDescent="0.25">
      <c r="A796" s="364" t="s">
        <v>2981</v>
      </c>
      <c r="B796" s="361" t="s">
        <v>2982</v>
      </c>
      <c r="C796" t="s">
        <v>1920</v>
      </c>
      <c r="D796" s="361">
        <v>24</v>
      </c>
      <c r="E796" s="364"/>
      <c r="F796" s="361" t="s">
        <v>1921</v>
      </c>
      <c r="T796" s="361">
        <v>8.7580000000000005E-2</v>
      </c>
    </row>
    <row r="797" spans="1:20" x14ac:dyDescent="0.25">
      <c r="A797" s="364" t="s">
        <v>2983</v>
      </c>
      <c r="B797" s="361" t="s">
        <v>2984</v>
      </c>
      <c r="C797" t="s">
        <v>1920</v>
      </c>
      <c r="D797" s="361">
        <v>27</v>
      </c>
      <c r="E797" s="364"/>
      <c r="F797" s="361" t="s">
        <v>1921</v>
      </c>
      <c r="T797" s="361">
        <v>0.66200000000000003</v>
      </c>
    </row>
    <row r="798" spans="1:20" x14ac:dyDescent="0.25">
      <c r="A798" s="364" t="s">
        <v>2985</v>
      </c>
      <c r="B798" s="361" t="s">
        <v>2986</v>
      </c>
      <c r="C798" t="s">
        <v>1920</v>
      </c>
      <c r="D798" s="361">
        <v>24</v>
      </c>
      <c r="E798" s="364"/>
      <c r="F798" s="361" t="s">
        <v>1921</v>
      </c>
      <c r="T798" s="361">
        <v>0.12103</v>
      </c>
    </row>
    <row r="799" spans="1:20" x14ac:dyDescent="0.25">
      <c r="A799" s="364" t="s">
        <v>2987</v>
      </c>
      <c r="B799" s="361" t="s">
        <v>2988</v>
      </c>
      <c r="C799" t="s">
        <v>1920</v>
      </c>
      <c r="D799" s="361">
        <v>27</v>
      </c>
      <c r="E799" s="364"/>
      <c r="F799" s="361" t="s">
        <v>1921</v>
      </c>
      <c r="T799" s="361">
        <v>0.628</v>
      </c>
    </row>
    <row r="800" spans="1:20" x14ac:dyDescent="0.25">
      <c r="A800" s="364" t="s">
        <v>2989</v>
      </c>
      <c r="B800" s="361" t="s">
        <v>2990</v>
      </c>
      <c r="C800" t="s">
        <v>1920</v>
      </c>
      <c r="D800" s="361">
        <v>50</v>
      </c>
      <c r="E800" s="364"/>
      <c r="F800" s="361" t="s">
        <v>1921</v>
      </c>
      <c r="T800" s="361">
        <v>3.2300000000000002E-2</v>
      </c>
    </row>
    <row r="801" spans="1:20" x14ac:dyDescent="0.25">
      <c r="A801" s="364" t="s">
        <v>2991</v>
      </c>
      <c r="B801" s="361" t="s">
        <v>2992</v>
      </c>
      <c r="C801" t="s">
        <v>1920</v>
      </c>
      <c r="D801" s="361">
        <v>50</v>
      </c>
      <c r="E801" s="364"/>
      <c r="F801" s="361" t="s">
        <v>1921</v>
      </c>
      <c r="T801" s="361">
        <v>3.2300000000000002E-2</v>
      </c>
    </row>
    <row r="802" spans="1:20" x14ac:dyDescent="0.25">
      <c r="A802" s="364" t="s">
        <v>2993</v>
      </c>
      <c r="B802" s="361" t="s">
        <v>2994</v>
      </c>
      <c r="C802" t="s">
        <v>2419</v>
      </c>
      <c r="D802" s="361">
        <v>4</v>
      </c>
      <c r="E802" s="364"/>
      <c r="F802" s="361" t="s">
        <v>1921</v>
      </c>
      <c r="T802" s="361">
        <v>3.5130000000000002E-2</v>
      </c>
    </row>
    <row r="803" spans="1:20" x14ac:dyDescent="0.25">
      <c r="A803" s="364" t="s">
        <v>2995</v>
      </c>
      <c r="B803" s="361" t="s">
        <v>2996</v>
      </c>
      <c r="C803" t="s">
        <v>1920</v>
      </c>
      <c r="D803" s="361">
        <v>33</v>
      </c>
      <c r="E803" s="364"/>
      <c r="F803" s="361" t="s">
        <v>1921</v>
      </c>
      <c r="T803" s="361">
        <v>16.399999999999999</v>
      </c>
    </row>
    <row r="804" spans="1:20" x14ac:dyDescent="0.25">
      <c r="A804" s="364" t="s">
        <v>2997</v>
      </c>
      <c r="B804" s="361" t="s">
        <v>2998</v>
      </c>
      <c r="C804" t="s">
        <v>1920</v>
      </c>
      <c r="D804" s="361">
        <v>54</v>
      </c>
      <c r="E804" s="364"/>
      <c r="F804" s="361" t="s">
        <v>1921</v>
      </c>
      <c r="T804" s="361">
        <v>7.5759999999999994E-2</v>
      </c>
    </row>
    <row r="805" spans="1:20" x14ac:dyDescent="0.25">
      <c r="A805" s="364" t="s">
        <v>2999</v>
      </c>
      <c r="B805" s="361" t="s">
        <v>3000</v>
      </c>
      <c r="C805" t="s">
        <v>1920</v>
      </c>
      <c r="D805" s="361">
        <v>54</v>
      </c>
      <c r="E805" s="364"/>
      <c r="F805" s="361" t="s">
        <v>1921</v>
      </c>
      <c r="T805" s="361">
        <v>0.14071</v>
      </c>
    </row>
    <row r="806" spans="1:20" x14ac:dyDescent="0.25">
      <c r="A806" s="364" t="s">
        <v>3001</v>
      </c>
      <c r="B806" s="361" t="s">
        <v>3002</v>
      </c>
      <c r="C806" t="s">
        <v>1920</v>
      </c>
      <c r="D806" s="361">
        <v>54</v>
      </c>
      <c r="E806" s="364"/>
      <c r="F806" s="361" t="s">
        <v>1921</v>
      </c>
      <c r="T806" s="361">
        <v>0.13775999999999999</v>
      </c>
    </row>
    <row r="807" spans="1:20" x14ac:dyDescent="0.25">
      <c r="A807" s="364" t="s">
        <v>3003</v>
      </c>
      <c r="B807" s="361" t="s">
        <v>3004</v>
      </c>
      <c r="C807" t="s">
        <v>1920</v>
      </c>
      <c r="D807" s="361">
        <v>50</v>
      </c>
      <c r="E807" s="364"/>
      <c r="F807" s="361" t="s">
        <v>1921</v>
      </c>
      <c r="T807" s="361">
        <v>5.1180000000000003E-2</v>
      </c>
    </row>
    <row r="808" spans="1:20" x14ac:dyDescent="0.25">
      <c r="A808" s="364" t="s">
        <v>3005</v>
      </c>
      <c r="B808" s="361" t="s">
        <v>3006</v>
      </c>
      <c r="C808" t="s">
        <v>1920</v>
      </c>
      <c r="D808" s="361">
        <v>50</v>
      </c>
      <c r="E808" s="364"/>
      <c r="F808" s="361" t="s">
        <v>1921</v>
      </c>
      <c r="T808" s="361">
        <v>5.1180000000000003E-2</v>
      </c>
    </row>
    <row r="809" spans="1:20" x14ac:dyDescent="0.25">
      <c r="A809" s="364" t="s">
        <v>3007</v>
      </c>
      <c r="B809" s="361" t="s">
        <v>3008</v>
      </c>
      <c r="C809" t="s">
        <v>1920</v>
      </c>
      <c r="D809" s="361">
        <v>50</v>
      </c>
      <c r="E809" s="364"/>
      <c r="F809" s="361" t="s">
        <v>1921</v>
      </c>
      <c r="T809" s="361">
        <v>0.16550000000000001</v>
      </c>
    </row>
    <row r="810" spans="1:20" x14ac:dyDescent="0.25">
      <c r="A810" s="364" t="s">
        <v>3009</v>
      </c>
      <c r="B810" s="361" t="s">
        <v>3010</v>
      </c>
      <c r="C810" t="s">
        <v>1920</v>
      </c>
      <c r="D810" s="361">
        <v>20</v>
      </c>
      <c r="E810" s="364"/>
      <c r="F810" s="361" t="s">
        <v>1921</v>
      </c>
      <c r="T810" s="361">
        <v>1.5299999999999999E-2</v>
      </c>
    </row>
    <row r="811" spans="1:20" x14ac:dyDescent="0.25">
      <c r="A811" s="364" t="s">
        <v>3011</v>
      </c>
      <c r="B811" s="361" t="s">
        <v>3012</v>
      </c>
      <c r="C811" t="s">
        <v>1920</v>
      </c>
      <c r="D811" s="361">
        <v>50</v>
      </c>
      <c r="E811" s="364"/>
      <c r="F811" s="361" t="s">
        <v>1921</v>
      </c>
      <c r="T811" s="361">
        <v>5.339E-2</v>
      </c>
    </row>
    <row r="812" spans="1:20" x14ac:dyDescent="0.25">
      <c r="A812" s="364" t="s">
        <v>3013</v>
      </c>
      <c r="B812" s="361" t="s">
        <v>3014</v>
      </c>
      <c r="C812" t="s">
        <v>1920</v>
      </c>
      <c r="D812" s="361">
        <v>24</v>
      </c>
      <c r="E812" s="364"/>
      <c r="F812" s="361" t="s">
        <v>1921</v>
      </c>
      <c r="T812" s="361">
        <v>0.19581999999999999</v>
      </c>
    </row>
    <row r="813" spans="1:20" x14ac:dyDescent="0.25">
      <c r="A813" s="364" t="s">
        <v>3015</v>
      </c>
      <c r="B813" s="361" t="s">
        <v>3016</v>
      </c>
      <c r="C813" t="s">
        <v>1920</v>
      </c>
      <c r="D813" s="361">
        <v>27</v>
      </c>
      <c r="E813" s="364"/>
      <c r="F813" s="361" t="s">
        <v>1921</v>
      </c>
      <c r="T813" s="361">
        <v>0.55100000000000005</v>
      </c>
    </row>
    <row r="814" spans="1:20" x14ac:dyDescent="0.25">
      <c r="A814" s="364" t="s">
        <v>3017</v>
      </c>
      <c r="B814" s="361" t="s">
        <v>3018</v>
      </c>
      <c r="C814" t="s">
        <v>1920</v>
      </c>
      <c r="D814" s="361">
        <v>27</v>
      </c>
      <c r="E814" s="364"/>
      <c r="F814" s="361" t="s">
        <v>1921</v>
      </c>
      <c r="T814" s="361">
        <v>0.73399999999999999</v>
      </c>
    </row>
    <row r="815" spans="1:20" x14ac:dyDescent="0.25">
      <c r="A815" s="364" t="s">
        <v>3019</v>
      </c>
      <c r="B815" s="361" t="s">
        <v>3020</v>
      </c>
      <c r="C815" t="s">
        <v>1920</v>
      </c>
      <c r="D815" s="361">
        <v>27</v>
      </c>
      <c r="E815" s="364"/>
      <c r="F815" s="361" t="s">
        <v>1921</v>
      </c>
      <c r="T815" s="361">
        <v>0.92500000000000004</v>
      </c>
    </row>
    <row r="816" spans="1:20" x14ac:dyDescent="0.25">
      <c r="A816" s="364" t="s">
        <v>3021</v>
      </c>
      <c r="B816" s="361" t="s">
        <v>3022</v>
      </c>
      <c r="C816" t="s">
        <v>1920</v>
      </c>
      <c r="D816" s="361">
        <v>27</v>
      </c>
      <c r="E816" s="364"/>
      <c r="F816" s="361" t="s">
        <v>1921</v>
      </c>
      <c r="T816" s="361">
        <v>0.79700000000000004</v>
      </c>
    </row>
    <row r="817" spans="1:38" x14ac:dyDescent="0.25">
      <c r="A817" s="364" t="s">
        <v>3023</v>
      </c>
      <c r="B817" s="361" t="s">
        <v>3024</v>
      </c>
      <c r="C817" t="s">
        <v>1920</v>
      </c>
      <c r="D817" s="361">
        <v>33</v>
      </c>
      <c r="E817" s="364"/>
      <c r="F817" s="361" t="s">
        <v>1921</v>
      </c>
      <c r="T817" s="361">
        <v>2.1000000000000001E-2</v>
      </c>
    </row>
    <row r="818" spans="1:38" x14ac:dyDescent="0.25">
      <c r="A818" s="364" t="s">
        <v>3025</v>
      </c>
      <c r="B818" s="361" t="s">
        <v>3026</v>
      </c>
      <c r="C818" t="s">
        <v>1920</v>
      </c>
      <c r="D818" s="361">
        <v>26</v>
      </c>
      <c r="E818" s="364"/>
      <c r="F818" s="361" t="s">
        <v>1921</v>
      </c>
      <c r="T818" s="361">
        <v>0.79100000000000004</v>
      </c>
    </row>
    <row r="819" spans="1:38" x14ac:dyDescent="0.25">
      <c r="A819" s="364" t="s">
        <v>3027</v>
      </c>
      <c r="B819" s="361" t="s">
        <v>3028</v>
      </c>
      <c r="C819" t="s">
        <v>1920</v>
      </c>
      <c r="D819" s="361">
        <v>45</v>
      </c>
      <c r="E819" s="364"/>
      <c r="F819" s="361" t="s">
        <v>1917</v>
      </c>
      <c r="T819" s="361">
        <v>26.8</v>
      </c>
    </row>
    <row r="820" spans="1:38" x14ac:dyDescent="0.25">
      <c r="A820" s="364" t="s">
        <v>3029</v>
      </c>
      <c r="B820" s="361" t="s">
        <v>3030</v>
      </c>
      <c r="C820" t="s">
        <v>1920</v>
      </c>
      <c r="D820" s="361">
        <v>45</v>
      </c>
      <c r="E820" s="364"/>
      <c r="F820" s="361" t="s">
        <v>1917</v>
      </c>
      <c r="T820" s="361">
        <v>26.8</v>
      </c>
    </row>
    <row r="821" spans="1:38" x14ac:dyDescent="0.25">
      <c r="A821" s="364" t="s">
        <v>3031</v>
      </c>
      <c r="B821" s="361" t="s">
        <v>3032</v>
      </c>
      <c r="C821">
        <v>2</v>
      </c>
      <c r="D821" s="361">
        <v>97</v>
      </c>
      <c r="E821" s="364"/>
      <c r="F821" s="361" t="s">
        <v>1921</v>
      </c>
      <c r="T821" s="361">
        <v>109.34</v>
      </c>
    </row>
    <row r="822" spans="1:38" x14ac:dyDescent="0.25">
      <c r="A822" s="364" t="s">
        <v>3033</v>
      </c>
      <c r="B822" s="361" t="s">
        <v>3034</v>
      </c>
      <c r="C822">
        <v>2</v>
      </c>
      <c r="D822" s="361">
        <v>97</v>
      </c>
      <c r="E822" s="364"/>
      <c r="F822" s="361" t="s">
        <v>1921</v>
      </c>
      <c r="T822" s="361">
        <v>429.4</v>
      </c>
    </row>
    <row r="823" spans="1:38" x14ac:dyDescent="0.25">
      <c r="A823" s="364" t="s">
        <v>3035</v>
      </c>
      <c r="B823" s="361" t="s">
        <v>3036</v>
      </c>
      <c r="C823">
        <v>2</v>
      </c>
      <c r="D823" s="361">
        <v>97</v>
      </c>
      <c r="E823" s="364"/>
      <c r="F823" s="361" t="s">
        <v>1921</v>
      </c>
      <c r="T823" s="361">
        <v>17.5</v>
      </c>
    </row>
    <row r="824" spans="1:38" x14ac:dyDescent="0.25">
      <c r="A824" s="364" t="s">
        <v>3037</v>
      </c>
      <c r="B824" s="361" t="s">
        <v>3038</v>
      </c>
      <c r="C824">
        <v>2</v>
      </c>
      <c r="D824" s="361">
        <v>97</v>
      </c>
      <c r="E824" s="364"/>
      <c r="F824" s="361" t="s">
        <v>1921</v>
      </c>
      <c r="T824" s="361">
        <v>31.295000000000002</v>
      </c>
      <c r="AL824" s="361">
        <f>T824-S824</f>
        <v>31.295000000000002</v>
      </c>
    </row>
    <row r="825" spans="1:38" x14ac:dyDescent="0.25">
      <c r="A825" s="364" t="s">
        <v>175</v>
      </c>
      <c r="B825" s="361" t="s">
        <v>881</v>
      </c>
      <c r="C825" t="s">
        <v>1916</v>
      </c>
      <c r="D825" s="361">
        <v>2</v>
      </c>
      <c r="E825" s="364"/>
      <c r="F825" s="361" t="s">
        <v>1917</v>
      </c>
      <c r="T825" s="361">
        <v>220</v>
      </c>
    </row>
    <row r="826" spans="1:38" x14ac:dyDescent="0.25">
      <c r="A826" s="364" t="s">
        <v>3039</v>
      </c>
      <c r="B826" s="361" t="s">
        <v>3040</v>
      </c>
      <c r="C826" t="s">
        <v>1920</v>
      </c>
      <c r="D826" s="361">
        <v>20</v>
      </c>
      <c r="E826" s="364"/>
      <c r="F826" s="361" t="s">
        <v>2201</v>
      </c>
      <c r="T826" s="361">
        <v>230.9</v>
      </c>
    </row>
    <row r="827" spans="1:38" x14ac:dyDescent="0.25">
      <c r="A827" s="364" t="s">
        <v>3041</v>
      </c>
      <c r="B827" s="361" t="s">
        <v>3042</v>
      </c>
      <c r="C827" t="s">
        <v>1920</v>
      </c>
      <c r="D827" s="361">
        <v>20</v>
      </c>
      <c r="E827" s="364"/>
      <c r="F827" s="361" t="s">
        <v>2201</v>
      </c>
      <c r="T827" s="361">
        <v>230.9</v>
      </c>
    </row>
    <row r="828" spans="1:38" x14ac:dyDescent="0.25">
      <c r="A828" s="364" t="s">
        <v>3043</v>
      </c>
      <c r="B828" s="361" t="s">
        <v>3044</v>
      </c>
      <c r="C828" t="s">
        <v>1920</v>
      </c>
      <c r="D828" s="361">
        <v>33</v>
      </c>
      <c r="E828" s="364"/>
      <c r="F828" s="361" t="s">
        <v>1917</v>
      </c>
      <c r="T828" s="361">
        <v>3.7</v>
      </c>
    </row>
    <row r="829" spans="1:38" x14ac:dyDescent="0.25">
      <c r="A829" s="364" t="s">
        <v>3045</v>
      </c>
      <c r="B829" s="361" t="s">
        <v>3046</v>
      </c>
      <c r="C829" t="s">
        <v>1920</v>
      </c>
      <c r="D829" s="361">
        <v>27</v>
      </c>
      <c r="E829" s="364"/>
      <c r="F829" s="361" t="s">
        <v>1921</v>
      </c>
      <c r="T829" s="361">
        <v>0.6</v>
      </c>
    </row>
    <row r="830" spans="1:38" x14ac:dyDescent="0.25">
      <c r="A830" s="364" t="s">
        <v>882</v>
      </c>
      <c r="B830" s="361" t="s">
        <v>883</v>
      </c>
      <c r="C830" t="s">
        <v>1922</v>
      </c>
      <c r="D830" s="361">
        <v>1</v>
      </c>
      <c r="E830" s="364"/>
      <c r="F830" s="361" t="s">
        <v>1917</v>
      </c>
      <c r="T830" s="361">
        <v>43.68</v>
      </c>
    </row>
    <row r="831" spans="1:38" x14ac:dyDescent="0.25">
      <c r="A831" s="364" t="s">
        <v>3047</v>
      </c>
      <c r="B831" s="361" t="s">
        <v>3048</v>
      </c>
      <c r="C831" t="s">
        <v>1920</v>
      </c>
      <c r="D831" s="361">
        <v>50</v>
      </c>
      <c r="E831" s="364"/>
      <c r="F831" s="361" t="s">
        <v>1921</v>
      </c>
      <c r="T831" s="361">
        <v>3.2800000000000003E-2</v>
      </c>
    </row>
    <row r="832" spans="1:38" x14ac:dyDescent="0.25">
      <c r="A832" s="364" t="s">
        <v>3049</v>
      </c>
      <c r="B832" s="361" t="s">
        <v>3050</v>
      </c>
      <c r="C832" t="s">
        <v>1920</v>
      </c>
      <c r="D832" s="361">
        <v>50</v>
      </c>
      <c r="E832" s="364"/>
      <c r="F832" s="361" t="s">
        <v>1921</v>
      </c>
      <c r="T832" s="361">
        <v>7.8600000000000003E-2</v>
      </c>
    </row>
    <row r="833" spans="1:38" x14ac:dyDescent="0.25">
      <c r="A833" s="364" t="s">
        <v>3051</v>
      </c>
      <c r="B833" s="361" t="s">
        <v>3052</v>
      </c>
      <c r="C833" t="s">
        <v>1920</v>
      </c>
      <c r="D833" s="361">
        <v>54</v>
      </c>
      <c r="E833" s="364"/>
      <c r="F833" s="361" t="s">
        <v>1921</v>
      </c>
      <c r="T833" s="361">
        <v>7.7049999999999993E-2</v>
      </c>
    </row>
    <row r="834" spans="1:38" x14ac:dyDescent="0.25">
      <c r="A834" s="364" t="s">
        <v>3053</v>
      </c>
      <c r="B834" s="361" t="s">
        <v>3054</v>
      </c>
      <c r="C834" t="s">
        <v>1920</v>
      </c>
      <c r="D834" s="361">
        <v>54</v>
      </c>
      <c r="E834" s="364"/>
      <c r="F834" s="361" t="s">
        <v>1921</v>
      </c>
      <c r="T834" s="361">
        <v>0.18598000000000001</v>
      </c>
    </row>
    <row r="835" spans="1:38" x14ac:dyDescent="0.25">
      <c r="A835" s="364" t="s">
        <v>3055</v>
      </c>
      <c r="B835" s="361" t="s">
        <v>3056</v>
      </c>
      <c r="C835" t="s">
        <v>1920</v>
      </c>
      <c r="D835" s="361">
        <v>56</v>
      </c>
      <c r="E835" s="364"/>
      <c r="F835" s="361" t="s">
        <v>1921</v>
      </c>
      <c r="T835" s="361">
        <v>0.49299999999999999</v>
      </c>
      <c r="AL835" s="361">
        <f>T835-S835</f>
        <v>0.49299999999999999</v>
      </c>
    </row>
    <row r="836" spans="1:38" x14ac:dyDescent="0.25">
      <c r="A836" s="364" t="s">
        <v>3057</v>
      </c>
      <c r="B836" s="361" t="s">
        <v>3058</v>
      </c>
      <c r="C836" t="s">
        <v>1920</v>
      </c>
      <c r="D836" s="361">
        <v>56</v>
      </c>
      <c r="E836" s="364"/>
      <c r="F836" s="361" t="s">
        <v>1921</v>
      </c>
      <c r="T836" s="361">
        <v>0.80200000000000005</v>
      </c>
    </row>
    <row r="837" spans="1:38" x14ac:dyDescent="0.25">
      <c r="A837" s="364" t="s">
        <v>3059</v>
      </c>
      <c r="B837" s="361" t="s">
        <v>3060</v>
      </c>
      <c r="C837" t="s">
        <v>1920</v>
      </c>
      <c r="D837" s="361">
        <v>52</v>
      </c>
      <c r="E837" s="364"/>
      <c r="F837" s="361" t="s">
        <v>1921</v>
      </c>
      <c r="T837" s="361">
        <v>4.9000000000000002E-2</v>
      </c>
    </row>
    <row r="838" spans="1:38" x14ac:dyDescent="0.25">
      <c r="A838" s="364" t="s">
        <v>3061</v>
      </c>
      <c r="B838" s="361" t="s">
        <v>3062</v>
      </c>
      <c r="C838" t="s">
        <v>1920</v>
      </c>
      <c r="D838" s="361">
        <v>24</v>
      </c>
      <c r="E838" s="364"/>
      <c r="F838" s="361" t="s">
        <v>2201</v>
      </c>
      <c r="T838" s="361">
        <v>137.31229999999999</v>
      </c>
    </row>
    <row r="839" spans="1:38" x14ac:dyDescent="0.25">
      <c r="A839" s="364" t="s">
        <v>884</v>
      </c>
      <c r="B839" s="361" t="s">
        <v>885</v>
      </c>
      <c r="C839" t="s">
        <v>1916</v>
      </c>
      <c r="D839" s="361">
        <v>2</v>
      </c>
      <c r="E839" s="364"/>
      <c r="F839" s="361" t="s">
        <v>1917</v>
      </c>
      <c r="T839" s="361">
        <v>290.61</v>
      </c>
    </row>
    <row r="840" spans="1:38" x14ac:dyDescent="0.25">
      <c r="A840" s="364" t="s">
        <v>886</v>
      </c>
      <c r="B840" s="361" t="s">
        <v>887</v>
      </c>
      <c r="C840" t="s">
        <v>1916</v>
      </c>
      <c r="D840" s="361">
        <v>2</v>
      </c>
      <c r="E840" s="364"/>
      <c r="F840" s="361" t="s">
        <v>1917</v>
      </c>
      <c r="T840" s="361">
        <v>527.96100000000001</v>
      </c>
    </row>
    <row r="841" spans="1:38" x14ac:dyDescent="0.25">
      <c r="A841" s="364" t="s">
        <v>3063</v>
      </c>
      <c r="B841" s="361" t="s">
        <v>3064</v>
      </c>
      <c r="C841" t="s">
        <v>2419</v>
      </c>
      <c r="D841" s="361">
        <v>4</v>
      </c>
      <c r="E841" s="364"/>
      <c r="F841" s="361" t="s">
        <v>1921</v>
      </c>
      <c r="T841" s="361">
        <v>8.5059999999999997E-2</v>
      </c>
    </row>
    <row r="842" spans="1:38" x14ac:dyDescent="0.25">
      <c r="A842" s="364" t="s">
        <v>3065</v>
      </c>
      <c r="B842" s="361" t="s">
        <v>3066</v>
      </c>
      <c r="C842" t="s">
        <v>2419</v>
      </c>
      <c r="D842" s="361">
        <v>4</v>
      </c>
      <c r="E842" s="364"/>
      <c r="F842" s="361" t="s">
        <v>1921</v>
      </c>
      <c r="T842" s="361">
        <v>8.5059999999999997E-2</v>
      </c>
    </row>
    <row r="843" spans="1:38" x14ac:dyDescent="0.25">
      <c r="A843" s="364" t="s">
        <v>3067</v>
      </c>
      <c r="B843" s="361" t="s">
        <v>3068</v>
      </c>
      <c r="C843" t="s">
        <v>1920</v>
      </c>
      <c r="D843" s="361">
        <v>16</v>
      </c>
      <c r="E843" s="364"/>
      <c r="F843" s="361" t="s">
        <v>1917</v>
      </c>
      <c r="T843" s="361">
        <v>11.2</v>
      </c>
    </row>
    <row r="844" spans="1:38" x14ac:dyDescent="0.25">
      <c r="A844" s="364" t="s">
        <v>3069</v>
      </c>
      <c r="B844" s="361" t="s">
        <v>3070</v>
      </c>
      <c r="C844" t="s">
        <v>1920</v>
      </c>
      <c r="D844" s="361">
        <v>15</v>
      </c>
      <c r="E844" s="364"/>
      <c r="F844" s="361" t="s">
        <v>1917</v>
      </c>
      <c r="T844" s="361">
        <v>37.299999999999997</v>
      </c>
    </row>
    <row r="845" spans="1:38" x14ac:dyDescent="0.25">
      <c r="A845" s="364" t="s">
        <v>3071</v>
      </c>
      <c r="B845" s="361" t="s">
        <v>3072</v>
      </c>
      <c r="C845" t="s">
        <v>1920</v>
      </c>
      <c r="D845" s="361">
        <v>15</v>
      </c>
      <c r="E845" s="364"/>
      <c r="F845" s="361" t="s">
        <v>1917</v>
      </c>
      <c r="T845" s="361">
        <v>39.4</v>
      </c>
    </row>
    <row r="846" spans="1:38" x14ac:dyDescent="0.25">
      <c r="A846" s="364" t="s">
        <v>3073</v>
      </c>
      <c r="B846" s="361" t="s">
        <v>3074</v>
      </c>
      <c r="C846" t="s">
        <v>1920</v>
      </c>
      <c r="D846" s="361">
        <v>15</v>
      </c>
      <c r="E846" s="364"/>
      <c r="F846" s="361" t="s">
        <v>1917</v>
      </c>
      <c r="T846" s="361">
        <v>37.299999999999997</v>
      </c>
    </row>
    <row r="847" spans="1:38" x14ac:dyDescent="0.25">
      <c r="A847" s="364" t="s">
        <v>351</v>
      </c>
      <c r="B847" s="361" t="s">
        <v>3075</v>
      </c>
      <c r="C847" t="s">
        <v>1920</v>
      </c>
      <c r="D847" s="361">
        <v>16</v>
      </c>
      <c r="E847" s="364"/>
      <c r="F847" s="361" t="s">
        <v>1917</v>
      </c>
      <c r="T847" s="361">
        <v>16.5</v>
      </c>
    </row>
    <row r="848" spans="1:38" x14ac:dyDescent="0.25">
      <c r="A848" s="364" t="s">
        <v>410</v>
      </c>
      <c r="B848" s="361" t="s">
        <v>3076</v>
      </c>
      <c r="C848" t="s">
        <v>1920</v>
      </c>
      <c r="D848" s="361">
        <v>24</v>
      </c>
      <c r="E848" s="364"/>
      <c r="F848" s="361" t="s">
        <v>1921</v>
      </c>
      <c r="T848" s="361">
        <v>0.14399999999999999</v>
      </c>
    </row>
    <row r="849" spans="1:20" x14ac:dyDescent="0.25">
      <c r="A849" s="364" t="s">
        <v>3077</v>
      </c>
      <c r="B849" s="361" t="s">
        <v>3078</v>
      </c>
      <c r="C849" t="s">
        <v>1920</v>
      </c>
      <c r="D849" s="361">
        <v>24</v>
      </c>
      <c r="E849" s="364"/>
      <c r="F849" s="361" t="s">
        <v>1921</v>
      </c>
      <c r="T849" s="361">
        <v>0.14169999999999999</v>
      </c>
    </row>
    <row r="850" spans="1:20" x14ac:dyDescent="0.25">
      <c r="A850" s="364" t="s">
        <v>3079</v>
      </c>
      <c r="B850" s="361" t="s">
        <v>3080</v>
      </c>
      <c r="C850" t="s">
        <v>1920</v>
      </c>
      <c r="D850" s="361">
        <v>24</v>
      </c>
      <c r="E850" s="364"/>
      <c r="F850" s="361" t="s">
        <v>1921</v>
      </c>
      <c r="T850" s="361">
        <v>0.12526000000000001</v>
      </c>
    </row>
    <row r="851" spans="1:20" x14ac:dyDescent="0.25">
      <c r="A851" s="364" t="s">
        <v>411</v>
      </c>
      <c r="B851" s="361" t="s">
        <v>3081</v>
      </c>
      <c r="C851" t="s">
        <v>1920</v>
      </c>
      <c r="D851" s="361">
        <v>27</v>
      </c>
      <c r="E851" s="364"/>
      <c r="F851" s="361" t="s">
        <v>1921</v>
      </c>
      <c r="T851" s="361">
        <v>1.427</v>
      </c>
    </row>
    <row r="852" spans="1:20" x14ac:dyDescent="0.25">
      <c r="A852" s="364" t="s">
        <v>888</v>
      </c>
      <c r="B852" s="361" t="s">
        <v>889</v>
      </c>
      <c r="C852" t="s">
        <v>1922</v>
      </c>
      <c r="D852" s="361">
        <v>1</v>
      </c>
      <c r="E852" s="364"/>
      <c r="F852" s="361" t="s">
        <v>1917</v>
      </c>
      <c r="T852" s="361">
        <v>4</v>
      </c>
    </row>
    <row r="853" spans="1:20" x14ac:dyDescent="0.25">
      <c r="A853" s="364" t="s">
        <v>3082</v>
      </c>
      <c r="B853" s="361" t="s">
        <v>3083</v>
      </c>
      <c r="C853" t="s">
        <v>1920</v>
      </c>
      <c r="D853" s="361">
        <v>24</v>
      </c>
      <c r="E853" s="364"/>
      <c r="F853" s="361" t="s">
        <v>1921</v>
      </c>
      <c r="T853" s="361">
        <v>7.528E-2</v>
      </c>
    </row>
    <row r="854" spans="1:20" x14ac:dyDescent="0.25">
      <c r="A854" s="364" t="s">
        <v>3084</v>
      </c>
      <c r="B854" s="361" t="s">
        <v>3085</v>
      </c>
      <c r="C854" t="s">
        <v>1920</v>
      </c>
      <c r="D854" s="361">
        <v>24</v>
      </c>
      <c r="E854" s="364"/>
      <c r="F854" s="361" t="s">
        <v>1921</v>
      </c>
      <c r="T854" s="361">
        <v>6.6030000000000005E-2</v>
      </c>
    </row>
    <row r="855" spans="1:20" x14ac:dyDescent="0.25">
      <c r="A855" s="364" t="s">
        <v>3086</v>
      </c>
      <c r="B855" s="361" t="s">
        <v>3087</v>
      </c>
      <c r="C855" t="s">
        <v>1920</v>
      </c>
      <c r="D855" s="361">
        <v>24</v>
      </c>
      <c r="E855" s="364"/>
      <c r="F855" s="361" t="s">
        <v>1921</v>
      </c>
      <c r="T855" s="361">
        <v>0.25553999999999999</v>
      </c>
    </row>
    <row r="856" spans="1:20" x14ac:dyDescent="0.25">
      <c r="A856" s="364" t="s">
        <v>3088</v>
      </c>
      <c r="B856" s="361" t="s">
        <v>3089</v>
      </c>
      <c r="C856" t="s">
        <v>1920</v>
      </c>
      <c r="D856" s="361">
        <v>24</v>
      </c>
      <c r="E856" s="364"/>
      <c r="F856" s="361" t="s">
        <v>1921</v>
      </c>
      <c r="T856" s="361">
        <v>9.4070000000000001E-2</v>
      </c>
    </row>
    <row r="857" spans="1:20" x14ac:dyDescent="0.25">
      <c r="A857" s="364" t="s">
        <v>3090</v>
      </c>
      <c r="B857" s="361" t="s">
        <v>3091</v>
      </c>
      <c r="C857" t="s">
        <v>1920</v>
      </c>
      <c r="D857" s="361">
        <v>24</v>
      </c>
      <c r="E857" s="364"/>
      <c r="F857" s="361" t="s">
        <v>1921</v>
      </c>
      <c r="T857" s="361">
        <v>0.19364999999999999</v>
      </c>
    </row>
    <row r="858" spans="1:20" x14ac:dyDescent="0.25">
      <c r="A858" s="364" t="s">
        <v>3092</v>
      </c>
      <c r="B858" s="361" t="s">
        <v>2050</v>
      </c>
      <c r="C858" t="s">
        <v>1920</v>
      </c>
      <c r="D858" s="361">
        <v>24</v>
      </c>
      <c r="E858" s="364"/>
      <c r="F858" s="361" t="s">
        <v>1921</v>
      </c>
      <c r="T858" s="361">
        <v>0.13481000000000001</v>
      </c>
    </row>
    <row r="859" spans="1:20" x14ac:dyDescent="0.25">
      <c r="A859" s="364" t="s">
        <v>3093</v>
      </c>
      <c r="B859" s="361" t="s">
        <v>3094</v>
      </c>
      <c r="C859" t="s">
        <v>1920</v>
      </c>
      <c r="D859" s="361">
        <v>54</v>
      </c>
      <c r="E859" s="364"/>
      <c r="F859" s="361" t="s">
        <v>1921</v>
      </c>
      <c r="T859" s="361">
        <v>9.8299999999999998E-2</v>
      </c>
    </row>
    <row r="860" spans="1:20" x14ac:dyDescent="0.25">
      <c r="A860" s="364" t="s">
        <v>3095</v>
      </c>
      <c r="B860" s="361" t="s">
        <v>3096</v>
      </c>
      <c r="C860" t="s">
        <v>1920</v>
      </c>
      <c r="D860" s="361">
        <v>27</v>
      </c>
      <c r="E860" s="364"/>
      <c r="F860" s="361" t="s">
        <v>1921</v>
      </c>
      <c r="T860" s="361">
        <v>0.76300000000000001</v>
      </c>
    </row>
    <row r="861" spans="1:20" x14ac:dyDescent="0.25">
      <c r="A861" s="364" t="s">
        <v>890</v>
      </c>
      <c r="B861" s="361" t="s">
        <v>891</v>
      </c>
      <c r="C861" t="s">
        <v>1922</v>
      </c>
      <c r="D861" s="361">
        <v>1</v>
      </c>
      <c r="E861" s="364"/>
      <c r="F861" s="361" t="s">
        <v>1917</v>
      </c>
      <c r="T861" s="361">
        <v>76.849999999999994</v>
      </c>
    </row>
    <row r="862" spans="1:20" x14ac:dyDescent="0.25">
      <c r="A862" s="364" t="s">
        <v>3097</v>
      </c>
      <c r="B862" s="361" t="s">
        <v>3098</v>
      </c>
      <c r="C862" t="s">
        <v>1920</v>
      </c>
      <c r="D862" s="361">
        <v>91</v>
      </c>
      <c r="E862" s="364"/>
      <c r="F862" s="361" t="s">
        <v>2201</v>
      </c>
      <c r="T862" s="361">
        <v>59.57</v>
      </c>
    </row>
    <row r="863" spans="1:20" x14ac:dyDescent="0.25">
      <c r="A863" s="364" t="s">
        <v>294</v>
      </c>
      <c r="B863" s="361" t="s">
        <v>892</v>
      </c>
      <c r="C863" t="s">
        <v>1922</v>
      </c>
      <c r="D863" s="361">
        <v>1</v>
      </c>
      <c r="E863" s="364"/>
      <c r="F863" s="361" t="s">
        <v>1917</v>
      </c>
      <c r="T863" s="361">
        <v>116</v>
      </c>
    </row>
    <row r="864" spans="1:20" x14ac:dyDescent="0.25">
      <c r="A864" s="364" t="s">
        <v>3099</v>
      </c>
      <c r="B864" s="361" t="s">
        <v>3100</v>
      </c>
      <c r="C864" t="s">
        <v>1920</v>
      </c>
      <c r="D864" s="361">
        <v>16</v>
      </c>
      <c r="E864" s="364"/>
      <c r="F864" s="361" t="s">
        <v>1917</v>
      </c>
      <c r="T864" s="361">
        <v>11.4</v>
      </c>
    </row>
    <row r="865" spans="1:38" x14ac:dyDescent="0.25">
      <c r="A865" s="364" t="s">
        <v>3101</v>
      </c>
      <c r="B865" s="361" t="s">
        <v>3102</v>
      </c>
      <c r="C865" t="s">
        <v>1920</v>
      </c>
      <c r="D865" s="361">
        <v>27</v>
      </c>
      <c r="E865" s="364"/>
      <c r="F865" s="361" t="s">
        <v>1921</v>
      </c>
      <c r="T865" s="361">
        <v>0.71099999999999997</v>
      </c>
    </row>
    <row r="866" spans="1:38" x14ac:dyDescent="0.25">
      <c r="A866" s="364" t="s">
        <v>239</v>
      </c>
      <c r="B866" s="361" t="s">
        <v>893</v>
      </c>
      <c r="C866" t="s">
        <v>1922</v>
      </c>
      <c r="D866" s="361">
        <v>1</v>
      </c>
      <c r="E866" s="364"/>
      <c r="F866" s="361" t="s">
        <v>1917</v>
      </c>
      <c r="T866" s="361">
        <v>67.45</v>
      </c>
    </row>
    <row r="867" spans="1:38" x14ac:dyDescent="0.25">
      <c r="A867" s="364" t="s">
        <v>3103</v>
      </c>
      <c r="B867" s="361" t="s">
        <v>3104</v>
      </c>
      <c r="C867" t="s">
        <v>1920</v>
      </c>
      <c r="D867" s="361">
        <v>12</v>
      </c>
      <c r="E867" s="364"/>
      <c r="F867" s="361" t="s">
        <v>1921</v>
      </c>
      <c r="T867" s="361">
        <v>9.9500000000000005E-2</v>
      </c>
    </row>
    <row r="868" spans="1:38" x14ac:dyDescent="0.25">
      <c r="A868" s="364" t="s">
        <v>3105</v>
      </c>
      <c r="B868" s="361" t="s">
        <v>3106</v>
      </c>
      <c r="C868" t="s">
        <v>1920</v>
      </c>
      <c r="D868" s="361">
        <v>22</v>
      </c>
      <c r="E868" s="364"/>
      <c r="F868" s="361" t="s">
        <v>1921</v>
      </c>
      <c r="T868" s="361">
        <v>5.8400000000000001E-2</v>
      </c>
    </row>
    <row r="869" spans="1:38" x14ac:dyDescent="0.25">
      <c r="A869" s="364" t="s">
        <v>3107</v>
      </c>
      <c r="B869" s="361" t="s">
        <v>3108</v>
      </c>
      <c r="C869" t="s">
        <v>1920</v>
      </c>
      <c r="D869" s="361">
        <v>30</v>
      </c>
      <c r="E869" s="364"/>
      <c r="F869" s="361" t="s">
        <v>1921</v>
      </c>
      <c r="T869" s="361">
        <v>0.13217999999999999</v>
      </c>
    </row>
    <row r="870" spans="1:38" x14ac:dyDescent="0.25">
      <c r="A870" s="364" t="s">
        <v>3109</v>
      </c>
      <c r="B870" s="361" t="s">
        <v>3110</v>
      </c>
      <c r="C870" t="s">
        <v>1920</v>
      </c>
      <c r="D870" s="361">
        <v>27</v>
      </c>
      <c r="E870" s="364"/>
      <c r="F870" s="361" t="s">
        <v>1921</v>
      </c>
      <c r="T870" s="361">
        <v>0.60199999999999998</v>
      </c>
    </row>
    <row r="871" spans="1:38" x14ac:dyDescent="0.25">
      <c r="A871" s="364" t="s">
        <v>894</v>
      </c>
      <c r="B871" s="361" t="s">
        <v>895</v>
      </c>
      <c r="C871" t="s">
        <v>1916</v>
      </c>
      <c r="D871" s="361">
        <v>2</v>
      </c>
      <c r="E871" s="364"/>
      <c r="F871" s="361" t="s">
        <v>1917</v>
      </c>
      <c r="T871" s="361">
        <v>795</v>
      </c>
    </row>
    <row r="872" spans="1:38" x14ac:dyDescent="0.25">
      <c r="A872" s="364" t="s">
        <v>896</v>
      </c>
      <c r="B872" s="361" t="s">
        <v>897</v>
      </c>
      <c r="C872" t="s">
        <v>1916</v>
      </c>
      <c r="D872" s="361">
        <v>2</v>
      </c>
      <c r="E872" s="364"/>
      <c r="F872" s="361" t="s">
        <v>1917</v>
      </c>
      <c r="T872" s="361">
        <v>337.47</v>
      </c>
    </row>
    <row r="873" spans="1:38" x14ac:dyDescent="0.25">
      <c r="A873" s="364" t="s">
        <v>3111</v>
      </c>
      <c r="B873" s="361" t="s">
        <v>3112</v>
      </c>
      <c r="C873" t="s">
        <v>1920</v>
      </c>
      <c r="D873" s="361">
        <v>22</v>
      </c>
      <c r="E873" s="364"/>
      <c r="F873" s="361" t="s">
        <v>1921</v>
      </c>
      <c r="T873" s="361">
        <v>423.65</v>
      </c>
    </row>
    <row r="874" spans="1:38" x14ac:dyDescent="0.25">
      <c r="A874" s="364" t="s">
        <v>133</v>
      </c>
      <c r="B874" s="361" t="s">
        <v>898</v>
      </c>
      <c r="C874" t="s">
        <v>1922</v>
      </c>
      <c r="D874" s="361">
        <v>1</v>
      </c>
      <c r="E874" s="364"/>
      <c r="F874" s="361" t="s">
        <v>1917</v>
      </c>
      <c r="T874" s="361">
        <v>6.8</v>
      </c>
    </row>
    <row r="875" spans="1:38" x14ac:dyDescent="0.25">
      <c r="A875" s="364" t="s">
        <v>3113</v>
      </c>
      <c r="B875" s="361" t="s">
        <v>3114</v>
      </c>
      <c r="C875" t="s">
        <v>1920</v>
      </c>
      <c r="D875" s="361">
        <v>24</v>
      </c>
      <c r="E875" s="364"/>
      <c r="F875" s="361" t="s">
        <v>1921</v>
      </c>
      <c r="T875" s="361">
        <v>0.16767000000000001</v>
      </c>
    </row>
    <row r="876" spans="1:38" x14ac:dyDescent="0.25">
      <c r="A876" s="364" t="s">
        <v>3115</v>
      </c>
      <c r="B876" s="361" t="s">
        <v>3116</v>
      </c>
      <c r="C876" t="s">
        <v>1920</v>
      </c>
      <c r="D876" s="361">
        <v>24</v>
      </c>
      <c r="E876" s="364"/>
      <c r="F876" s="361" t="s">
        <v>1921</v>
      </c>
      <c r="T876" s="361">
        <v>0.23518</v>
      </c>
    </row>
    <row r="877" spans="1:38" x14ac:dyDescent="0.25">
      <c r="A877" s="364" t="s">
        <v>3117</v>
      </c>
      <c r="B877" s="361" t="s">
        <v>3118</v>
      </c>
      <c r="C877" t="s">
        <v>2419</v>
      </c>
      <c r="D877" s="361">
        <v>4</v>
      </c>
      <c r="E877" s="364"/>
      <c r="F877" s="361" t="s">
        <v>2201</v>
      </c>
      <c r="T877" s="361">
        <v>271.43</v>
      </c>
    </row>
    <row r="878" spans="1:38" x14ac:dyDescent="0.25">
      <c r="A878" s="364" t="s">
        <v>3119</v>
      </c>
      <c r="B878" s="361" t="s">
        <v>3120</v>
      </c>
      <c r="C878" t="s">
        <v>1920</v>
      </c>
      <c r="D878" s="361">
        <v>15</v>
      </c>
      <c r="E878" s="364"/>
      <c r="F878" s="361" t="s">
        <v>1917</v>
      </c>
      <c r="T878" s="361">
        <v>49.6</v>
      </c>
    </row>
    <row r="879" spans="1:38" x14ac:dyDescent="0.25">
      <c r="A879" s="364" t="s">
        <v>3121</v>
      </c>
      <c r="B879" s="361" t="s">
        <v>3122</v>
      </c>
      <c r="C879" t="s">
        <v>1920</v>
      </c>
      <c r="D879" s="361">
        <v>15</v>
      </c>
      <c r="E879" s="364"/>
      <c r="F879" s="361" t="s">
        <v>1917</v>
      </c>
      <c r="T879" s="361">
        <v>49.6</v>
      </c>
    </row>
    <row r="880" spans="1:38" x14ac:dyDescent="0.25">
      <c r="A880" s="364" t="s">
        <v>3123</v>
      </c>
      <c r="B880" s="361" t="s">
        <v>3124</v>
      </c>
      <c r="C880" t="s">
        <v>1920</v>
      </c>
      <c r="D880" s="361">
        <v>15</v>
      </c>
      <c r="E880" s="364"/>
      <c r="F880" s="361" t="s">
        <v>1917</v>
      </c>
      <c r="T880" s="361">
        <v>49.6</v>
      </c>
      <c r="AL880" s="361">
        <f>T880-S880</f>
        <v>49.6</v>
      </c>
    </row>
    <row r="881" spans="1:20" x14ac:dyDescent="0.25">
      <c r="A881" s="364" t="s">
        <v>3125</v>
      </c>
      <c r="B881" s="361" t="s">
        <v>3126</v>
      </c>
      <c r="C881" t="s">
        <v>1920</v>
      </c>
      <c r="D881" s="361">
        <v>22</v>
      </c>
      <c r="E881" s="364"/>
      <c r="F881" s="361" t="s">
        <v>1921</v>
      </c>
      <c r="T881" s="361">
        <v>8.3000000000000004E-2</v>
      </c>
    </row>
    <row r="882" spans="1:20" x14ac:dyDescent="0.25">
      <c r="A882" s="364" t="s">
        <v>3127</v>
      </c>
      <c r="B882" s="361" t="s">
        <v>3128</v>
      </c>
      <c r="C882" t="s">
        <v>1920</v>
      </c>
      <c r="D882" s="361">
        <v>22</v>
      </c>
      <c r="E882" s="364"/>
      <c r="F882" s="361" t="s">
        <v>1921</v>
      </c>
      <c r="T882" s="361">
        <v>8.3000000000000004E-2</v>
      </c>
    </row>
    <row r="883" spans="1:20" x14ac:dyDescent="0.25">
      <c r="A883" s="364" t="s">
        <v>3129</v>
      </c>
      <c r="B883" s="361" t="s">
        <v>3130</v>
      </c>
      <c r="C883" t="s">
        <v>1920</v>
      </c>
      <c r="D883" s="361">
        <v>22</v>
      </c>
      <c r="E883" s="364"/>
      <c r="F883" s="361" t="s">
        <v>1921</v>
      </c>
      <c r="T883" s="361">
        <v>0.108</v>
      </c>
    </row>
    <row r="884" spans="1:20" x14ac:dyDescent="0.25">
      <c r="A884" s="364" t="s">
        <v>3131</v>
      </c>
      <c r="B884" s="361" t="s">
        <v>3132</v>
      </c>
      <c r="C884" t="s">
        <v>2419</v>
      </c>
      <c r="D884" s="361">
        <v>4</v>
      </c>
      <c r="E884" s="364"/>
      <c r="F884" s="361" t="s">
        <v>1921</v>
      </c>
      <c r="T884" s="361">
        <v>2.75E-2</v>
      </c>
    </row>
    <row r="885" spans="1:20" x14ac:dyDescent="0.25">
      <c r="A885" s="364" t="s">
        <v>3133</v>
      </c>
      <c r="B885" s="361" t="s">
        <v>3134</v>
      </c>
      <c r="C885" t="s">
        <v>2419</v>
      </c>
      <c r="D885" s="361">
        <v>4</v>
      </c>
      <c r="E885" s="364"/>
      <c r="F885" s="361" t="s">
        <v>1921</v>
      </c>
      <c r="T885" s="361">
        <v>3.2840000000000001E-2</v>
      </c>
    </row>
    <row r="886" spans="1:20" x14ac:dyDescent="0.25">
      <c r="A886" s="364" t="s">
        <v>3135</v>
      </c>
      <c r="B886" s="361" t="s">
        <v>3136</v>
      </c>
      <c r="C886" t="s">
        <v>2419</v>
      </c>
      <c r="D886" s="361">
        <v>4</v>
      </c>
      <c r="E886" s="364"/>
      <c r="F886" s="361" t="s">
        <v>1921</v>
      </c>
      <c r="T886" s="361">
        <v>4.3540000000000002E-2</v>
      </c>
    </row>
    <row r="887" spans="1:20" x14ac:dyDescent="0.25">
      <c r="A887" s="364" t="s">
        <v>3137</v>
      </c>
      <c r="B887" s="361" t="s">
        <v>3138</v>
      </c>
      <c r="C887" t="s">
        <v>2419</v>
      </c>
      <c r="D887" s="361">
        <v>4</v>
      </c>
      <c r="E887" s="364"/>
      <c r="F887" s="361" t="s">
        <v>1921</v>
      </c>
      <c r="T887" s="361">
        <v>7.1410000000000001E-2</v>
      </c>
    </row>
    <row r="888" spans="1:20" x14ac:dyDescent="0.25">
      <c r="A888" s="364" t="s">
        <v>3139</v>
      </c>
      <c r="B888" s="361" t="s">
        <v>3140</v>
      </c>
      <c r="C888" t="s">
        <v>2419</v>
      </c>
      <c r="D888" s="361">
        <v>4</v>
      </c>
      <c r="E888" s="364"/>
      <c r="F888" s="361" t="s">
        <v>2201</v>
      </c>
      <c r="T888" s="361">
        <v>21.5</v>
      </c>
    </row>
    <row r="889" spans="1:20" x14ac:dyDescent="0.25">
      <c r="A889" s="364" t="s">
        <v>3141</v>
      </c>
      <c r="B889" s="361" t="s">
        <v>3142</v>
      </c>
      <c r="C889" t="s">
        <v>1920</v>
      </c>
      <c r="D889" s="361">
        <v>15</v>
      </c>
      <c r="E889" s="364"/>
      <c r="F889" s="361" t="s">
        <v>1917</v>
      </c>
      <c r="T889" s="361">
        <v>37.299999999999997</v>
      </c>
    </row>
    <row r="890" spans="1:20" x14ac:dyDescent="0.25">
      <c r="A890" s="364" t="s">
        <v>3143</v>
      </c>
      <c r="B890" s="361" t="s">
        <v>3144</v>
      </c>
      <c r="C890" t="s">
        <v>1920</v>
      </c>
      <c r="D890" s="361">
        <v>15</v>
      </c>
      <c r="E890" s="364"/>
      <c r="F890" s="361" t="s">
        <v>1917</v>
      </c>
      <c r="T890" s="361">
        <v>39.799999999999997</v>
      </c>
    </row>
    <row r="891" spans="1:20" x14ac:dyDescent="0.25">
      <c r="A891" s="364" t="s">
        <v>3145</v>
      </c>
      <c r="B891" s="361" t="s">
        <v>3146</v>
      </c>
      <c r="C891" t="s">
        <v>1920</v>
      </c>
      <c r="D891" s="361">
        <v>15</v>
      </c>
      <c r="E891" s="364"/>
      <c r="F891" s="361" t="s">
        <v>1917</v>
      </c>
      <c r="T891" s="361">
        <v>49.6</v>
      </c>
    </row>
    <row r="892" spans="1:20" x14ac:dyDescent="0.25">
      <c r="A892" s="364" t="s">
        <v>3147</v>
      </c>
      <c r="B892" s="361" t="s">
        <v>2174</v>
      </c>
      <c r="C892" t="s">
        <v>1920</v>
      </c>
      <c r="D892" s="361">
        <v>16</v>
      </c>
      <c r="E892" s="364"/>
      <c r="F892" s="361" t="s">
        <v>1917</v>
      </c>
      <c r="T892" s="361">
        <v>7</v>
      </c>
    </row>
    <row r="893" spans="1:20" x14ac:dyDescent="0.25">
      <c r="A893" s="364" t="s">
        <v>386</v>
      </c>
      <c r="B893" s="361" t="s">
        <v>3148</v>
      </c>
      <c r="C893" t="s">
        <v>1920</v>
      </c>
      <c r="D893" s="361">
        <v>24</v>
      </c>
      <c r="E893" s="364"/>
      <c r="F893" s="361" t="s">
        <v>1921</v>
      </c>
      <c r="T893" s="361">
        <v>0.27936</v>
      </c>
    </row>
    <row r="894" spans="1:20" x14ac:dyDescent="0.25">
      <c r="A894" s="364" t="s">
        <v>3149</v>
      </c>
      <c r="B894" s="361" t="s">
        <v>3150</v>
      </c>
      <c r="C894" t="s">
        <v>1920</v>
      </c>
      <c r="D894" s="361">
        <v>24</v>
      </c>
      <c r="E894" s="364"/>
      <c r="F894" s="361" t="s">
        <v>1921</v>
      </c>
      <c r="T894" s="361">
        <v>0.2646</v>
      </c>
    </row>
    <row r="895" spans="1:20" x14ac:dyDescent="0.25">
      <c r="A895" s="364" t="s">
        <v>3151</v>
      </c>
      <c r="B895" s="361" t="s">
        <v>3152</v>
      </c>
      <c r="C895" t="s">
        <v>1920</v>
      </c>
      <c r="D895" s="361">
        <v>24</v>
      </c>
      <c r="E895" s="364"/>
      <c r="F895" s="361" t="s">
        <v>1921</v>
      </c>
      <c r="T895" s="361">
        <v>0.17082</v>
      </c>
    </row>
    <row r="896" spans="1:20" x14ac:dyDescent="0.25">
      <c r="A896" s="364" t="s">
        <v>391</v>
      </c>
      <c r="B896" s="361" t="s">
        <v>3153</v>
      </c>
      <c r="C896" t="s">
        <v>1920</v>
      </c>
      <c r="D896" s="361">
        <v>24</v>
      </c>
      <c r="E896" s="364"/>
      <c r="F896" s="361" t="s">
        <v>1921</v>
      </c>
      <c r="T896" s="361">
        <v>0.16023999999999999</v>
      </c>
    </row>
    <row r="897" spans="1:20" x14ac:dyDescent="0.25">
      <c r="A897" s="364" t="s">
        <v>3154</v>
      </c>
      <c r="B897" s="361" t="s">
        <v>3155</v>
      </c>
      <c r="C897" t="s">
        <v>1920</v>
      </c>
      <c r="D897" s="361">
        <v>41</v>
      </c>
      <c r="E897" s="364"/>
      <c r="F897" s="361" t="s">
        <v>1921</v>
      </c>
      <c r="T897" s="361">
        <v>0.27989999999999998</v>
      </c>
    </row>
    <row r="898" spans="1:20" x14ac:dyDescent="0.25">
      <c r="A898" s="364" t="s">
        <v>3156</v>
      </c>
      <c r="B898" s="361" t="s">
        <v>3157</v>
      </c>
      <c r="C898" t="s">
        <v>1920</v>
      </c>
      <c r="D898" s="361">
        <v>41</v>
      </c>
      <c r="E898" s="364"/>
      <c r="F898" s="361" t="s">
        <v>1921</v>
      </c>
      <c r="T898" s="361">
        <v>0.42109999999999997</v>
      </c>
    </row>
    <row r="899" spans="1:20" x14ac:dyDescent="0.25">
      <c r="A899" s="364" t="s">
        <v>3158</v>
      </c>
      <c r="B899" s="361" t="s">
        <v>3159</v>
      </c>
      <c r="C899" t="s">
        <v>1920</v>
      </c>
      <c r="D899" s="361">
        <v>19</v>
      </c>
      <c r="E899" s="364"/>
      <c r="F899" s="361" t="s">
        <v>1917</v>
      </c>
      <c r="T899" s="361">
        <v>26.8</v>
      </c>
    </row>
    <row r="900" spans="1:20" x14ac:dyDescent="0.25">
      <c r="A900" s="364" t="s">
        <v>3160</v>
      </c>
      <c r="B900" s="361" t="s">
        <v>3161</v>
      </c>
      <c r="C900" t="s">
        <v>2419</v>
      </c>
      <c r="D900" s="361">
        <v>4</v>
      </c>
      <c r="E900" s="364"/>
      <c r="F900" s="361" t="s">
        <v>2201</v>
      </c>
      <c r="T900" s="361">
        <v>43</v>
      </c>
    </row>
    <row r="901" spans="1:20" x14ac:dyDescent="0.25">
      <c r="A901" s="364" t="s">
        <v>3162</v>
      </c>
      <c r="B901" s="361" t="s">
        <v>3163</v>
      </c>
      <c r="C901" t="s">
        <v>1920</v>
      </c>
      <c r="D901" s="361">
        <v>16</v>
      </c>
      <c r="E901" s="364"/>
      <c r="F901" s="361" t="s">
        <v>1917</v>
      </c>
      <c r="T901" s="361">
        <v>11.2</v>
      </c>
    </row>
    <row r="902" spans="1:20" x14ac:dyDescent="0.25">
      <c r="A902" s="364" t="s">
        <v>3164</v>
      </c>
      <c r="B902" s="361" t="s">
        <v>3165</v>
      </c>
      <c r="C902" t="s">
        <v>1920</v>
      </c>
      <c r="D902" s="361">
        <v>19</v>
      </c>
      <c r="E902" s="364"/>
      <c r="F902" s="361" t="s">
        <v>1917</v>
      </c>
      <c r="T902" s="361">
        <v>29.6</v>
      </c>
    </row>
    <row r="903" spans="1:20" x14ac:dyDescent="0.25">
      <c r="A903" s="364" t="s">
        <v>3166</v>
      </c>
      <c r="B903" s="361" t="s">
        <v>3167</v>
      </c>
      <c r="C903" t="s">
        <v>1920</v>
      </c>
      <c r="D903" s="361">
        <v>24</v>
      </c>
      <c r="E903" s="364"/>
      <c r="F903" s="361" t="s">
        <v>2201</v>
      </c>
      <c r="T903" s="361">
        <v>66.998199999999997</v>
      </c>
    </row>
    <row r="904" spans="1:20" x14ac:dyDescent="0.25">
      <c r="A904" s="364" t="s">
        <v>3168</v>
      </c>
      <c r="B904" s="361" t="s">
        <v>3169</v>
      </c>
      <c r="C904">
        <v>2</v>
      </c>
      <c r="D904" s="361">
        <v>97</v>
      </c>
      <c r="E904" s="364"/>
      <c r="F904" s="361" t="s">
        <v>1921</v>
      </c>
      <c r="T904" s="361">
        <v>84.5</v>
      </c>
    </row>
    <row r="905" spans="1:20" x14ac:dyDescent="0.25">
      <c r="A905" s="364" t="s">
        <v>3170</v>
      </c>
      <c r="B905" s="361" t="s">
        <v>3171</v>
      </c>
      <c r="C905">
        <v>2</v>
      </c>
      <c r="D905" s="361">
        <v>97</v>
      </c>
      <c r="E905" s="364"/>
      <c r="F905" s="361" t="s">
        <v>1921</v>
      </c>
      <c r="T905" s="361">
        <v>88.67</v>
      </c>
    </row>
    <row r="906" spans="1:20" x14ac:dyDescent="0.25">
      <c r="A906" s="364" t="s">
        <v>3172</v>
      </c>
      <c r="B906" s="361" t="s">
        <v>3173</v>
      </c>
      <c r="C906" t="s">
        <v>1920</v>
      </c>
      <c r="D906" s="361">
        <v>19</v>
      </c>
      <c r="E906" s="364"/>
      <c r="F906" s="361" t="s">
        <v>1917</v>
      </c>
      <c r="T906" s="361">
        <v>33.18</v>
      </c>
    </row>
    <row r="907" spans="1:20" x14ac:dyDescent="0.25">
      <c r="A907" s="364" t="s">
        <v>3174</v>
      </c>
      <c r="B907" s="361" t="s">
        <v>3175</v>
      </c>
      <c r="C907" t="s">
        <v>1920</v>
      </c>
      <c r="D907" s="361">
        <v>19</v>
      </c>
      <c r="E907" s="364"/>
      <c r="F907" s="361" t="s">
        <v>1917</v>
      </c>
      <c r="T907" s="361">
        <v>33.18</v>
      </c>
    </row>
    <row r="908" spans="1:20" x14ac:dyDescent="0.25">
      <c r="A908" s="364" t="s">
        <v>3176</v>
      </c>
      <c r="B908" s="361" t="s">
        <v>3177</v>
      </c>
      <c r="C908">
        <v>2</v>
      </c>
      <c r="D908" s="361">
        <v>96</v>
      </c>
      <c r="E908" s="364"/>
      <c r="F908" s="361" t="s">
        <v>1921</v>
      </c>
      <c r="T908" s="361">
        <v>15</v>
      </c>
    </row>
    <row r="909" spans="1:20" x14ac:dyDescent="0.25">
      <c r="A909" s="364" t="s">
        <v>3178</v>
      </c>
      <c r="B909" s="361" t="s">
        <v>3179</v>
      </c>
      <c r="C909">
        <v>2</v>
      </c>
      <c r="D909" s="361">
        <v>97</v>
      </c>
      <c r="E909" s="364"/>
      <c r="F909" s="361" t="s">
        <v>1921</v>
      </c>
      <c r="T909" s="361">
        <v>80.5</v>
      </c>
    </row>
    <row r="910" spans="1:20" x14ac:dyDescent="0.25">
      <c r="A910" s="364" t="s">
        <v>3180</v>
      </c>
      <c r="B910" s="361" t="s">
        <v>3181</v>
      </c>
      <c r="C910">
        <v>2</v>
      </c>
      <c r="D910" s="361">
        <v>97</v>
      </c>
      <c r="E910" s="364"/>
      <c r="F910" s="361" t="s">
        <v>1921</v>
      </c>
      <c r="T910" s="361">
        <v>78</v>
      </c>
    </row>
    <row r="911" spans="1:20" x14ac:dyDescent="0.25">
      <c r="A911" s="364" t="s">
        <v>3182</v>
      </c>
      <c r="B911" s="361" t="s">
        <v>3183</v>
      </c>
      <c r="C911">
        <v>2</v>
      </c>
      <c r="D911" s="361">
        <v>97</v>
      </c>
      <c r="E911" s="364"/>
      <c r="F911" s="361" t="s">
        <v>1921</v>
      </c>
      <c r="T911" s="361">
        <v>14.8</v>
      </c>
    </row>
    <row r="912" spans="1:20" x14ac:dyDescent="0.25">
      <c r="A912" s="364" t="s">
        <v>3184</v>
      </c>
      <c r="B912" s="361" t="s">
        <v>2352</v>
      </c>
      <c r="C912">
        <v>2</v>
      </c>
      <c r="D912" s="361">
        <v>97</v>
      </c>
      <c r="E912" s="364"/>
      <c r="F912" s="361" t="s">
        <v>1921</v>
      </c>
      <c r="T912" s="361">
        <v>24.9</v>
      </c>
    </row>
    <row r="913" spans="1:20" x14ac:dyDescent="0.25">
      <c r="A913" s="364" t="s">
        <v>899</v>
      </c>
      <c r="B913" s="361" t="s">
        <v>900</v>
      </c>
      <c r="C913" t="s">
        <v>1922</v>
      </c>
      <c r="D913" s="361">
        <v>1</v>
      </c>
      <c r="E913" s="364"/>
      <c r="F913" s="361" t="s">
        <v>1921</v>
      </c>
      <c r="T913" s="361">
        <v>51</v>
      </c>
    </row>
    <row r="914" spans="1:20" x14ac:dyDescent="0.25">
      <c r="A914" s="364" t="s">
        <v>3185</v>
      </c>
      <c r="B914" s="361" t="s">
        <v>3186</v>
      </c>
      <c r="C914" t="s">
        <v>1920</v>
      </c>
      <c r="D914" s="361">
        <v>24</v>
      </c>
      <c r="E914" s="364"/>
      <c r="F914" s="361" t="s">
        <v>1921</v>
      </c>
      <c r="T914" s="361">
        <v>0.26600000000000001</v>
      </c>
    </row>
    <row r="915" spans="1:20" x14ac:dyDescent="0.25">
      <c r="A915" s="364" t="s">
        <v>3187</v>
      </c>
      <c r="B915" s="361" t="s">
        <v>3188</v>
      </c>
      <c r="C915">
        <v>2</v>
      </c>
      <c r="D915" s="361">
        <v>97</v>
      </c>
      <c r="E915" s="364"/>
      <c r="F915" s="361" t="s">
        <v>1917</v>
      </c>
      <c r="T915" s="361">
        <v>5.7</v>
      </c>
    </row>
    <row r="916" spans="1:20" x14ac:dyDescent="0.25">
      <c r="A916" s="364" t="s">
        <v>3189</v>
      </c>
      <c r="B916" s="361" t="s">
        <v>3190</v>
      </c>
      <c r="C916" t="s">
        <v>1920</v>
      </c>
      <c r="D916" s="361">
        <v>11</v>
      </c>
      <c r="E916" s="364"/>
      <c r="F916" s="361" t="s">
        <v>2201</v>
      </c>
      <c r="T916" s="361">
        <v>611</v>
      </c>
    </row>
    <row r="917" spans="1:20" x14ac:dyDescent="0.25">
      <c r="A917" s="364" t="s">
        <v>3191</v>
      </c>
      <c r="B917" s="361" t="s">
        <v>3192</v>
      </c>
      <c r="C917" t="s">
        <v>1920</v>
      </c>
      <c r="D917" s="361">
        <v>12</v>
      </c>
      <c r="E917" s="364"/>
      <c r="F917" s="361" t="s">
        <v>2201</v>
      </c>
      <c r="T917" s="361">
        <v>258.13</v>
      </c>
    </row>
    <row r="918" spans="1:20" x14ac:dyDescent="0.25">
      <c r="A918" s="364" t="s">
        <v>3193</v>
      </c>
      <c r="B918" s="361" t="s">
        <v>3194</v>
      </c>
      <c r="C918" t="s">
        <v>1920</v>
      </c>
      <c r="D918" s="361">
        <v>20</v>
      </c>
      <c r="E918" s="364"/>
      <c r="F918" s="361" t="s">
        <v>2201</v>
      </c>
      <c r="T918" s="361">
        <v>54.3</v>
      </c>
    </row>
    <row r="919" spans="1:20" x14ac:dyDescent="0.25">
      <c r="A919" s="364" t="s">
        <v>3195</v>
      </c>
      <c r="B919" s="361" t="s">
        <v>3196</v>
      </c>
      <c r="C919" t="s">
        <v>1920</v>
      </c>
      <c r="D919" s="361">
        <v>11</v>
      </c>
      <c r="E919" s="364"/>
      <c r="F919" s="361" t="s">
        <v>2201</v>
      </c>
      <c r="T919" s="361">
        <v>106.09</v>
      </c>
    </row>
    <row r="920" spans="1:20" x14ac:dyDescent="0.25">
      <c r="A920" s="364" t="s">
        <v>3197</v>
      </c>
      <c r="B920" s="361" t="s">
        <v>3198</v>
      </c>
      <c r="C920" t="s">
        <v>1920</v>
      </c>
      <c r="D920" s="361">
        <v>27</v>
      </c>
      <c r="E920" s="364"/>
      <c r="F920" s="361" t="s">
        <v>1921</v>
      </c>
      <c r="T920" s="361">
        <v>0.309</v>
      </c>
    </row>
    <row r="921" spans="1:20" x14ac:dyDescent="0.25">
      <c r="A921" s="364" t="s">
        <v>3199</v>
      </c>
      <c r="B921" s="361" t="s">
        <v>3200</v>
      </c>
      <c r="C921" t="s">
        <v>1920</v>
      </c>
      <c r="D921" s="361">
        <v>27</v>
      </c>
      <c r="E921" s="364"/>
      <c r="F921" s="361" t="s">
        <v>1921</v>
      </c>
      <c r="T921" s="361">
        <v>0.57699999999999996</v>
      </c>
    </row>
    <row r="922" spans="1:20" x14ac:dyDescent="0.25">
      <c r="A922" s="364" t="s">
        <v>3201</v>
      </c>
      <c r="B922" s="361" t="s">
        <v>2149</v>
      </c>
      <c r="C922" t="s">
        <v>1920</v>
      </c>
      <c r="D922" s="361">
        <v>45</v>
      </c>
      <c r="E922" s="364"/>
      <c r="F922" s="361" t="s">
        <v>1917</v>
      </c>
      <c r="T922" s="361">
        <v>23.32</v>
      </c>
    </row>
    <row r="923" spans="1:20" x14ac:dyDescent="0.25">
      <c r="A923" s="364" t="s">
        <v>3202</v>
      </c>
      <c r="B923" s="361" t="s">
        <v>3203</v>
      </c>
      <c r="C923" t="s">
        <v>1920</v>
      </c>
      <c r="D923" s="361">
        <v>45</v>
      </c>
      <c r="E923" s="364"/>
      <c r="F923" s="361" t="s">
        <v>1917</v>
      </c>
      <c r="T923" s="361">
        <v>23.32</v>
      </c>
    </row>
    <row r="924" spans="1:20" x14ac:dyDescent="0.25">
      <c r="A924" s="364" t="s">
        <v>3204</v>
      </c>
      <c r="B924" s="361" t="s">
        <v>3205</v>
      </c>
      <c r="C924" t="s">
        <v>1920</v>
      </c>
      <c r="D924" s="361">
        <v>54</v>
      </c>
      <c r="E924" s="364"/>
      <c r="F924" s="361" t="s">
        <v>1921</v>
      </c>
      <c r="T924" s="361">
        <v>0.4551</v>
      </c>
    </row>
    <row r="925" spans="1:20" x14ac:dyDescent="0.25">
      <c r="A925" s="364" t="s">
        <v>3206</v>
      </c>
      <c r="B925" s="361" t="s">
        <v>3207</v>
      </c>
      <c r="C925" t="s">
        <v>1920</v>
      </c>
      <c r="D925" s="361">
        <v>54</v>
      </c>
      <c r="E925" s="364"/>
      <c r="F925" s="361" t="s">
        <v>1921</v>
      </c>
      <c r="T925" s="361">
        <v>0.4551</v>
      </c>
    </row>
    <row r="926" spans="1:20" x14ac:dyDescent="0.25">
      <c r="A926" s="364" t="s">
        <v>3208</v>
      </c>
      <c r="B926" s="361" t="s">
        <v>3209</v>
      </c>
      <c r="C926" t="s">
        <v>1920</v>
      </c>
      <c r="D926" s="361">
        <v>20</v>
      </c>
      <c r="E926" s="364"/>
      <c r="F926" s="361" t="s">
        <v>1921</v>
      </c>
      <c r="T926" s="361">
        <v>3.1399999999999997E-2</v>
      </c>
    </row>
    <row r="927" spans="1:20" x14ac:dyDescent="0.25">
      <c r="A927" s="364" t="s">
        <v>3210</v>
      </c>
      <c r="B927" s="361" t="s">
        <v>3211</v>
      </c>
      <c r="C927" t="s">
        <v>1920</v>
      </c>
      <c r="D927" s="361">
        <v>24</v>
      </c>
      <c r="E927" s="364"/>
      <c r="F927" s="361" t="s">
        <v>2201</v>
      </c>
      <c r="T927" s="361">
        <v>379.36419999999998</v>
      </c>
    </row>
    <row r="928" spans="1:20" x14ac:dyDescent="0.25">
      <c r="A928" s="364" t="s">
        <v>3212</v>
      </c>
      <c r="B928" s="361" t="s">
        <v>3213</v>
      </c>
      <c r="C928" t="s">
        <v>1920</v>
      </c>
      <c r="D928" s="361">
        <v>16</v>
      </c>
      <c r="E928" s="364"/>
      <c r="F928" s="361" t="s">
        <v>1917</v>
      </c>
      <c r="T928" s="361">
        <v>4.3</v>
      </c>
    </row>
    <row r="929" spans="1:20" x14ac:dyDescent="0.25">
      <c r="A929" s="364" t="s">
        <v>3214</v>
      </c>
      <c r="B929" s="361" t="s">
        <v>3215</v>
      </c>
      <c r="C929" t="s">
        <v>1920</v>
      </c>
      <c r="D929" s="361">
        <v>20</v>
      </c>
      <c r="E929" s="364"/>
      <c r="F929" s="361" t="s">
        <v>1921</v>
      </c>
      <c r="T929" s="361">
        <v>3.1899999999999998E-2</v>
      </c>
    </row>
    <row r="930" spans="1:20" x14ac:dyDescent="0.25">
      <c r="A930" s="364" t="s">
        <v>901</v>
      </c>
      <c r="B930" s="361" t="s">
        <v>902</v>
      </c>
      <c r="C930" t="s">
        <v>1922</v>
      </c>
      <c r="D930" s="361">
        <v>5</v>
      </c>
      <c r="E930" s="364"/>
      <c r="F930" s="361" t="s">
        <v>1917</v>
      </c>
      <c r="T930" s="361">
        <v>31.2</v>
      </c>
    </row>
    <row r="931" spans="1:20" x14ac:dyDescent="0.25">
      <c r="A931" s="364" t="s">
        <v>3216</v>
      </c>
      <c r="B931" s="361" t="s">
        <v>3217</v>
      </c>
      <c r="C931" t="s">
        <v>1920</v>
      </c>
      <c r="D931" s="361">
        <v>24</v>
      </c>
      <c r="E931" s="364"/>
      <c r="F931" s="361" t="s">
        <v>2201</v>
      </c>
      <c r="T931" s="361">
        <v>67.5</v>
      </c>
    </row>
    <row r="932" spans="1:20" x14ac:dyDescent="0.25">
      <c r="A932" s="364" t="s">
        <v>163</v>
      </c>
      <c r="B932" s="361" t="s">
        <v>903</v>
      </c>
      <c r="C932" t="s">
        <v>1916</v>
      </c>
      <c r="D932" s="361">
        <v>2</v>
      </c>
      <c r="E932" s="364"/>
      <c r="F932" s="361" t="s">
        <v>1917</v>
      </c>
      <c r="T932" s="361">
        <v>21.92</v>
      </c>
    </row>
    <row r="933" spans="1:20" x14ac:dyDescent="0.25">
      <c r="A933" s="364" t="s">
        <v>3218</v>
      </c>
      <c r="B933" s="361" t="s">
        <v>3219</v>
      </c>
      <c r="C933" t="s">
        <v>1920</v>
      </c>
      <c r="D933" s="361">
        <v>91</v>
      </c>
      <c r="E933" s="364"/>
      <c r="F933" s="361" t="s">
        <v>2201</v>
      </c>
      <c r="T933" s="361">
        <v>76.067880000000002</v>
      </c>
    </row>
    <row r="934" spans="1:20" x14ac:dyDescent="0.25">
      <c r="A934" s="364" t="s">
        <v>3220</v>
      </c>
      <c r="B934" s="361" t="s">
        <v>3221</v>
      </c>
      <c r="C934">
        <v>2</v>
      </c>
      <c r="D934" s="361">
        <v>97</v>
      </c>
      <c r="E934" s="364"/>
      <c r="F934" s="361" t="s">
        <v>1921</v>
      </c>
      <c r="T934" s="361">
        <v>33.799999999999997</v>
      </c>
    </row>
    <row r="935" spans="1:20" x14ac:dyDescent="0.25">
      <c r="A935" s="364" t="s">
        <v>3222</v>
      </c>
      <c r="B935" s="361" t="s">
        <v>3223</v>
      </c>
      <c r="C935">
        <v>2</v>
      </c>
      <c r="D935" s="361">
        <v>97</v>
      </c>
      <c r="E935" s="364"/>
      <c r="F935" s="361" t="s">
        <v>1921</v>
      </c>
      <c r="T935" s="361">
        <v>89.32</v>
      </c>
    </row>
    <row r="936" spans="1:20" x14ac:dyDescent="0.25">
      <c r="A936" s="364" t="s">
        <v>904</v>
      </c>
      <c r="B936" s="361" t="s">
        <v>905</v>
      </c>
      <c r="C936" t="s">
        <v>1922</v>
      </c>
      <c r="D936" s="361">
        <v>1</v>
      </c>
      <c r="E936" s="364"/>
      <c r="F936" s="361" t="s">
        <v>2638</v>
      </c>
      <c r="T936" s="361">
        <v>6.86</v>
      </c>
    </row>
    <row r="937" spans="1:20" x14ac:dyDescent="0.25">
      <c r="A937" s="364" t="s">
        <v>906</v>
      </c>
      <c r="B937" s="361" t="s">
        <v>907</v>
      </c>
      <c r="C937" t="s">
        <v>1922</v>
      </c>
      <c r="D937" s="361">
        <v>1</v>
      </c>
      <c r="E937" s="364"/>
      <c r="F937" s="361" t="s">
        <v>2201</v>
      </c>
      <c r="T937" s="361">
        <v>19</v>
      </c>
    </row>
    <row r="938" spans="1:20" x14ac:dyDescent="0.25">
      <c r="A938" s="364" t="s">
        <v>3224</v>
      </c>
      <c r="B938" s="361" t="s">
        <v>3225</v>
      </c>
      <c r="C938" t="s">
        <v>1920</v>
      </c>
      <c r="D938" s="361">
        <v>27</v>
      </c>
      <c r="E938" s="364"/>
      <c r="F938" s="361" t="s">
        <v>1921</v>
      </c>
      <c r="T938" s="361">
        <v>0.88200000000000001</v>
      </c>
    </row>
    <row r="939" spans="1:20" x14ac:dyDescent="0.25">
      <c r="A939" s="364" t="s">
        <v>3226</v>
      </c>
      <c r="B939" s="361" t="s">
        <v>3227</v>
      </c>
      <c r="C939" t="s">
        <v>1920</v>
      </c>
      <c r="D939" s="361">
        <v>24</v>
      </c>
      <c r="E939" s="364"/>
      <c r="F939" s="361" t="s">
        <v>2201</v>
      </c>
      <c r="T939" s="361">
        <v>311.09809999999999</v>
      </c>
    </row>
    <row r="940" spans="1:20" x14ac:dyDescent="0.25">
      <c r="A940" s="364" t="s">
        <v>3228</v>
      </c>
      <c r="B940" s="361" t="s">
        <v>3229</v>
      </c>
      <c r="C940">
        <v>2</v>
      </c>
      <c r="D940" s="361">
        <v>97</v>
      </c>
      <c r="E940" s="364"/>
      <c r="F940" s="361" t="s">
        <v>1921</v>
      </c>
      <c r="T940" s="361">
        <v>536.46</v>
      </c>
    </row>
    <row r="941" spans="1:20" x14ac:dyDescent="0.25">
      <c r="A941" s="364" t="s">
        <v>3230</v>
      </c>
      <c r="B941" s="361" t="s">
        <v>3231</v>
      </c>
      <c r="C941">
        <v>2</v>
      </c>
      <c r="D941" s="361">
        <v>97</v>
      </c>
      <c r="E941" s="364"/>
      <c r="F941" s="361" t="s">
        <v>1921</v>
      </c>
      <c r="T941" s="361">
        <v>442</v>
      </c>
    </row>
    <row r="942" spans="1:20" x14ac:dyDescent="0.25">
      <c r="A942" s="364" t="s">
        <v>3232</v>
      </c>
      <c r="B942" s="361" t="s">
        <v>3233</v>
      </c>
      <c r="C942">
        <v>2</v>
      </c>
      <c r="D942" s="361">
        <v>97</v>
      </c>
      <c r="E942" s="364"/>
      <c r="F942" s="361" t="s">
        <v>1921</v>
      </c>
      <c r="T942" s="361">
        <v>319.95999999999998</v>
      </c>
    </row>
    <row r="943" spans="1:20" x14ac:dyDescent="0.25">
      <c r="A943" s="364" t="s">
        <v>3234</v>
      </c>
      <c r="B943" s="361" t="s">
        <v>3235</v>
      </c>
      <c r="C943">
        <v>2</v>
      </c>
      <c r="D943" s="361">
        <v>97</v>
      </c>
      <c r="E943" s="364"/>
      <c r="F943" s="361" t="s">
        <v>1921</v>
      </c>
      <c r="T943" s="361">
        <v>97</v>
      </c>
    </row>
    <row r="944" spans="1:20" x14ac:dyDescent="0.25">
      <c r="A944" s="364" t="s">
        <v>3236</v>
      </c>
      <c r="B944" s="361" t="s">
        <v>3237</v>
      </c>
      <c r="C944" t="s">
        <v>1920</v>
      </c>
      <c r="D944" s="361">
        <v>24</v>
      </c>
      <c r="E944" s="364"/>
      <c r="F944" s="361" t="s">
        <v>2201</v>
      </c>
      <c r="T944" s="361">
        <v>138.48249999999999</v>
      </c>
    </row>
    <row r="945" spans="1:20" x14ac:dyDescent="0.25">
      <c r="A945" s="364" t="s">
        <v>3238</v>
      </c>
      <c r="B945" s="361" t="s">
        <v>3239</v>
      </c>
      <c r="C945" t="s">
        <v>1920</v>
      </c>
      <c r="D945" s="361">
        <v>22</v>
      </c>
      <c r="E945" s="364"/>
      <c r="F945" s="361" t="s">
        <v>1921</v>
      </c>
      <c r="T945" s="361">
        <v>525.88</v>
      </c>
    </row>
    <row r="946" spans="1:20" x14ac:dyDescent="0.25">
      <c r="A946" s="364" t="s">
        <v>3240</v>
      </c>
      <c r="B946" s="361" t="s">
        <v>3241</v>
      </c>
      <c r="C946">
        <v>2</v>
      </c>
      <c r="D946" s="361">
        <v>97</v>
      </c>
      <c r="E946" s="364"/>
      <c r="F946" s="361" t="s">
        <v>3242</v>
      </c>
      <c r="T946" s="361">
        <v>1.4</v>
      </c>
    </row>
    <row r="947" spans="1:20" x14ac:dyDescent="0.25">
      <c r="A947" s="364" t="s">
        <v>908</v>
      </c>
      <c r="B947" s="361" t="s">
        <v>909</v>
      </c>
      <c r="C947" t="s">
        <v>1922</v>
      </c>
      <c r="D947" s="361">
        <v>5</v>
      </c>
      <c r="E947" s="364"/>
      <c r="F947" s="361" t="s">
        <v>1917</v>
      </c>
      <c r="T947" s="361">
        <v>105.5</v>
      </c>
    </row>
    <row r="948" spans="1:20" x14ac:dyDescent="0.25">
      <c r="A948" s="364" t="s">
        <v>3243</v>
      </c>
      <c r="B948" s="361" t="s">
        <v>3244</v>
      </c>
      <c r="C948">
        <v>2</v>
      </c>
      <c r="D948" s="361">
        <v>97</v>
      </c>
      <c r="E948" s="364"/>
      <c r="F948" s="361" t="s">
        <v>3242</v>
      </c>
      <c r="T948" s="361">
        <v>3.7</v>
      </c>
    </row>
    <row r="949" spans="1:20" x14ac:dyDescent="0.25">
      <c r="A949" s="364" t="s">
        <v>3245</v>
      </c>
      <c r="B949" s="361" t="s">
        <v>3246</v>
      </c>
      <c r="C949">
        <v>2</v>
      </c>
      <c r="D949" s="361">
        <v>97</v>
      </c>
      <c r="E949" s="364"/>
      <c r="F949" s="361" t="s">
        <v>3242</v>
      </c>
      <c r="T949" s="361">
        <v>3.8</v>
      </c>
    </row>
    <row r="950" spans="1:20" x14ac:dyDescent="0.25">
      <c r="A950" s="364" t="s">
        <v>3247</v>
      </c>
      <c r="B950" s="361" t="s">
        <v>3248</v>
      </c>
      <c r="C950">
        <v>2</v>
      </c>
      <c r="D950" s="361">
        <v>97</v>
      </c>
      <c r="E950" s="364"/>
      <c r="F950" s="361" t="s">
        <v>3242</v>
      </c>
      <c r="T950" s="361">
        <v>10</v>
      </c>
    </row>
    <row r="951" spans="1:20" x14ac:dyDescent="0.25">
      <c r="A951" s="364" t="s">
        <v>3249</v>
      </c>
      <c r="B951" s="361" t="s">
        <v>3250</v>
      </c>
      <c r="C951">
        <v>2</v>
      </c>
      <c r="D951" s="361">
        <v>97</v>
      </c>
      <c r="E951" s="364"/>
      <c r="F951" s="361" t="s">
        <v>1921</v>
      </c>
      <c r="T951" s="361">
        <v>692</v>
      </c>
    </row>
    <row r="952" spans="1:20" x14ac:dyDescent="0.25">
      <c r="A952" s="364" t="s">
        <v>3251</v>
      </c>
      <c r="B952" s="361" t="s">
        <v>3252</v>
      </c>
      <c r="C952">
        <v>2</v>
      </c>
      <c r="D952" s="361">
        <v>33</v>
      </c>
      <c r="E952" s="364"/>
      <c r="F952" s="361" t="s">
        <v>1921</v>
      </c>
      <c r="T952" s="361">
        <v>142</v>
      </c>
    </row>
    <row r="953" spans="1:20" x14ac:dyDescent="0.25">
      <c r="A953" s="364" t="s">
        <v>3253</v>
      </c>
      <c r="B953" s="361" t="s">
        <v>3254</v>
      </c>
      <c r="C953">
        <v>2</v>
      </c>
      <c r="D953" s="361">
        <v>33</v>
      </c>
      <c r="E953" s="364"/>
      <c r="F953" s="361" t="s">
        <v>1921</v>
      </c>
      <c r="T953" s="361">
        <v>144.5</v>
      </c>
    </row>
    <row r="954" spans="1:20" x14ac:dyDescent="0.25">
      <c r="A954" s="364" t="s">
        <v>3255</v>
      </c>
      <c r="B954" s="361" t="s">
        <v>3256</v>
      </c>
      <c r="C954">
        <v>2</v>
      </c>
      <c r="D954" s="361">
        <v>33</v>
      </c>
      <c r="E954" s="364"/>
      <c r="F954" s="361" t="s">
        <v>1921</v>
      </c>
      <c r="T954" s="361">
        <v>167.64</v>
      </c>
    </row>
    <row r="955" spans="1:20" x14ac:dyDescent="0.25">
      <c r="A955" s="364" t="s">
        <v>3257</v>
      </c>
      <c r="B955" s="361" t="s">
        <v>3258</v>
      </c>
      <c r="C955" t="s">
        <v>1920</v>
      </c>
      <c r="D955" s="361">
        <v>95</v>
      </c>
      <c r="E955" s="364"/>
      <c r="F955" s="361" t="s">
        <v>1921</v>
      </c>
      <c r="T955" s="361">
        <v>6.8699999999999997E-2</v>
      </c>
    </row>
    <row r="956" spans="1:20" x14ac:dyDescent="0.25">
      <c r="A956" s="364" t="s">
        <v>3259</v>
      </c>
      <c r="B956" s="361" t="s">
        <v>3260</v>
      </c>
      <c r="C956" t="s">
        <v>1920</v>
      </c>
      <c r="D956" s="361">
        <v>95</v>
      </c>
      <c r="E956" s="364"/>
      <c r="F956" s="361" t="s">
        <v>1921</v>
      </c>
      <c r="T956" s="361">
        <v>6.8699999999999997E-2</v>
      </c>
    </row>
    <row r="957" spans="1:20" x14ac:dyDescent="0.25">
      <c r="A957" s="364" t="s">
        <v>3261</v>
      </c>
      <c r="B957" s="361" t="s">
        <v>3262</v>
      </c>
      <c r="C957" t="s">
        <v>1920</v>
      </c>
      <c r="D957" s="361">
        <v>95</v>
      </c>
      <c r="E957" s="364"/>
      <c r="F957" s="361" t="s">
        <v>1921</v>
      </c>
      <c r="T957" s="361">
        <v>3.95E-2</v>
      </c>
    </row>
    <row r="958" spans="1:20" x14ac:dyDescent="0.25">
      <c r="A958" s="364" t="s">
        <v>3263</v>
      </c>
      <c r="B958" s="361" t="s">
        <v>3264</v>
      </c>
      <c r="C958" t="s">
        <v>2095</v>
      </c>
      <c r="D958" s="361">
        <v>95</v>
      </c>
      <c r="E958" s="364"/>
      <c r="F958" s="361" t="s">
        <v>1921</v>
      </c>
      <c r="T958" s="361">
        <v>1.0000000000000001E-5</v>
      </c>
    </row>
    <row r="959" spans="1:20" x14ac:dyDescent="0.25">
      <c r="A959" s="364" t="s">
        <v>3265</v>
      </c>
      <c r="B959" s="361" t="s">
        <v>3266</v>
      </c>
      <c r="C959" t="s">
        <v>2095</v>
      </c>
      <c r="D959" s="361">
        <v>95</v>
      </c>
      <c r="E959" s="364"/>
      <c r="F959" s="361" t="s">
        <v>1921</v>
      </c>
      <c r="T959" s="361">
        <v>1.0000000000000001E-5</v>
      </c>
    </row>
    <row r="960" spans="1:20" x14ac:dyDescent="0.25">
      <c r="A960" s="364" t="s">
        <v>153</v>
      </c>
      <c r="B960" s="361" t="s">
        <v>910</v>
      </c>
      <c r="C960" t="s">
        <v>1916</v>
      </c>
      <c r="D960" s="361">
        <v>2</v>
      </c>
      <c r="E960" s="364"/>
      <c r="F960" s="361" t="s">
        <v>1917</v>
      </c>
      <c r="T960" s="361">
        <v>117.31</v>
      </c>
    </row>
    <row r="961" spans="1:20" x14ac:dyDescent="0.25">
      <c r="A961" s="364" t="s">
        <v>911</v>
      </c>
      <c r="B961" s="361" t="s">
        <v>912</v>
      </c>
      <c r="C961" t="s">
        <v>1916</v>
      </c>
      <c r="D961" s="361">
        <v>2</v>
      </c>
      <c r="E961" s="364"/>
      <c r="F961" s="361" t="s">
        <v>1917</v>
      </c>
      <c r="T961" s="361">
        <v>216.25</v>
      </c>
    </row>
    <row r="962" spans="1:20" x14ac:dyDescent="0.25">
      <c r="A962" s="364" t="s">
        <v>913</v>
      </c>
      <c r="B962" s="361" t="s">
        <v>914</v>
      </c>
      <c r="C962" t="s">
        <v>1922</v>
      </c>
      <c r="D962" s="361">
        <v>97</v>
      </c>
      <c r="E962" s="364"/>
      <c r="F962" s="361" t="s">
        <v>1921</v>
      </c>
      <c r="T962" s="361">
        <v>1752.27</v>
      </c>
    </row>
    <row r="963" spans="1:20" x14ac:dyDescent="0.25">
      <c r="A963" s="364" t="s">
        <v>915</v>
      </c>
      <c r="B963" s="361" t="s">
        <v>916</v>
      </c>
      <c r="C963" t="s">
        <v>1922</v>
      </c>
      <c r="D963" s="361">
        <v>1</v>
      </c>
      <c r="E963" s="364"/>
      <c r="F963" s="361" t="s">
        <v>1917</v>
      </c>
      <c r="T963" s="361">
        <v>19.715</v>
      </c>
    </row>
    <row r="964" spans="1:20" x14ac:dyDescent="0.25">
      <c r="A964" s="364" t="s">
        <v>3267</v>
      </c>
      <c r="B964" s="361" t="s">
        <v>3268</v>
      </c>
      <c r="C964" t="s">
        <v>1920</v>
      </c>
      <c r="D964" s="361">
        <v>54</v>
      </c>
      <c r="E964" s="364"/>
      <c r="F964" s="361" t="s">
        <v>1921</v>
      </c>
      <c r="T964" s="361">
        <v>7.3999999999999996E-2</v>
      </c>
    </row>
    <row r="965" spans="1:20" x14ac:dyDescent="0.25">
      <c r="A965" s="364" t="s">
        <v>3269</v>
      </c>
      <c r="B965" s="361" t="s">
        <v>3270</v>
      </c>
      <c r="C965" t="s">
        <v>1920</v>
      </c>
      <c r="D965" s="361">
        <v>54</v>
      </c>
      <c r="E965" s="364"/>
      <c r="F965" s="361" t="s">
        <v>1921</v>
      </c>
      <c r="T965" s="361">
        <v>7.3999999999999996E-2</v>
      </c>
    </row>
    <row r="966" spans="1:20" x14ac:dyDescent="0.25">
      <c r="A966" s="364" t="s">
        <v>3271</v>
      </c>
      <c r="B966" s="361" t="s">
        <v>3272</v>
      </c>
      <c r="C966">
        <v>2</v>
      </c>
      <c r="D966" s="361">
        <v>97</v>
      </c>
      <c r="E966" s="364"/>
      <c r="F966" s="361" t="s">
        <v>1921</v>
      </c>
      <c r="T966" s="361">
        <v>295.01</v>
      </c>
    </row>
    <row r="967" spans="1:20" x14ac:dyDescent="0.25">
      <c r="A967" s="364" t="s">
        <v>372</v>
      </c>
      <c r="B967" s="361" t="s">
        <v>2806</v>
      </c>
      <c r="C967" t="s">
        <v>1920</v>
      </c>
      <c r="D967" s="361">
        <v>16</v>
      </c>
      <c r="E967" s="364"/>
      <c r="F967" s="361" t="s">
        <v>1917</v>
      </c>
      <c r="T967" s="361">
        <v>7.5</v>
      </c>
    </row>
    <row r="968" spans="1:20" x14ac:dyDescent="0.25">
      <c r="A968" s="364" t="s">
        <v>464</v>
      </c>
      <c r="B968" s="361" t="s">
        <v>3273</v>
      </c>
      <c r="C968" t="s">
        <v>1920</v>
      </c>
      <c r="D968" s="361">
        <v>27</v>
      </c>
      <c r="E968" s="364"/>
      <c r="F968" s="361" t="s">
        <v>1921</v>
      </c>
      <c r="T968" s="361">
        <v>1.165</v>
      </c>
    </row>
    <row r="969" spans="1:20" x14ac:dyDescent="0.25">
      <c r="A969" s="364" t="s">
        <v>462</v>
      </c>
      <c r="B969" s="361" t="s">
        <v>3274</v>
      </c>
      <c r="C969" t="s">
        <v>1920</v>
      </c>
      <c r="D969" s="361">
        <v>27</v>
      </c>
      <c r="E969" s="364"/>
      <c r="F969" s="361" t="s">
        <v>1921</v>
      </c>
      <c r="T969" s="361">
        <v>1.0349999999999999</v>
      </c>
    </row>
    <row r="970" spans="1:20" x14ac:dyDescent="0.25">
      <c r="A970" s="364" t="s">
        <v>3275</v>
      </c>
      <c r="B970" s="361" t="s">
        <v>3276</v>
      </c>
      <c r="C970" t="s">
        <v>1920</v>
      </c>
      <c r="D970" s="361">
        <v>56</v>
      </c>
      <c r="E970" s="364"/>
      <c r="F970" s="361" t="s">
        <v>1921</v>
      </c>
      <c r="T970" s="361">
        <v>0.99099999999999999</v>
      </c>
    </row>
    <row r="971" spans="1:20" x14ac:dyDescent="0.25">
      <c r="A971" s="364" t="s">
        <v>3277</v>
      </c>
      <c r="B971" s="361" t="s">
        <v>3278</v>
      </c>
      <c r="C971" t="s">
        <v>1920</v>
      </c>
      <c r="D971" s="361">
        <v>56</v>
      </c>
      <c r="E971" s="364"/>
      <c r="F971" s="361" t="s">
        <v>1921</v>
      </c>
      <c r="T971" s="361">
        <v>1.0189999999999999</v>
      </c>
    </row>
    <row r="972" spans="1:20" x14ac:dyDescent="0.25">
      <c r="A972" s="364" t="s">
        <v>3279</v>
      </c>
      <c r="B972" s="361" t="s">
        <v>3280</v>
      </c>
      <c r="C972" t="s">
        <v>1920</v>
      </c>
      <c r="D972" s="361">
        <v>56</v>
      </c>
      <c r="E972" s="364"/>
      <c r="F972" s="361" t="s">
        <v>1921</v>
      </c>
      <c r="T972" s="361">
        <v>1.2110000000000001</v>
      </c>
    </row>
    <row r="973" spans="1:20" x14ac:dyDescent="0.25">
      <c r="A973" s="364" t="s">
        <v>3281</v>
      </c>
      <c r="B973" s="361" t="s">
        <v>3282</v>
      </c>
      <c r="C973" t="s">
        <v>1920</v>
      </c>
      <c r="D973" s="361">
        <v>56</v>
      </c>
      <c r="E973" s="364"/>
      <c r="F973" s="361" t="s">
        <v>1921</v>
      </c>
      <c r="T973" s="361">
        <v>1.2110000000000001</v>
      </c>
    </row>
    <row r="974" spans="1:20" x14ac:dyDescent="0.25">
      <c r="A974" s="364" t="s">
        <v>3283</v>
      </c>
      <c r="B974" s="361" t="s">
        <v>3284</v>
      </c>
      <c r="C974" t="s">
        <v>1920</v>
      </c>
      <c r="D974" s="361">
        <v>56</v>
      </c>
      <c r="E974" s="364"/>
      <c r="F974" s="361" t="s">
        <v>1921</v>
      </c>
      <c r="T974" s="361">
        <v>0.497</v>
      </c>
    </row>
    <row r="975" spans="1:20" x14ac:dyDescent="0.25">
      <c r="A975" s="364" t="s">
        <v>3285</v>
      </c>
      <c r="B975" s="361" t="s">
        <v>3286</v>
      </c>
      <c r="C975" t="s">
        <v>1920</v>
      </c>
      <c r="D975" s="361">
        <v>56</v>
      </c>
      <c r="E975" s="364"/>
      <c r="F975" s="361" t="s">
        <v>1921</v>
      </c>
      <c r="T975" s="361">
        <v>0.373</v>
      </c>
    </row>
    <row r="976" spans="1:20" x14ac:dyDescent="0.25">
      <c r="A976" s="364" t="s">
        <v>3287</v>
      </c>
      <c r="B976" s="361" t="s">
        <v>3288</v>
      </c>
      <c r="C976" t="s">
        <v>2419</v>
      </c>
      <c r="D976" s="361">
        <v>4</v>
      </c>
      <c r="E976" s="364"/>
      <c r="F976" s="361" t="s">
        <v>2201</v>
      </c>
      <c r="T976" s="361">
        <v>847.04</v>
      </c>
    </row>
    <row r="977" spans="1:20" x14ac:dyDescent="0.25">
      <c r="A977" s="364" t="s">
        <v>3289</v>
      </c>
      <c r="B977" s="361" t="s">
        <v>3290</v>
      </c>
      <c r="C977" t="s">
        <v>2419</v>
      </c>
      <c r="D977" s="361">
        <v>4</v>
      </c>
      <c r="E977" s="364"/>
      <c r="F977" s="361" t="s">
        <v>2201</v>
      </c>
      <c r="T977" s="361">
        <v>723.63</v>
      </c>
    </row>
    <row r="978" spans="1:20" x14ac:dyDescent="0.25">
      <c r="A978" s="364" t="s">
        <v>377</v>
      </c>
      <c r="B978" s="361" t="s">
        <v>3291</v>
      </c>
      <c r="C978" t="s">
        <v>1920</v>
      </c>
      <c r="D978" s="361">
        <v>15</v>
      </c>
      <c r="E978" s="364"/>
      <c r="F978" s="361" t="s">
        <v>1917</v>
      </c>
      <c r="T978" s="361">
        <v>49.6</v>
      </c>
    </row>
    <row r="979" spans="1:20" x14ac:dyDescent="0.25">
      <c r="A979" s="364" t="s">
        <v>323</v>
      </c>
      <c r="B979" s="361" t="s">
        <v>917</v>
      </c>
      <c r="C979" t="s">
        <v>1916</v>
      </c>
      <c r="D979" s="361">
        <v>2</v>
      </c>
      <c r="E979" s="364"/>
      <c r="F979" s="361" t="s">
        <v>1917</v>
      </c>
      <c r="T979" s="361">
        <v>15000</v>
      </c>
    </row>
    <row r="980" spans="1:20" x14ac:dyDescent="0.25">
      <c r="A980" s="364" t="s">
        <v>3292</v>
      </c>
      <c r="B980" s="361" t="s">
        <v>3293</v>
      </c>
      <c r="C980" t="s">
        <v>1920</v>
      </c>
      <c r="D980" s="361">
        <v>15</v>
      </c>
      <c r="E980" s="364"/>
      <c r="F980" s="361" t="s">
        <v>1917</v>
      </c>
      <c r="T980" s="361">
        <v>39.4</v>
      </c>
    </row>
    <row r="981" spans="1:20" x14ac:dyDescent="0.25">
      <c r="A981" s="364" t="s">
        <v>3294</v>
      </c>
      <c r="B981" s="361" t="s">
        <v>3295</v>
      </c>
      <c r="C981" t="s">
        <v>1920</v>
      </c>
      <c r="D981" s="361">
        <v>15</v>
      </c>
      <c r="E981" s="364"/>
      <c r="F981" s="361" t="s">
        <v>1917</v>
      </c>
      <c r="T981" s="361">
        <v>49.6</v>
      </c>
    </row>
    <row r="982" spans="1:20" x14ac:dyDescent="0.25">
      <c r="A982" s="364" t="s">
        <v>3296</v>
      </c>
      <c r="B982" s="361" t="s">
        <v>3297</v>
      </c>
      <c r="C982" t="s">
        <v>1920</v>
      </c>
      <c r="D982" s="361">
        <v>15</v>
      </c>
      <c r="E982" s="364"/>
      <c r="F982" s="361" t="s">
        <v>1917</v>
      </c>
      <c r="T982" s="361">
        <v>49.6</v>
      </c>
    </row>
    <row r="983" spans="1:20" x14ac:dyDescent="0.25">
      <c r="A983" s="364" t="s">
        <v>356</v>
      </c>
      <c r="B983" s="361" t="s">
        <v>3298</v>
      </c>
      <c r="C983" t="s">
        <v>1920</v>
      </c>
      <c r="D983" s="361">
        <v>16</v>
      </c>
      <c r="E983" s="364"/>
      <c r="F983" s="361" t="s">
        <v>1917</v>
      </c>
      <c r="T983" s="361">
        <v>11.2</v>
      </c>
    </row>
    <row r="984" spans="1:20" x14ac:dyDescent="0.25">
      <c r="A984" s="364" t="s">
        <v>342</v>
      </c>
      <c r="B984" s="361" t="s">
        <v>3299</v>
      </c>
      <c r="C984" t="s">
        <v>1920</v>
      </c>
      <c r="D984" s="361">
        <v>16</v>
      </c>
      <c r="E984" s="364"/>
      <c r="F984" s="361" t="s">
        <v>1917</v>
      </c>
      <c r="T984" s="361">
        <v>4.0999999999999996</v>
      </c>
    </row>
    <row r="985" spans="1:20" x14ac:dyDescent="0.25">
      <c r="A985" s="364" t="s">
        <v>355</v>
      </c>
      <c r="B985" s="361" t="s">
        <v>3300</v>
      </c>
      <c r="C985" t="s">
        <v>1920</v>
      </c>
      <c r="D985" s="361">
        <v>16</v>
      </c>
      <c r="E985" s="364"/>
      <c r="F985" s="361" t="s">
        <v>1917</v>
      </c>
      <c r="T985" s="361">
        <v>8.15</v>
      </c>
    </row>
    <row r="986" spans="1:20" x14ac:dyDescent="0.25">
      <c r="A986" s="364" t="s">
        <v>305</v>
      </c>
      <c r="B986" s="361" t="s">
        <v>918</v>
      </c>
      <c r="C986" t="s">
        <v>1922</v>
      </c>
      <c r="D986" s="361">
        <v>1</v>
      </c>
      <c r="E986" s="364"/>
      <c r="F986" s="361" t="s">
        <v>1917</v>
      </c>
      <c r="T986" s="361">
        <v>369.45</v>
      </c>
    </row>
    <row r="987" spans="1:20" x14ac:dyDescent="0.25">
      <c r="A987" s="364" t="s">
        <v>139</v>
      </c>
      <c r="B987" s="361" t="s">
        <v>919</v>
      </c>
      <c r="C987" t="s">
        <v>1922</v>
      </c>
      <c r="D987" s="361">
        <v>1</v>
      </c>
      <c r="E987" s="364"/>
      <c r="F987" s="361" t="s">
        <v>1921</v>
      </c>
      <c r="T987" s="361">
        <v>7.0299999999999998E-3</v>
      </c>
    </row>
    <row r="988" spans="1:20" x14ac:dyDescent="0.25">
      <c r="A988" s="364" t="s">
        <v>141</v>
      </c>
      <c r="B988" s="361" t="s">
        <v>920</v>
      </c>
      <c r="C988" t="s">
        <v>1922</v>
      </c>
      <c r="D988" s="361">
        <v>1</v>
      </c>
      <c r="E988" s="364"/>
      <c r="F988" s="361" t="s">
        <v>1921</v>
      </c>
      <c r="T988" s="361">
        <v>7.45E-3</v>
      </c>
    </row>
    <row r="989" spans="1:20" x14ac:dyDescent="0.25">
      <c r="A989" s="364" t="s">
        <v>135</v>
      </c>
      <c r="B989" s="361" t="s">
        <v>921</v>
      </c>
      <c r="C989" t="s">
        <v>1922</v>
      </c>
      <c r="D989" s="361">
        <v>1</v>
      </c>
      <c r="E989" s="364"/>
      <c r="F989" s="361" t="s">
        <v>1921</v>
      </c>
      <c r="T989" s="361">
        <v>7.2399999999999999E-3</v>
      </c>
    </row>
    <row r="990" spans="1:20" x14ac:dyDescent="0.25">
      <c r="A990" s="364" t="s">
        <v>140</v>
      </c>
      <c r="B990" s="361" t="s">
        <v>922</v>
      </c>
      <c r="C990" t="s">
        <v>1922</v>
      </c>
      <c r="D990" s="361">
        <v>1</v>
      </c>
      <c r="E990" s="364"/>
      <c r="F990" s="361" t="s">
        <v>1921</v>
      </c>
      <c r="T990" s="361">
        <v>7.2399999999999999E-3</v>
      </c>
    </row>
    <row r="991" spans="1:20" x14ac:dyDescent="0.25">
      <c r="A991" s="364" t="s">
        <v>3301</v>
      </c>
      <c r="B991" s="361" t="s">
        <v>3302</v>
      </c>
      <c r="C991" t="s">
        <v>1920</v>
      </c>
      <c r="D991" s="361">
        <v>15</v>
      </c>
      <c r="E991" s="364"/>
      <c r="F991" s="361" t="s">
        <v>1917</v>
      </c>
      <c r="T991" s="361">
        <v>48.77</v>
      </c>
    </row>
    <row r="992" spans="1:20" x14ac:dyDescent="0.25">
      <c r="A992" s="364" t="s">
        <v>3303</v>
      </c>
      <c r="B992" s="361" t="s">
        <v>2863</v>
      </c>
      <c r="C992" t="s">
        <v>1920</v>
      </c>
      <c r="D992" s="361">
        <v>24</v>
      </c>
      <c r="E992" s="364"/>
      <c r="F992" s="361" t="s">
        <v>2201</v>
      </c>
      <c r="T992" s="361">
        <v>123.6688</v>
      </c>
    </row>
    <row r="993" spans="1:20" x14ac:dyDescent="0.25">
      <c r="A993" s="364" t="s">
        <v>3304</v>
      </c>
      <c r="B993" s="361" t="s">
        <v>3305</v>
      </c>
      <c r="C993" t="s">
        <v>1920</v>
      </c>
      <c r="D993" s="361">
        <v>27</v>
      </c>
      <c r="E993" s="364"/>
      <c r="F993" s="361" t="s">
        <v>1921</v>
      </c>
      <c r="T993" s="361">
        <v>1.3640000000000001</v>
      </c>
    </row>
    <row r="994" spans="1:20" x14ac:dyDescent="0.25">
      <c r="A994" s="364" t="s">
        <v>3306</v>
      </c>
      <c r="B994" s="361" t="s">
        <v>3307</v>
      </c>
      <c r="C994" t="s">
        <v>1920</v>
      </c>
      <c r="D994" s="361">
        <v>56</v>
      </c>
      <c r="E994" s="364"/>
      <c r="F994" s="361" t="s">
        <v>1921</v>
      </c>
      <c r="T994" s="361">
        <v>0.68600000000000005</v>
      </c>
    </row>
    <row r="995" spans="1:20" x14ac:dyDescent="0.25">
      <c r="A995" s="364" t="s">
        <v>3308</v>
      </c>
      <c r="B995" s="361" t="s">
        <v>3309</v>
      </c>
      <c r="C995">
        <v>2</v>
      </c>
      <c r="D995" s="361">
        <v>97</v>
      </c>
      <c r="E995" s="364"/>
      <c r="F995" s="361" t="s">
        <v>1921</v>
      </c>
      <c r="T995" s="361">
        <v>7.5</v>
      </c>
    </row>
    <row r="996" spans="1:20" x14ac:dyDescent="0.25">
      <c r="A996" s="364" t="s">
        <v>352</v>
      </c>
      <c r="B996" s="361" t="s">
        <v>3310</v>
      </c>
      <c r="C996" t="s">
        <v>1920</v>
      </c>
      <c r="D996" s="361">
        <v>16</v>
      </c>
      <c r="E996" s="364"/>
      <c r="F996" s="361" t="s">
        <v>1917</v>
      </c>
      <c r="T996" s="361">
        <v>5.6</v>
      </c>
    </row>
    <row r="997" spans="1:20" x14ac:dyDescent="0.25">
      <c r="A997" s="364" t="s">
        <v>3311</v>
      </c>
      <c r="B997" s="361" t="s">
        <v>3312</v>
      </c>
      <c r="C997" t="s">
        <v>1920</v>
      </c>
      <c r="D997" s="361">
        <v>27</v>
      </c>
      <c r="E997" s="364"/>
      <c r="F997" s="361" t="s">
        <v>1921</v>
      </c>
      <c r="T997" s="361">
        <v>0.96799999999999997</v>
      </c>
    </row>
    <row r="998" spans="1:20" x14ac:dyDescent="0.25">
      <c r="A998" s="364" t="s">
        <v>3313</v>
      </c>
      <c r="B998" s="361" t="s">
        <v>3314</v>
      </c>
      <c r="C998" t="s">
        <v>1920</v>
      </c>
      <c r="D998" s="361">
        <v>45</v>
      </c>
      <c r="E998" s="364"/>
      <c r="F998" s="361" t="s">
        <v>1917</v>
      </c>
      <c r="T998" s="361">
        <v>48.77</v>
      </c>
    </row>
    <row r="999" spans="1:20" x14ac:dyDescent="0.25">
      <c r="A999" s="364" t="s">
        <v>3315</v>
      </c>
      <c r="B999" s="361" t="s">
        <v>3316</v>
      </c>
      <c r="C999" t="s">
        <v>1920</v>
      </c>
      <c r="D999" s="361">
        <v>24</v>
      </c>
      <c r="E999" s="364"/>
      <c r="F999" s="361" t="s">
        <v>2201</v>
      </c>
      <c r="T999" s="361">
        <v>323.77609999999999</v>
      </c>
    </row>
    <row r="1000" spans="1:20" x14ac:dyDescent="0.25">
      <c r="A1000" s="364" t="s">
        <v>3317</v>
      </c>
      <c r="B1000" s="361" t="s">
        <v>3318</v>
      </c>
      <c r="C1000" t="s">
        <v>1920</v>
      </c>
      <c r="D1000" s="361">
        <v>20</v>
      </c>
      <c r="E1000" s="364"/>
      <c r="F1000" s="361" t="s">
        <v>2201</v>
      </c>
      <c r="T1000" s="361">
        <v>57</v>
      </c>
    </row>
    <row r="1001" spans="1:20" x14ac:dyDescent="0.25">
      <c r="A1001" s="364" t="s">
        <v>3319</v>
      </c>
      <c r="B1001" s="361" t="s">
        <v>3320</v>
      </c>
      <c r="C1001" t="s">
        <v>1920</v>
      </c>
      <c r="D1001" s="361">
        <v>20</v>
      </c>
      <c r="E1001" s="364"/>
      <c r="F1001" s="361" t="s">
        <v>2201</v>
      </c>
      <c r="T1001" s="361">
        <v>57</v>
      </c>
    </row>
    <row r="1002" spans="1:20" x14ac:dyDescent="0.25">
      <c r="A1002" s="364" t="s">
        <v>3321</v>
      </c>
      <c r="B1002" s="361" t="s">
        <v>3322</v>
      </c>
      <c r="C1002" t="s">
        <v>1920</v>
      </c>
      <c r="D1002" s="361">
        <v>20</v>
      </c>
      <c r="E1002" s="364"/>
      <c r="F1002" s="361" t="s">
        <v>2201</v>
      </c>
      <c r="T1002" s="361">
        <v>57</v>
      </c>
    </row>
    <row r="1003" spans="1:20" x14ac:dyDescent="0.25">
      <c r="A1003" s="364" t="s">
        <v>194</v>
      </c>
      <c r="B1003" s="361" t="s">
        <v>923</v>
      </c>
      <c r="C1003" t="s">
        <v>1916</v>
      </c>
      <c r="D1003" s="361">
        <v>2</v>
      </c>
      <c r="E1003" s="364"/>
      <c r="F1003" s="361" t="s">
        <v>1917</v>
      </c>
      <c r="T1003" s="361">
        <v>26.12</v>
      </c>
    </row>
    <row r="1004" spans="1:20" x14ac:dyDescent="0.25">
      <c r="A1004" s="364" t="s">
        <v>3323</v>
      </c>
      <c r="B1004" s="361" t="s">
        <v>3324</v>
      </c>
      <c r="C1004" t="s">
        <v>1920</v>
      </c>
      <c r="D1004" s="361">
        <v>54</v>
      </c>
      <c r="E1004" s="364"/>
      <c r="F1004" s="361" t="s">
        <v>1921</v>
      </c>
      <c r="T1004" s="361">
        <v>0.23222000000000001</v>
      </c>
    </row>
    <row r="1005" spans="1:20" x14ac:dyDescent="0.25">
      <c r="A1005" s="364" t="s">
        <v>3325</v>
      </c>
      <c r="B1005" s="361" t="s">
        <v>3326</v>
      </c>
      <c r="C1005" t="s">
        <v>1920</v>
      </c>
      <c r="D1005" s="361">
        <v>54</v>
      </c>
      <c r="E1005" s="364"/>
      <c r="F1005" s="361" t="s">
        <v>1921</v>
      </c>
      <c r="T1005" s="361">
        <v>0.14857999999999999</v>
      </c>
    </row>
    <row r="1006" spans="1:20" x14ac:dyDescent="0.25">
      <c r="A1006" s="364" t="s">
        <v>3327</v>
      </c>
      <c r="B1006" s="361" t="s">
        <v>3328</v>
      </c>
      <c r="C1006" t="s">
        <v>1920</v>
      </c>
      <c r="D1006" s="361">
        <v>15</v>
      </c>
      <c r="E1006" s="364"/>
      <c r="F1006" s="361" t="s">
        <v>1917</v>
      </c>
      <c r="T1006" s="361">
        <v>26.8</v>
      </c>
    </row>
    <row r="1007" spans="1:20" x14ac:dyDescent="0.25">
      <c r="A1007" s="364" t="s">
        <v>3329</v>
      </c>
      <c r="B1007" s="361" t="s">
        <v>3330</v>
      </c>
      <c r="C1007" t="s">
        <v>1920</v>
      </c>
      <c r="D1007" s="361">
        <v>24</v>
      </c>
      <c r="E1007" s="364"/>
      <c r="F1007" s="361" t="s">
        <v>1921</v>
      </c>
      <c r="T1007" s="361">
        <v>0.20074</v>
      </c>
    </row>
    <row r="1008" spans="1:20" x14ac:dyDescent="0.25">
      <c r="A1008" s="364" t="s">
        <v>3331</v>
      </c>
      <c r="B1008" s="361" t="s">
        <v>3332</v>
      </c>
      <c r="C1008" t="s">
        <v>1920</v>
      </c>
      <c r="D1008" s="361">
        <v>24</v>
      </c>
      <c r="E1008" s="364"/>
      <c r="F1008" s="361" t="s">
        <v>1921</v>
      </c>
      <c r="T1008" s="361">
        <v>0.13569000000000001</v>
      </c>
    </row>
    <row r="1009" spans="1:20" x14ac:dyDescent="0.25">
      <c r="A1009" s="364" t="s">
        <v>3333</v>
      </c>
      <c r="B1009" s="361" t="s">
        <v>3334</v>
      </c>
      <c r="C1009" t="s">
        <v>1920</v>
      </c>
      <c r="D1009" s="361">
        <v>22</v>
      </c>
      <c r="E1009" s="364"/>
      <c r="F1009" s="361" t="s">
        <v>1921</v>
      </c>
      <c r="T1009" s="361">
        <v>6.9500000000000006E-2</v>
      </c>
    </row>
    <row r="1010" spans="1:20" x14ac:dyDescent="0.25">
      <c r="A1010" s="364" t="s">
        <v>3335</v>
      </c>
      <c r="B1010" s="361" t="s">
        <v>3336</v>
      </c>
      <c r="C1010" t="s">
        <v>1920</v>
      </c>
      <c r="D1010" s="361">
        <v>54</v>
      </c>
      <c r="E1010" s="364"/>
      <c r="F1010" s="361" t="s">
        <v>1921</v>
      </c>
      <c r="T1010" s="361">
        <v>8.856E-2</v>
      </c>
    </row>
    <row r="1011" spans="1:20" x14ac:dyDescent="0.25">
      <c r="A1011" s="364" t="s">
        <v>924</v>
      </c>
      <c r="B1011" s="361" t="s">
        <v>925</v>
      </c>
      <c r="C1011" t="s">
        <v>1922</v>
      </c>
      <c r="D1011" s="361">
        <v>1</v>
      </c>
      <c r="E1011" s="364"/>
      <c r="F1011" s="361" t="s">
        <v>1917</v>
      </c>
      <c r="T1011" s="361">
        <v>120</v>
      </c>
    </row>
    <row r="1012" spans="1:20" x14ac:dyDescent="0.25">
      <c r="A1012" s="364" t="s">
        <v>926</v>
      </c>
      <c r="B1012" s="361" t="s">
        <v>927</v>
      </c>
      <c r="C1012" t="s">
        <v>1916</v>
      </c>
      <c r="D1012" s="361">
        <v>2</v>
      </c>
      <c r="E1012" s="364"/>
      <c r="F1012" s="361" t="s">
        <v>1917</v>
      </c>
      <c r="T1012" s="361">
        <v>1.68</v>
      </c>
    </row>
    <row r="1013" spans="1:20" x14ac:dyDescent="0.25">
      <c r="A1013" s="364" t="s">
        <v>928</v>
      </c>
      <c r="B1013" s="361" t="s">
        <v>929</v>
      </c>
      <c r="C1013" t="s">
        <v>1922</v>
      </c>
      <c r="D1013" s="361">
        <v>1</v>
      </c>
      <c r="E1013" s="364"/>
      <c r="F1013" s="361" t="s">
        <v>1917</v>
      </c>
      <c r="T1013" s="361">
        <v>2.0499999999999998</v>
      </c>
    </row>
    <row r="1014" spans="1:20" x14ac:dyDescent="0.25">
      <c r="A1014" s="364" t="s">
        <v>930</v>
      </c>
      <c r="B1014" s="361" t="s">
        <v>931</v>
      </c>
      <c r="C1014" t="s">
        <v>1922</v>
      </c>
      <c r="D1014" s="361">
        <v>1</v>
      </c>
      <c r="E1014" s="364"/>
      <c r="F1014" s="361" t="s">
        <v>1917</v>
      </c>
      <c r="T1014" s="361">
        <v>125.5</v>
      </c>
    </row>
    <row r="1015" spans="1:20" x14ac:dyDescent="0.25">
      <c r="A1015" s="364" t="s">
        <v>932</v>
      </c>
      <c r="B1015" s="361" t="s">
        <v>933</v>
      </c>
      <c r="C1015" t="s">
        <v>1922</v>
      </c>
      <c r="D1015" s="361">
        <v>1</v>
      </c>
      <c r="E1015" s="364"/>
      <c r="F1015" s="361" t="s">
        <v>1917</v>
      </c>
      <c r="T1015" s="361">
        <v>1048.8499999999999</v>
      </c>
    </row>
    <row r="1016" spans="1:20" x14ac:dyDescent="0.25">
      <c r="A1016" s="364" t="s">
        <v>934</v>
      </c>
      <c r="B1016" s="361" t="s">
        <v>935</v>
      </c>
      <c r="C1016" t="s">
        <v>1922</v>
      </c>
      <c r="D1016" s="361">
        <v>1</v>
      </c>
      <c r="E1016" s="364"/>
      <c r="F1016" s="361" t="s">
        <v>1917</v>
      </c>
      <c r="T1016" s="361">
        <v>163.72</v>
      </c>
    </row>
    <row r="1017" spans="1:20" x14ac:dyDescent="0.25">
      <c r="A1017" s="364" t="s">
        <v>936</v>
      </c>
      <c r="B1017" s="361" t="s">
        <v>937</v>
      </c>
      <c r="C1017" t="s">
        <v>1916</v>
      </c>
      <c r="D1017" s="361">
        <v>2</v>
      </c>
      <c r="E1017" s="364"/>
      <c r="F1017" s="361" t="s">
        <v>1917</v>
      </c>
      <c r="T1017" s="361">
        <v>572.26</v>
      </c>
    </row>
    <row r="1018" spans="1:20" x14ac:dyDescent="0.25">
      <c r="A1018" s="364" t="s">
        <v>376</v>
      </c>
      <c r="B1018" s="361" t="s">
        <v>3337</v>
      </c>
      <c r="C1018" t="s">
        <v>1920</v>
      </c>
      <c r="D1018" s="361">
        <v>45</v>
      </c>
      <c r="E1018" s="364"/>
      <c r="F1018" s="361" t="s">
        <v>1917</v>
      </c>
      <c r="T1018" s="361">
        <v>26.8</v>
      </c>
    </row>
    <row r="1019" spans="1:20" x14ac:dyDescent="0.25">
      <c r="A1019" s="364" t="s">
        <v>414</v>
      </c>
      <c r="B1019" s="361" t="s">
        <v>3338</v>
      </c>
      <c r="C1019" t="s">
        <v>1920</v>
      </c>
      <c r="D1019" s="361">
        <v>54</v>
      </c>
      <c r="E1019" s="364"/>
      <c r="F1019" s="361" t="s">
        <v>1921</v>
      </c>
      <c r="T1019" s="361">
        <v>8.4620000000000001E-2</v>
      </c>
    </row>
    <row r="1020" spans="1:20" x14ac:dyDescent="0.25">
      <c r="A1020" s="364" t="s">
        <v>416</v>
      </c>
      <c r="B1020" s="361" t="s">
        <v>3339</v>
      </c>
      <c r="C1020" t="s">
        <v>1920</v>
      </c>
      <c r="D1020" s="361">
        <v>54</v>
      </c>
      <c r="E1020" s="364"/>
      <c r="F1020" s="361" t="s">
        <v>1921</v>
      </c>
      <c r="T1020" s="361">
        <v>0.35730000000000001</v>
      </c>
    </row>
    <row r="1021" spans="1:20" x14ac:dyDescent="0.25">
      <c r="A1021" s="364" t="s">
        <v>3340</v>
      </c>
      <c r="B1021" s="361" t="s">
        <v>3341</v>
      </c>
      <c r="C1021" t="s">
        <v>1920</v>
      </c>
      <c r="D1021" s="361">
        <v>54</v>
      </c>
      <c r="E1021" s="364"/>
      <c r="F1021" s="361" t="s">
        <v>1921</v>
      </c>
      <c r="T1021" s="361">
        <v>1.01746</v>
      </c>
    </row>
    <row r="1022" spans="1:20" x14ac:dyDescent="0.25">
      <c r="A1022" s="364" t="s">
        <v>3342</v>
      </c>
      <c r="B1022" s="361" t="s">
        <v>3343</v>
      </c>
      <c r="C1022" t="s">
        <v>1920</v>
      </c>
      <c r="D1022" s="361">
        <v>56</v>
      </c>
      <c r="E1022" s="364"/>
      <c r="F1022" s="361" t="s">
        <v>1921</v>
      </c>
      <c r="T1022" s="361">
        <v>0.82</v>
      </c>
    </row>
    <row r="1023" spans="1:20" x14ac:dyDescent="0.25">
      <c r="A1023" s="364" t="s">
        <v>417</v>
      </c>
      <c r="B1023" s="361" t="s">
        <v>3344</v>
      </c>
      <c r="C1023" t="s">
        <v>1920</v>
      </c>
      <c r="D1023" s="361">
        <v>56</v>
      </c>
      <c r="E1023" s="364"/>
      <c r="F1023" s="361" t="s">
        <v>1921</v>
      </c>
      <c r="T1023" s="361">
        <v>0.75900000000000001</v>
      </c>
    </row>
    <row r="1024" spans="1:20" x14ac:dyDescent="0.25">
      <c r="A1024" s="364" t="s">
        <v>3345</v>
      </c>
      <c r="B1024" s="361" t="s">
        <v>3346</v>
      </c>
      <c r="C1024" t="s">
        <v>1920</v>
      </c>
      <c r="D1024" s="361">
        <v>30</v>
      </c>
      <c r="E1024" s="364"/>
      <c r="F1024" s="361" t="s">
        <v>1921</v>
      </c>
      <c r="T1024" s="361">
        <v>0.24479999999999999</v>
      </c>
    </row>
    <row r="1025" spans="1:20" x14ac:dyDescent="0.25">
      <c r="A1025" s="364" t="s">
        <v>3347</v>
      </c>
      <c r="B1025" s="361" t="s">
        <v>3348</v>
      </c>
      <c r="C1025" t="s">
        <v>1920</v>
      </c>
      <c r="D1025" s="361">
        <v>12</v>
      </c>
      <c r="E1025" s="364"/>
      <c r="F1025" s="361" t="s">
        <v>1921</v>
      </c>
      <c r="T1025" s="361">
        <v>5.3999999999999999E-2</v>
      </c>
    </row>
    <row r="1026" spans="1:20" x14ac:dyDescent="0.25">
      <c r="A1026" s="364" t="s">
        <v>344</v>
      </c>
      <c r="B1026" s="361" t="s">
        <v>3349</v>
      </c>
      <c r="C1026" t="s">
        <v>1920</v>
      </c>
      <c r="D1026" s="361">
        <v>16</v>
      </c>
      <c r="E1026" s="364"/>
      <c r="F1026" s="361" t="s">
        <v>1917</v>
      </c>
      <c r="T1026" s="361">
        <v>45.45</v>
      </c>
    </row>
    <row r="1027" spans="1:20" x14ac:dyDescent="0.25">
      <c r="A1027" s="364" t="s">
        <v>938</v>
      </c>
      <c r="B1027" s="361" t="s">
        <v>939</v>
      </c>
      <c r="C1027" t="s">
        <v>1916</v>
      </c>
      <c r="D1027" s="361">
        <v>2</v>
      </c>
      <c r="E1027" s="364"/>
      <c r="F1027" s="361" t="s">
        <v>1917</v>
      </c>
      <c r="T1027" s="361">
        <v>118.17</v>
      </c>
    </row>
    <row r="1028" spans="1:20" x14ac:dyDescent="0.25">
      <c r="A1028" s="364" t="s">
        <v>940</v>
      </c>
      <c r="B1028" s="361" t="s">
        <v>941</v>
      </c>
      <c r="C1028" t="s">
        <v>1922</v>
      </c>
      <c r="D1028" s="361">
        <v>1</v>
      </c>
      <c r="E1028" s="364"/>
      <c r="F1028" s="361" t="s">
        <v>1917</v>
      </c>
      <c r="T1028" s="361">
        <v>3.6</v>
      </c>
    </row>
    <row r="1029" spans="1:20" x14ac:dyDescent="0.25">
      <c r="A1029" s="364" t="s">
        <v>942</v>
      </c>
      <c r="B1029" s="361" t="s">
        <v>943</v>
      </c>
      <c r="C1029" t="s">
        <v>1916</v>
      </c>
      <c r="D1029" s="361">
        <v>2</v>
      </c>
      <c r="E1029" s="364"/>
      <c r="F1029" s="361" t="s">
        <v>1917</v>
      </c>
      <c r="T1029" s="361">
        <v>205</v>
      </c>
    </row>
    <row r="1030" spans="1:20" x14ac:dyDescent="0.25">
      <c r="A1030" s="364" t="s">
        <v>3350</v>
      </c>
      <c r="B1030" s="361" t="s">
        <v>3351</v>
      </c>
      <c r="C1030" t="s">
        <v>1920</v>
      </c>
      <c r="D1030" s="361">
        <v>11</v>
      </c>
      <c r="E1030" s="364"/>
      <c r="F1030" s="361" t="s">
        <v>2201</v>
      </c>
      <c r="T1030" s="361">
        <v>159.43</v>
      </c>
    </row>
    <row r="1031" spans="1:20" x14ac:dyDescent="0.25">
      <c r="A1031" s="364" t="s">
        <v>3352</v>
      </c>
      <c r="B1031" s="361" t="s">
        <v>3353</v>
      </c>
      <c r="C1031" t="s">
        <v>1920</v>
      </c>
      <c r="D1031" s="361">
        <v>16</v>
      </c>
      <c r="E1031" s="364"/>
      <c r="F1031" s="361" t="s">
        <v>1917</v>
      </c>
      <c r="T1031" s="361">
        <v>27.17</v>
      </c>
    </row>
    <row r="1032" spans="1:20" x14ac:dyDescent="0.25">
      <c r="A1032" s="364" t="s">
        <v>129</v>
      </c>
      <c r="B1032" s="361" t="s">
        <v>944</v>
      </c>
      <c r="C1032" t="s">
        <v>1916</v>
      </c>
      <c r="D1032" s="361">
        <v>2</v>
      </c>
      <c r="E1032" s="364"/>
      <c r="F1032" s="361" t="s">
        <v>1917</v>
      </c>
      <c r="T1032" s="361">
        <v>300750</v>
      </c>
    </row>
    <row r="1033" spans="1:20" x14ac:dyDescent="0.25">
      <c r="A1033" s="364" t="s">
        <v>216</v>
      </c>
      <c r="B1033" s="361" t="s">
        <v>945</v>
      </c>
      <c r="C1033" t="s">
        <v>1922</v>
      </c>
      <c r="D1033" s="361">
        <v>2</v>
      </c>
      <c r="E1033" s="364"/>
      <c r="F1033" s="361" t="s">
        <v>1917</v>
      </c>
      <c r="T1033" s="361">
        <v>139.80000000000001</v>
      </c>
    </row>
    <row r="1034" spans="1:20" x14ac:dyDescent="0.25">
      <c r="A1034" s="364" t="s">
        <v>3354</v>
      </c>
      <c r="B1034" s="361" t="s">
        <v>3355</v>
      </c>
      <c r="C1034" t="s">
        <v>1920</v>
      </c>
      <c r="D1034" s="361">
        <v>27</v>
      </c>
      <c r="E1034" s="364"/>
      <c r="F1034" s="361" t="s">
        <v>1921</v>
      </c>
      <c r="T1034" s="361">
        <v>0.99299999999999999</v>
      </c>
    </row>
    <row r="1035" spans="1:20" x14ac:dyDescent="0.25">
      <c r="A1035" s="364" t="s">
        <v>3356</v>
      </c>
      <c r="B1035" s="361" t="s">
        <v>3357</v>
      </c>
      <c r="C1035" t="s">
        <v>1920</v>
      </c>
      <c r="D1035" s="361">
        <v>27</v>
      </c>
      <c r="E1035" s="364"/>
      <c r="F1035" s="361" t="s">
        <v>1921</v>
      </c>
      <c r="T1035" s="361">
        <v>1.0209999999999999</v>
      </c>
    </row>
    <row r="1036" spans="1:20" x14ac:dyDescent="0.25">
      <c r="A1036" s="364" t="s">
        <v>3358</v>
      </c>
      <c r="B1036" s="361" t="s">
        <v>3359</v>
      </c>
      <c r="C1036" t="s">
        <v>1920</v>
      </c>
      <c r="D1036" s="361">
        <v>15</v>
      </c>
      <c r="E1036" s="364"/>
      <c r="F1036" s="361" t="s">
        <v>1917</v>
      </c>
      <c r="T1036" s="361">
        <v>25.7</v>
      </c>
    </row>
    <row r="1037" spans="1:20" x14ac:dyDescent="0.25">
      <c r="A1037" s="364" t="s">
        <v>946</v>
      </c>
      <c r="B1037" s="361" t="s">
        <v>947</v>
      </c>
      <c r="C1037" t="s">
        <v>1922</v>
      </c>
      <c r="D1037" s="361">
        <v>1</v>
      </c>
      <c r="E1037" s="364"/>
      <c r="F1037" s="361" t="s">
        <v>1917</v>
      </c>
      <c r="T1037" s="361">
        <v>61</v>
      </c>
    </row>
    <row r="1038" spans="1:20" x14ac:dyDescent="0.25">
      <c r="A1038" s="364" t="s">
        <v>365</v>
      </c>
      <c r="B1038" s="361" t="s">
        <v>3360</v>
      </c>
      <c r="C1038" t="s">
        <v>1920</v>
      </c>
      <c r="D1038" s="361">
        <v>16</v>
      </c>
      <c r="E1038" s="364"/>
      <c r="F1038" s="361" t="s">
        <v>1917</v>
      </c>
      <c r="T1038" s="361">
        <v>4.0999999999999996</v>
      </c>
    </row>
    <row r="1039" spans="1:20" x14ac:dyDescent="0.25">
      <c r="A1039" s="364" t="s">
        <v>3361</v>
      </c>
      <c r="B1039" s="361" t="s">
        <v>3362</v>
      </c>
      <c r="C1039" t="s">
        <v>1920</v>
      </c>
      <c r="D1039" s="361">
        <v>24</v>
      </c>
      <c r="E1039" s="364"/>
      <c r="F1039" s="361" t="s">
        <v>1921</v>
      </c>
      <c r="T1039" s="361">
        <v>0.19561999999999999</v>
      </c>
    </row>
    <row r="1040" spans="1:20" x14ac:dyDescent="0.25">
      <c r="A1040" s="364" t="s">
        <v>3363</v>
      </c>
      <c r="B1040" s="361" t="s">
        <v>3364</v>
      </c>
      <c r="C1040" t="s">
        <v>1920</v>
      </c>
      <c r="D1040" s="361">
        <v>24</v>
      </c>
      <c r="E1040" s="364"/>
      <c r="F1040" s="361" t="s">
        <v>1921</v>
      </c>
      <c r="T1040" s="361">
        <v>0.47439999999999999</v>
      </c>
    </row>
    <row r="1041" spans="1:20" x14ac:dyDescent="0.25">
      <c r="A1041" s="364" t="s">
        <v>3365</v>
      </c>
      <c r="B1041" s="361" t="s">
        <v>3366</v>
      </c>
      <c r="C1041" t="s">
        <v>1920</v>
      </c>
      <c r="D1041" s="361">
        <v>24</v>
      </c>
      <c r="E1041" s="364"/>
      <c r="F1041" s="361" t="s">
        <v>1921</v>
      </c>
      <c r="T1041" s="361">
        <v>2.5286</v>
      </c>
    </row>
    <row r="1042" spans="1:20" x14ac:dyDescent="0.25">
      <c r="A1042" s="364" t="s">
        <v>3367</v>
      </c>
      <c r="B1042" s="361" t="s">
        <v>3368</v>
      </c>
      <c r="C1042" t="s">
        <v>1920</v>
      </c>
      <c r="D1042" s="361">
        <v>24</v>
      </c>
      <c r="E1042" s="364"/>
      <c r="F1042" s="361" t="s">
        <v>2201</v>
      </c>
      <c r="T1042" s="361">
        <v>170.6651</v>
      </c>
    </row>
    <row r="1043" spans="1:20" x14ac:dyDescent="0.25">
      <c r="A1043" s="364" t="s">
        <v>3369</v>
      </c>
      <c r="B1043" s="361" t="s">
        <v>3370</v>
      </c>
      <c r="C1043">
        <v>2</v>
      </c>
      <c r="D1043" s="361">
        <v>97</v>
      </c>
      <c r="E1043" s="364"/>
      <c r="F1043" s="361" t="s">
        <v>1921</v>
      </c>
      <c r="T1043" s="361">
        <v>0.313</v>
      </c>
    </row>
    <row r="1044" spans="1:20" x14ac:dyDescent="0.25">
      <c r="A1044" s="364" t="s">
        <v>3371</v>
      </c>
      <c r="B1044" s="361" t="s">
        <v>3372</v>
      </c>
      <c r="C1044" t="s">
        <v>1920</v>
      </c>
      <c r="D1044" s="361">
        <v>20</v>
      </c>
      <c r="E1044" s="364"/>
      <c r="F1044" s="361" t="s">
        <v>1921</v>
      </c>
      <c r="T1044" s="361">
        <v>3.4200000000000001E-2</v>
      </c>
    </row>
    <row r="1045" spans="1:20" x14ac:dyDescent="0.25">
      <c r="A1045" s="364" t="s">
        <v>3373</v>
      </c>
      <c r="B1045" s="361" t="s">
        <v>3374</v>
      </c>
      <c r="C1045" t="s">
        <v>1920</v>
      </c>
      <c r="D1045" s="361">
        <v>20</v>
      </c>
      <c r="E1045" s="364"/>
      <c r="F1045" s="361" t="s">
        <v>1921</v>
      </c>
      <c r="T1045" s="361">
        <v>3.4200000000000001E-2</v>
      </c>
    </row>
    <row r="1046" spans="1:20" x14ac:dyDescent="0.25">
      <c r="A1046" s="364" t="s">
        <v>3375</v>
      </c>
      <c r="B1046" s="361" t="s">
        <v>3376</v>
      </c>
      <c r="C1046" t="s">
        <v>1920</v>
      </c>
      <c r="D1046" s="361">
        <v>20</v>
      </c>
      <c r="E1046" s="364"/>
      <c r="F1046" s="361" t="s">
        <v>1921</v>
      </c>
      <c r="T1046" s="361">
        <v>3.4200000000000001E-2</v>
      </c>
    </row>
    <row r="1047" spans="1:20" x14ac:dyDescent="0.25">
      <c r="A1047" s="364" t="s">
        <v>3377</v>
      </c>
      <c r="B1047" s="361" t="s">
        <v>3378</v>
      </c>
      <c r="C1047" t="s">
        <v>1920</v>
      </c>
      <c r="D1047" s="361">
        <v>27</v>
      </c>
      <c r="E1047" s="364"/>
      <c r="F1047" s="361" t="s">
        <v>1921</v>
      </c>
      <c r="T1047" s="361">
        <v>0.91800000000000004</v>
      </c>
    </row>
    <row r="1048" spans="1:20" x14ac:dyDescent="0.25">
      <c r="A1048" s="364" t="s">
        <v>3379</v>
      </c>
      <c r="B1048" s="361" t="s">
        <v>3380</v>
      </c>
      <c r="C1048" t="s">
        <v>1920</v>
      </c>
      <c r="D1048" s="361">
        <v>50</v>
      </c>
      <c r="E1048" s="364"/>
      <c r="F1048" s="361" t="s">
        <v>1921</v>
      </c>
      <c r="T1048" s="361">
        <v>0.04</v>
      </c>
    </row>
    <row r="1049" spans="1:20" x14ac:dyDescent="0.25">
      <c r="A1049" s="364" t="s">
        <v>3381</v>
      </c>
      <c r="B1049" s="361" t="s">
        <v>3382</v>
      </c>
      <c r="C1049" t="s">
        <v>2419</v>
      </c>
      <c r="D1049" s="361">
        <v>4</v>
      </c>
      <c r="E1049" s="364"/>
      <c r="F1049" s="361" t="s">
        <v>1921</v>
      </c>
      <c r="T1049" s="361">
        <v>8.7330000000000005E-2</v>
      </c>
    </row>
    <row r="1050" spans="1:20" x14ac:dyDescent="0.25">
      <c r="A1050" s="364" t="s">
        <v>3383</v>
      </c>
      <c r="B1050" s="361" t="s">
        <v>3384</v>
      </c>
      <c r="C1050" t="s">
        <v>2419</v>
      </c>
      <c r="D1050" s="361">
        <v>4</v>
      </c>
      <c r="E1050" s="364"/>
      <c r="F1050" s="361" t="s">
        <v>1921</v>
      </c>
      <c r="T1050" s="361">
        <v>0.13278000000000001</v>
      </c>
    </row>
    <row r="1051" spans="1:20" x14ac:dyDescent="0.25">
      <c r="A1051" s="364" t="s">
        <v>948</v>
      </c>
      <c r="B1051" s="361" t="s">
        <v>949</v>
      </c>
      <c r="C1051" t="s">
        <v>1922</v>
      </c>
      <c r="D1051" s="361">
        <v>1</v>
      </c>
      <c r="E1051" s="364"/>
      <c r="F1051" s="361" t="s">
        <v>2201</v>
      </c>
      <c r="T1051" s="361">
        <v>2.63</v>
      </c>
    </row>
    <row r="1052" spans="1:20" x14ac:dyDescent="0.25">
      <c r="A1052" s="364" t="s">
        <v>950</v>
      </c>
      <c r="B1052" s="361" t="s">
        <v>951</v>
      </c>
      <c r="C1052" t="s">
        <v>1922</v>
      </c>
      <c r="D1052" s="361">
        <v>1</v>
      </c>
      <c r="E1052" s="364"/>
      <c r="F1052" s="361" t="s">
        <v>1917</v>
      </c>
      <c r="T1052" s="361">
        <v>60.91</v>
      </c>
    </row>
    <row r="1053" spans="1:20" x14ac:dyDescent="0.25">
      <c r="A1053" s="364" t="s">
        <v>353</v>
      </c>
      <c r="B1053" s="361" t="s">
        <v>3385</v>
      </c>
      <c r="C1053" t="s">
        <v>1920</v>
      </c>
      <c r="D1053" s="361">
        <v>16</v>
      </c>
      <c r="E1053" s="364"/>
      <c r="F1053" s="361" t="s">
        <v>1917</v>
      </c>
      <c r="T1053" s="361">
        <v>11.2</v>
      </c>
    </row>
    <row r="1054" spans="1:20" x14ac:dyDescent="0.25">
      <c r="A1054" s="364" t="s">
        <v>3386</v>
      </c>
      <c r="B1054" s="361" t="s">
        <v>3387</v>
      </c>
      <c r="C1054" t="s">
        <v>1920</v>
      </c>
      <c r="D1054" s="361">
        <v>24</v>
      </c>
      <c r="E1054" s="364"/>
      <c r="F1054" s="361" t="s">
        <v>2201</v>
      </c>
      <c r="T1054" s="361">
        <v>186</v>
      </c>
    </row>
    <row r="1055" spans="1:20" x14ac:dyDescent="0.25">
      <c r="A1055" s="364" t="s">
        <v>3388</v>
      </c>
      <c r="B1055" s="361" t="s">
        <v>3389</v>
      </c>
      <c r="C1055" t="s">
        <v>1920</v>
      </c>
      <c r="D1055" s="361">
        <v>24</v>
      </c>
      <c r="E1055" s="364"/>
      <c r="F1055" s="361" t="s">
        <v>2201</v>
      </c>
      <c r="T1055" s="361">
        <v>306.024</v>
      </c>
    </row>
    <row r="1056" spans="1:20" x14ac:dyDescent="0.25">
      <c r="A1056" s="364" t="s">
        <v>3390</v>
      </c>
      <c r="B1056" s="361" t="s">
        <v>3391</v>
      </c>
      <c r="C1056" t="s">
        <v>1920</v>
      </c>
      <c r="D1056" s="361">
        <v>24</v>
      </c>
      <c r="E1056" s="364"/>
      <c r="F1056" s="361" t="s">
        <v>2201</v>
      </c>
      <c r="T1056" s="361">
        <v>177.89</v>
      </c>
    </row>
    <row r="1057" spans="1:20" x14ac:dyDescent="0.25">
      <c r="A1057" s="364" t="s">
        <v>3392</v>
      </c>
      <c r="B1057" s="361" t="s">
        <v>3393</v>
      </c>
      <c r="C1057" t="s">
        <v>1920</v>
      </c>
      <c r="D1057" s="361">
        <v>20</v>
      </c>
      <c r="E1057" s="364"/>
      <c r="F1057" s="361" t="s">
        <v>2201</v>
      </c>
      <c r="T1057" s="361">
        <v>120.4</v>
      </c>
    </row>
    <row r="1058" spans="1:20" x14ac:dyDescent="0.25">
      <c r="A1058" s="364" t="s">
        <v>3394</v>
      </c>
      <c r="B1058" s="361" t="s">
        <v>3395</v>
      </c>
      <c r="C1058" t="s">
        <v>1920</v>
      </c>
      <c r="D1058" s="361">
        <v>24</v>
      </c>
      <c r="E1058" s="364"/>
      <c r="F1058" s="361" t="s">
        <v>2201</v>
      </c>
      <c r="T1058" s="361">
        <v>151.16050000000001</v>
      </c>
    </row>
    <row r="1059" spans="1:20" x14ac:dyDescent="0.25">
      <c r="A1059" s="364" t="s">
        <v>3396</v>
      </c>
      <c r="B1059" s="361" t="s">
        <v>3397</v>
      </c>
      <c r="C1059" t="s">
        <v>1920</v>
      </c>
      <c r="D1059" s="361">
        <v>20</v>
      </c>
      <c r="E1059" s="364"/>
      <c r="F1059" s="361" t="s">
        <v>2201</v>
      </c>
      <c r="T1059" s="361">
        <v>48.8</v>
      </c>
    </row>
    <row r="1060" spans="1:20" x14ac:dyDescent="0.25">
      <c r="A1060" s="364" t="s">
        <v>384</v>
      </c>
      <c r="B1060" s="361" t="s">
        <v>3398</v>
      </c>
      <c r="C1060" t="s">
        <v>1920</v>
      </c>
      <c r="D1060" s="361">
        <v>15</v>
      </c>
      <c r="E1060" s="364"/>
      <c r="F1060" s="361" t="s">
        <v>1917</v>
      </c>
      <c r="T1060" s="361">
        <v>48.77</v>
      </c>
    </row>
    <row r="1061" spans="1:20" x14ac:dyDescent="0.25">
      <c r="A1061" s="364" t="s">
        <v>3399</v>
      </c>
      <c r="B1061" s="361" t="s">
        <v>3400</v>
      </c>
      <c r="C1061" t="s">
        <v>1920</v>
      </c>
      <c r="D1061" s="361">
        <v>22</v>
      </c>
      <c r="E1061" s="364"/>
      <c r="F1061" s="361" t="s">
        <v>2201</v>
      </c>
      <c r="T1061" s="361">
        <v>57</v>
      </c>
    </row>
    <row r="1062" spans="1:20" x14ac:dyDescent="0.25">
      <c r="A1062" s="364" t="s">
        <v>3401</v>
      </c>
      <c r="B1062" s="361" t="s">
        <v>3402</v>
      </c>
      <c r="C1062" t="s">
        <v>1920</v>
      </c>
      <c r="D1062" s="361">
        <v>27</v>
      </c>
      <c r="E1062" s="364"/>
      <c r="F1062" s="361" t="s">
        <v>1921</v>
      </c>
      <c r="T1062" s="361">
        <v>0.94499999999999995</v>
      </c>
    </row>
    <row r="1063" spans="1:20" x14ac:dyDescent="0.25">
      <c r="A1063" s="364" t="s">
        <v>952</v>
      </c>
      <c r="B1063" s="361" t="s">
        <v>953</v>
      </c>
      <c r="C1063" t="s">
        <v>1916</v>
      </c>
      <c r="D1063" s="361">
        <v>2</v>
      </c>
      <c r="E1063" s="364"/>
      <c r="F1063" s="361" t="s">
        <v>1917</v>
      </c>
      <c r="T1063" s="361">
        <v>25.5</v>
      </c>
    </row>
    <row r="1064" spans="1:20" x14ac:dyDescent="0.25">
      <c r="A1064" s="364" t="s">
        <v>3403</v>
      </c>
      <c r="B1064" s="361" t="s">
        <v>3404</v>
      </c>
      <c r="C1064">
        <v>2</v>
      </c>
      <c r="D1064" s="361">
        <v>97</v>
      </c>
      <c r="E1064" s="364"/>
      <c r="F1064" s="361" t="s">
        <v>1921</v>
      </c>
      <c r="T1064" s="361">
        <v>1.35E-2</v>
      </c>
    </row>
    <row r="1065" spans="1:20" x14ac:dyDescent="0.25">
      <c r="A1065" s="364" t="s">
        <v>3405</v>
      </c>
      <c r="B1065" s="361" t="s">
        <v>3406</v>
      </c>
      <c r="C1065" t="s">
        <v>1920</v>
      </c>
      <c r="D1065" s="361">
        <v>15</v>
      </c>
      <c r="E1065" s="364"/>
      <c r="F1065" s="361" t="s">
        <v>1917</v>
      </c>
      <c r="T1065" s="361">
        <v>25.7</v>
      </c>
    </row>
    <row r="1066" spans="1:20" x14ac:dyDescent="0.25">
      <c r="A1066" s="364" t="s">
        <v>3407</v>
      </c>
      <c r="B1066" s="361" t="s">
        <v>3408</v>
      </c>
      <c r="C1066" t="s">
        <v>1920</v>
      </c>
      <c r="D1066" s="361">
        <v>24</v>
      </c>
      <c r="E1066" s="364"/>
      <c r="F1066" s="361" t="s">
        <v>1921</v>
      </c>
      <c r="T1066" s="361">
        <v>0.112</v>
      </c>
    </row>
    <row r="1067" spans="1:20" x14ac:dyDescent="0.25">
      <c r="A1067" s="364" t="s">
        <v>3409</v>
      </c>
      <c r="B1067" s="361" t="s">
        <v>3410</v>
      </c>
      <c r="C1067" t="s">
        <v>1920</v>
      </c>
      <c r="D1067" s="361">
        <v>24</v>
      </c>
      <c r="E1067" s="364"/>
      <c r="F1067" s="361" t="s">
        <v>1921</v>
      </c>
      <c r="T1067" s="361">
        <v>0.25700000000000001</v>
      </c>
    </row>
    <row r="1068" spans="1:20" x14ac:dyDescent="0.25">
      <c r="A1068" s="364" t="s">
        <v>359</v>
      </c>
      <c r="B1068" s="361" t="s">
        <v>3411</v>
      </c>
      <c r="C1068" t="s">
        <v>1920</v>
      </c>
      <c r="D1068" s="361">
        <v>16</v>
      </c>
      <c r="E1068" s="364"/>
      <c r="F1068" s="361" t="s">
        <v>1917</v>
      </c>
      <c r="T1068" s="361">
        <v>4.0999999999999996</v>
      </c>
    </row>
    <row r="1069" spans="1:20" x14ac:dyDescent="0.25">
      <c r="A1069" s="364" t="s">
        <v>954</v>
      </c>
      <c r="B1069" s="361" t="s">
        <v>955</v>
      </c>
      <c r="C1069" t="s">
        <v>1916</v>
      </c>
      <c r="D1069" s="361">
        <v>2</v>
      </c>
      <c r="E1069" s="364"/>
      <c r="F1069" s="361" t="s">
        <v>1917</v>
      </c>
      <c r="T1069" s="361">
        <v>0.85</v>
      </c>
    </row>
    <row r="1070" spans="1:20" x14ac:dyDescent="0.25">
      <c r="A1070" s="364" t="s">
        <v>956</v>
      </c>
      <c r="B1070" s="361" t="s">
        <v>957</v>
      </c>
      <c r="C1070" t="s">
        <v>1916</v>
      </c>
      <c r="D1070" s="361">
        <v>2</v>
      </c>
      <c r="E1070" s="364"/>
      <c r="F1070" s="361" t="s">
        <v>1917</v>
      </c>
      <c r="T1070" s="361">
        <v>2.9</v>
      </c>
    </row>
    <row r="1071" spans="1:20" x14ac:dyDescent="0.25">
      <c r="A1071" s="364" t="s">
        <v>958</v>
      </c>
      <c r="B1071" s="361" t="s">
        <v>959</v>
      </c>
      <c r="C1071" t="s">
        <v>1916</v>
      </c>
      <c r="D1071" s="361">
        <v>2</v>
      </c>
      <c r="E1071" s="364"/>
      <c r="F1071" s="361" t="s">
        <v>1917</v>
      </c>
      <c r="T1071" s="361">
        <v>8.4</v>
      </c>
    </row>
    <row r="1072" spans="1:20" x14ac:dyDescent="0.25">
      <c r="A1072" s="364" t="s">
        <v>960</v>
      </c>
      <c r="B1072" s="361" t="s">
        <v>961</v>
      </c>
      <c r="C1072" t="s">
        <v>1922</v>
      </c>
      <c r="D1072" s="361">
        <v>1</v>
      </c>
      <c r="E1072" s="364"/>
      <c r="F1072" s="361" t="s">
        <v>1917</v>
      </c>
      <c r="T1072" s="361">
        <v>56.95</v>
      </c>
    </row>
    <row r="1073" spans="1:20" x14ac:dyDescent="0.25">
      <c r="A1073" s="364" t="s">
        <v>962</v>
      </c>
      <c r="B1073" s="361" t="s">
        <v>963</v>
      </c>
      <c r="C1073" t="s">
        <v>1916</v>
      </c>
      <c r="D1073" s="361">
        <v>2</v>
      </c>
      <c r="E1073" s="364"/>
      <c r="F1073" s="361" t="s">
        <v>1917</v>
      </c>
      <c r="T1073" s="361">
        <v>204.29</v>
      </c>
    </row>
    <row r="1074" spans="1:20" x14ac:dyDescent="0.25">
      <c r="A1074" s="364" t="s">
        <v>3412</v>
      </c>
      <c r="B1074" s="361" t="s">
        <v>3413</v>
      </c>
      <c r="C1074" t="s">
        <v>1920</v>
      </c>
      <c r="D1074" s="361">
        <v>33</v>
      </c>
      <c r="E1074" s="364"/>
      <c r="F1074" s="361" t="s">
        <v>1921</v>
      </c>
      <c r="T1074" s="361">
        <v>3.21</v>
      </c>
    </row>
    <row r="1075" spans="1:20" x14ac:dyDescent="0.25">
      <c r="A1075" s="364" t="s">
        <v>3414</v>
      </c>
      <c r="B1075" s="361" t="s">
        <v>3415</v>
      </c>
      <c r="C1075" t="s">
        <v>1920</v>
      </c>
      <c r="D1075" s="361">
        <v>20</v>
      </c>
      <c r="E1075" s="364"/>
      <c r="F1075" s="361" t="s">
        <v>2201</v>
      </c>
      <c r="T1075" s="361">
        <v>166.9</v>
      </c>
    </row>
    <row r="1076" spans="1:20" x14ac:dyDescent="0.25">
      <c r="A1076" s="364" t="s">
        <v>964</v>
      </c>
      <c r="B1076" s="361" t="s">
        <v>965</v>
      </c>
      <c r="C1076" t="s">
        <v>1922</v>
      </c>
      <c r="D1076" s="361">
        <v>1</v>
      </c>
      <c r="E1076" s="364"/>
      <c r="F1076" s="361" t="s">
        <v>1917</v>
      </c>
      <c r="T1076" s="361">
        <v>74.290000000000006</v>
      </c>
    </row>
    <row r="1077" spans="1:20" x14ac:dyDescent="0.25">
      <c r="A1077" s="364" t="s">
        <v>3416</v>
      </c>
      <c r="B1077" s="361" t="s">
        <v>3417</v>
      </c>
      <c r="C1077" t="s">
        <v>1920</v>
      </c>
      <c r="D1077" s="361">
        <v>20</v>
      </c>
      <c r="E1077" s="364"/>
      <c r="F1077" s="361" t="s">
        <v>2201</v>
      </c>
      <c r="T1077" s="361">
        <v>48.8</v>
      </c>
    </row>
    <row r="1078" spans="1:20" x14ac:dyDescent="0.25">
      <c r="A1078" s="364" t="s">
        <v>3418</v>
      </c>
      <c r="B1078" s="361" t="s">
        <v>3419</v>
      </c>
      <c r="C1078" t="s">
        <v>1920</v>
      </c>
      <c r="D1078" s="361">
        <v>20</v>
      </c>
      <c r="E1078" s="364"/>
      <c r="F1078" s="361" t="s">
        <v>2201</v>
      </c>
      <c r="T1078" s="361">
        <v>48.8</v>
      </c>
    </row>
    <row r="1079" spans="1:20" x14ac:dyDescent="0.25">
      <c r="A1079" s="364" t="s">
        <v>3420</v>
      </c>
      <c r="B1079" s="361" t="s">
        <v>3421</v>
      </c>
      <c r="C1079" t="s">
        <v>1920</v>
      </c>
      <c r="D1079" s="361">
        <v>45</v>
      </c>
      <c r="E1079" s="364"/>
      <c r="F1079" s="361" t="s">
        <v>1917</v>
      </c>
      <c r="T1079" s="361">
        <v>34.799999999999997</v>
      </c>
    </row>
    <row r="1080" spans="1:20" x14ac:dyDescent="0.25">
      <c r="A1080" s="364" t="s">
        <v>966</v>
      </c>
      <c r="B1080" s="361" t="s">
        <v>967</v>
      </c>
      <c r="C1080" t="s">
        <v>1922</v>
      </c>
      <c r="D1080" s="361">
        <v>97</v>
      </c>
      <c r="E1080" s="364"/>
      <c r="F1080" s="361" t="s">
        <v>1921</v>
      </c>
      <c r="T1080" s="361">
        <v>34.49</v>
      </c>
    </row>
    <row r="1081" spans="1:20" x14ac:dyDescent="0.25">
      <c r="A1081" s="364" t="s">
        <v>3422</v>
      </c>
      <c r="B1081" s="361" t="s">
        <v>3423</v>
      </c>
      <c r="C1081" t="s">
        <v>1920</v>
      </c>
      <c r="D1081" s="361">
        <v>20</v>
      </c>
      <c r="E1081" s="364"/>
      <c r="F1081" s="361" t="s">
        <v>2201</v>
      </c>
      <c r="T1081" s="361">
        <v>48.8</v>
      </c>
    </row>
    <row r="1082" spans="1:20" x14ac:dyDescent="0.25">
      <c r="A1082" s="364" t="s">
        <v>3424</v>
      </c>
      <c r="B1082" s="361" t="s">
        <v>3425</v>
      </c>
      <c r="C1082" t="s">
        <v>1920</v>
      </c>
      <c r="D1082" s="361">
        <v>15</v>
      </c>
      <c r="E1082" s="364"/>
      <c r="F1082" s="361" t="s">
        <v>1917</v>
      </c>
      <c r="T1082" s="361">
        <v>24.9</v>
      </c>
    </row>
    <row r="1083" spans="1:20" x14ac:dyDescent="0.25">
      <c r="A1083" s="364" t="s">
        <v>341</v>
      </c>
      <c r="B1083" s="361" t="s">
        <v>3426</v>
      </c>
      <c r="C1083" t="s">
        <v>1920</v>
      </c>
      <c r="D1083" s="361">
        <v>16</v>
      </c>
      <c r="E1083" s="364"/>
      <c r="F1083" s="361" t="s">
        <v>1917</v>
      </c>
      <c r="T1083" s="361">
        <v>16.5</v>
      </c>
    </row>
    <row r="1084" spans="1:20" x14ac:dyDescent="0.25">
      <c r="A1084" s="364" t="s">
        <v>3427</v>
      </c>
      <c r="B1084" s="361" t="s">
        <v>3428</v>
      </c>
      <c r="C1084" t="s">
        <v>1920</v>
      </c>
      <c r="D1084" s="361">
        <v>33</v>
      </c>
      <c r="E1084" s="364"/>
      <c r="F1084" s="361" t="s">
        <v>1921</v>
      </c>
      <c r="T1084" s="361">
        <v>0.11778</v>
      </c>
    </row>
    <row r="1085" spans="1:20" x14ac:dyDescent="0.25">
      <c r="A1085" s="364" t="s">
        <v>3429</v>
      </c>
      <c r="B1085" s="361" t="s">
        <v>3430</v>
      </c>
      <c r="C1085" t="s">
        <v>1920</v>
      </c>
      <c r="D1085" s="361">
        <v>33</v>
      </c>
      <c r="E1085" s="364"/>
      <c r="F1085" s="361" t="s">
        <v>1921</v>
      </c>
      <c r="T1085" s="361">
        <v>3.9260000000000003E-2</v>
      </c>
    </row>
    <row r="1086" spans="1:20" x14ac:dyDescent="0.25">
      <c r="A1086" s="364" t="s">
        <v>3431</v>
      </c>
      <c r="B1086" s="361" t="s">
        <v>3432</v>
      </c>
      <c r="C1086" t="s">
        <v>1920</v>
      </c>
      <c r="D1086" s="361">
        <v>50</v>
      </c>
      <c r="E1086" s="364"/>
      <c r="F1086" s="361" t="s">
        <v>1921</v>
      </c>
      <c r="T1086" s="361">
        <v>3.4200000000000001E-2</v>
      </c>
    </row>
    <row r="1087" spans="1:20" x14ac:dyDescent="0.25">
      <c r="A1087" s="364" t="s">
        <v>3433</v>
      </c>
      <c r="B1087" s="361" t="s">
        <v>3434</v>
      </c>
      <c r="C1087" t="s">
        <v>1920</v>
      </c>
      <c r="D1087" s="361">
        <v>50</v>
      </c>
      <c r="E1087" s="364"/>
      <c r="F1087" s="361" t="s">
        <v>1921</v>
      </c>
      <c r="T1087" s="361">
        <v>3.4200000000000001E-2</v>
      </c>
    </row>
    <row r="1088" spans="1:20" x14ac:dyDescent="0.25">
      <c r="A1088" s="364" t="s">
        <v>3435</v>
      </c>
      <c r="B1088" s="361" t="s">
        <v>3436</v>
      </c>
      <c r="C1088" t="s">
        <v>1920</v>
      </c>
      <c r="D1088" s="361">
        <v>12</v>
      </c>
      <c r="E1088" s="364"/>
      <c r="F1088" s="361" t="s">
        <v>1921</v>
      </c>
      <c r="T1088" s="361">
        <v>0.17499999999999999</v>
      </c>
    </row>
    <row r="1089" spans="1:20" x14ac:dyDescent="0.25">
      <c r="A1089" s="364" t="s">
        <v>3437</v>
      </c>
      <c r="B1089" s="361" t="s">
        <v>3438</v>
      </c>
      <c r="C1089" t="s">
        <v>1920</v>
      </c>
      <c r="D1089" s="361">
        <v>20</v>
      </c>
      <c r="E1089" s="364"/>
      <c r="F1089" s="361" t="s">
        <v>2201</v>
      </c>
      <c r="T1089" s="361">
        <v>48.8</v>
      </c>
    </row>
    <row r="1090" spans="1:20" x14ac:dyDescent="0.25">
      <c r="A1090" s="364" t="s">
        <v>3439</v>
      </c>
      <c r="B1090" s="361" t="s">
        <v>3440</v>
      </c>
      <c r="C1090" t="s">
        <v>1920</v>
      </c>
      <c r="D1090" s="361">
        <v>50</v>
      </c>
      <c r="E1090" s="364"/>
      <c r="F1090" s="361" t="s">
        <v>1921</v>
      </c>
      <c r="T1090" s="361">
        <v>3.4200000000000001E-2</v>
      </c>
    </row>
    <row r="1091" spans="1:20" x14ac:dyDescent="0.25">
      <c r="A1091" s="364" t="s">
        <v>3441</v>
      </c>
      <c r="B1091" s="361" t="s">
        <v>3442</v>
      </c>
      <c r="C1091" t="s">
        <v>1920</v>
      </c>
      <c r="D1091" s="361">
        <v>20</v>
      </c>
      <c r="E1091" s="364"/>
      <c r="F1091" s="361" t="s">
        <v>2201</v>
      </c>
      <c r="T1091" s="361">
        <v>41.9</v>
      </c>
    </row>
    <row r="1092" spans="1:20" x14ac:dyDescent="0.25">
      <c r="A1092" s="364" t="s">
        <v>3443</v>
      </c>
      <c r="B1092" s="361" t="s">
        <v>3444</v>
      </c>
      <c r="C1092" t="s">
        <v>1920</v>
      </c>
      <c r="D1092" s="361">
        <v>24</v>
      </c>
      <c r="E1092" s="364"/>
      <c r="F1092" s="361" t="s">
        <v>1921</v>
      </c>
      <c r="T1092" s="361">
        <v>0.51200000000000001</v>
      </c>
    </row>
    <row r="1093" spans="1:20" x14ac:dyDescent="0.25">
      <c r="A1093" s="364" t="s">
        <v>3445</v>
      </c>
      <c r="B1093" s="361" t="s">
        <v>3446</v>
      </c>
      <c r="C1093" t="s">
        <v>1920</v>
      </c>
      <c r="D1093" s="361">
        <v>24</v>
      </c>
      <c r="E1093" s="364"/>
      <c r="F1093" s="361" t="s">
        <v>1921</v>
      </c>
      <c r="T1093" s="361">
        <v>0.52170000000000005</v>
      </c>
    </row>
    <row r="1094" spans="1:20" x14ac:dyDescent="0.25">
      <c r="A1094" s="364" t="s">
        <v>3447</v>
      </c>
      <c r="B1094" s="361" t="s">
        <v>3448</v>
      </c>
      <c r="C1094" t="s">
        <v>1920</v>
      </c>
      <c r="D1094" s="361">
        <v>24</v>
      </c>
      <c r="E1094" s="364"/>
      <c r="F1094" s="361" t="s">
        <v>1921</v>
      </c>
      <c r="T1094" s="361">
        <v>0.54610000000000003</v>
      </c>
    </row>
    <row r="1095" spans="1:20" x14ac:dyDescent="0.25">
      <c r="A1095" s="364" t="s">
        <v>3449</v>
      </c>
      <c r="B1095" s="361" t="s">
        <v>3450</v>
      </c>
      <c r="C1095" t="s">
        <v>1920</v>
      </c>
      <c r="D1095" s="361">
        <v>24</v>
      </c>
      <c r="E1095" s="364"/>
      <c r="F1095" s="361" t="s">
        <v>1921</v>
      </c>
      <c r="T1095" s="361">
        <v>0.51168000000000002</v>
      </c>
    </row>
    <row r="1096" spans="1:20" x14ac:dyDescent="0.25">
      <c r="A1096" s="364" t="s">
        <v>3451</v>
      </c>
      <c r="B1096" s="361" t="s">
        <v>3452</v>
      </c>
      <c r="C1096" t="s">
        <v>1920</v>
      </c>
      <c r="D1096" s="361">
        <v>24</v>
      </c>
      <c r="E1096" s="364"/>
      <c r="F1096" s="361" t="s">
        <v>1921</v>
      </c>
      <c r="T1096" s="361">
        <v>0.28328999999999999</v>
      </c>
    </row>
    <row r="1097" spans="1:20" x14ac:dyDescent="0.25">
      <c r="A1097" s="364" t="s">
        <v>3453</v>
      </c>
      <c r="B1097" s="361" t="s">
        <v>3454</v>
      </c>
      <c r="C1097" t="s">
        <v>1920</v>
      </c>
      <c r="D1097" s="361">
        <v>24</v>
      </c>
      <c r="E1097" s="364"/>
      <c r="F1097" s="361" t="s">
        <v>1921</v>
      </c>
      <c r="T1097" s="361">
        <v>0.21451000000000001</v>
      </c>
    </row>
    <row r="1098" spans="1:20" x14ac:dyDescent="0.25">
      <c r="A1098" s="364" t="s">
        <v>3455</v>
      </c>
      <c r="B1098" s="361" t="s">
        <v>3456</v>
      </c>
      <c r="C1098" t="s">
        <v>1920</v>
      </c>
      <c r="D1098" s="361">
        <v>42</v>
      </c>
      <c r="E1098" s="364"/>
      <c r="F1098" s="361" t="s">
        <v>2201</v>
      </c>
      <c r="T1098" s="361">
        <v>125.79</v>
      </c>
    </row>
    <row r="1099" spans="1:20" x14ac:dyDescent="0.25">
      <c r="A1099" s="364" t="s">
        <v>3457</v>
      </c>
      <c r="B1099" s="361" t="s">
        <v>3458</v>
      </c>
      <c r="C1099" t="s">
        <v>1920</v>
      </c>
      <c r="D1099" s="361">
        <v>42</v>
      </c>
      <c r="E1099" s="364"/>
      <c r="F1099" s="361" t="s">
        <v>2201</v>
      </c>
      <c r="T1099" s="361">
        <v>130.02000000000001</v>
      </c>
    </row>
    <row r="1100" spans="1:20" x14ac:dyDescent="0.25">
      <c r="A1100" s="364" t="s">
        <v>3459</v>
      </c>
      <c r="B1100" s="361" t="s">
        <v>3460</v>
      </c>
      <c r="C1100" t="s">
        <v>1920</v>
      </c>
      <c r="D1100" s="361">
        <v>24</v>
      </c>
      <c r="E1100" s="364"/>
      <c r="F1100" s="361" t="s">
        <v>2201</v>
      </c>
      <c r="T1100" s="361">
        <v>180.41739999999999</v>
      </c>
    </row>
    <row r="1101" spans="1:20" x14ac:dyDescent="0.25">
      <c r="A1101" s="364" t="s">
        <v>3461</v>
      </c>
      <c r="B1101" s="361" t="s">
        <v>3462</v>
      </c>
      <c r="C1101" t="s">
        <v>1920</v>
      </c>
      <c r="D1101" s="361">
        <v>15</v>
      </c>
      <c r="E1101" s="364"/>
      <c r="F1101" s="361" t="s">
        <v>1917</v>
      </c>
      <c r="T1101" s="361">
        <v>60.35</v>
      </c>
    </row>
    <row r="1102" spans="1:20" x14ac:dyDescent="0.25">
      <c r="A1102" s="364" t="s">
        <v>3463</v>
      </c>
      <c r="B1102" s="361" t="s">
        <v>3464</v>
      </c>
      <c r="C1102" t="s">
        <v>1920</v>
      </c>
      <c r="D1102" s="361">
        <v>54</v>
      </c>
      <c r="E1102" s="364"/>
      <c r="F1102" s="361" t="s">
        <v>1921</v>
      </c>
      <c r="T1102" s="361">
        <v>0.19384999999999999</v>
      </c>
    </row>
    <row r="1103" spans="1:20" x14ac:dyDescent="0.25">
      <c r="A1103" s="364" t="s">
        <v>3465</v>
      </c>
      <c r="B1103" s="361" t="s">
        <v>3466</v>
      </c>
      <c r="C1103" t="s">
        <v>1920</v>
      </c>
      <c r="D1103" s="361">
        <v>54</v>
      </c>
      <c r="E1103" s="364"/>
      <c r="F1103" s="361" t="s">
        <v>1921</v>
      </c>
      <c r="T1103" s="361">
        <v>0.20172000000000001</v>
      </c>
    </row>
    <row r="1104" spans="1:20" x14ac:dyDescent="0.25">
      <c r="A1104" s="364" t="s">
        <v>3467</v>
      </c>
      <c r="B1104" s="361" t="s">
        <v>3221</v>
      </c>
      <c r="C1104">
        <v>2</v>
      </c>
      <c r="D1104" s="361">
        <v>97</v>
      </c>
      <c r="E1104" s="364"/>
      <c r="F1104" s="361" t="s">
        <v>1921</v>
      </c>
      <c r="T1104" s="361">
        <v>89.32</v>
      </c>
    </row>
    <row r="1105" spans="1:20" x14ac:dyDescent="0.25">
      <c r="A1105" s="364" t="s">
        <v>3468</v>
      </c>
      <c r="B1105" s="361" t="s">
        <v>3469</v>
      </c>
      <c r="C1105" t="s">
        <v>1920</v>
      </c>
      <c r="D1105" s="361">
        <v>12</v>
      </c>
      <c r="E1105" s="364"/>
      <c r="F1105" s="361" t="s">
        <v>1921</v>
      </c>
      <c r="T1105" s="361">
        <v>7.8670000000000004E-2</v>
      </c>
    </row>
    <row r="1106" spans="1:20" x14ac:dyDescent="0.25">
      <c r="A1106" s="364" t="s">
        <v>3470</v>
      </c>
      <c r="B1106" s="361" t="s">
        <v>3471</v>
      </c>
      <c r="C1106" t="s">
        <v>1920</v>
      </c>
      <c r="D1106" s="361">
        <v>15</v>
      </c>
      <c r="E1106" s="364"/>
      <c r="F1106" s="361" t="s">
        <v>1917</v>
      </c>
      <c r="T1106" s="361">
        <v>48.77</v>
      </c>
    </row>
    <row r="1107" spans="1:20" x14ac:dyDescent="0.25">
      <c r="A1107" s="364" t="s">
        <v>3472</v>
      </c>
      <c r="B1107" s="361" t="s">
        <v>3473</v>
      </c>
      <c r="C1107" t="s">
        <v>1920</v>
      </c>
      <c r="D1107" s="361">
        <v>24</v>
      </c>
      <c r="E1107" s="364"/>
      <c r="F1107" s="361" t="s">
        <v>2201</v>
      </c>
      <c r="T1107" s="361">
        <v>199.55520000000001</v>
      </c>
    </row>
    <row r="1108" spans="1:20" x14ac:dyDescent="0.25">
      <c r="A1108" s="364" t="s">
        <v>3474</v>
      </c>
      <c r="B1108" s="361" t="s">
        <v>3475</v>
      </c>
      <c r="C1108" t="s">
        <v>1920</v>
      </c>
      <c r="D1108" s="361">
        <v>22</v>
      </c>
      <c r="E1108" s="364"/>
      <c r="F1108" s="361" t="s">
        <v>2201</v>
      </c>
      <c r="T1108" s="361">
        <v>37.35</v>
      </c>
    </row>
    <row r="1109" spans="1:20" x14ac:dyDescent="0.25">
      <c r="A1109" s="364" t="s">
        <v>3476</v>
      </c>
      <c r="B1109" s="361" t="s">
        <v>3477</v>
      </c>
      <c r="C1109" t="s">
        <v>1920</v>
      </c>
      <c r="D1109" s="361">
        <v>24</v>
      </c>
      <c r="E1109" s="364"/>
      <c r="F1109" s="361" t="s">
        <v>2201</v>
      </c>
      <c r="T1109" s="361">
        <v>268.63200000000001</v>
      </c>
    </row>
    <row r="1110" spans="1:20" x14ac:dyDescent="0.25">
      <c r="A1110" s="364" t="s">
        <v>3478</v>
      </c>
      <c r="B1110" s="361" t="s">
        <v>3479</v>
      </c>
      <c r="C1110" t="s">
        <v>1920</v>
      </c>
      <c r="D1110" s="361">
        <v>27</v>
      </c>
      <c r="E1110" s="364"/>
      <c r="F1110" s="361" t="s">
        <v>1921</v>
      </c>
      <c r="T1110" s="361">
        <v>1.1200000000000001</v>
      </c>
    </row>
    <row r="1111" spans="1:20" x14ac:dyDescent="0.25">
      <c r="A1111" s="364" t="s">
        <v>3480</v>
      </c>
      <c r="B1111" s="361" t="s">
        <v>3481</v>
      </c>
      <c r="C1111" t="s">
        <v>1920</v>
      </c>
      <c r="D1111" s="361">
        <v>12</v>
      </c>
      <c r="E1111" s="364"/>
      <c r="F1111" s="361" t="s">
        <v>2201</v>
      </c>
      <c r="T1111" s="361">
        <v>77</v>
      </c>
    </row>
    <row r="1112" spans="1:20" x14ac:dyDescent="0.25">
      <c r="A1112" s="364" t="s">
        <v>3482</v>
      </c>
      <c r="B1112" s="361" t="s">
        <v>3483</v>
      </c>
      <c r="C1112" t="s">
        <v>1920</v>
      </c>
      <c r="D1112" s="361">
        <v>12</v>
      </c>
      <c r="E1112" s="364"/>
      <c r="F1112" s="361" t="s">
        <v>2201</v>
      </c>
      <c r="T1112" s="361">
        <v>232.77</v>
      </c>
    </row>
    <row r="1113" spans="1:20" x14ac:dyDescent="0.25">
      <c r="A1113" s="364" t="s">
        <v>3484</v>
      </c>
      <c r="B1113" s="361" t="s">
        <v>3485</v>
      </c>
      <c r="C1113" t="s">
        <v>1920</v>
      </c>
      <c r="D1113" s="361">
        <v>12</v>
      </c>
      <c r="E1113" s="364"/>
      <c r="F1113" s="361" t="s">
        <v>2201</v>
      </c>
      <c r="T1113" s="361">
        <v>190.2</v>
      </c>
    </row>
    <row r="1114" spans="1:20" x14ac:dyDescent="0.25">
      <c r="A1114" s="364" t="s">
        <v>3486</v>
      </c>
      <c r="B1114" s="361" t="s">
        <v>3487</v>
      </c>
      <c r="C1114" t="s">
        <v>1920</v>
      </c>
      <c r="D1114" s="361">
        <v>24</v>
      </c>
      <c r="E1114" s="364"/>
      <c r="F1114" s="361" t="s">
        <v>1921</v>
      </c>
      <c r="T1114" s="361">
        <v>0.24560999999999999</v>
      </c>
    </row>
    <row r="1115" spans="1:20" x14ac:dyDescent="0.25">
      <c r="A1115" s="364" t="s">
        <v>3488</v>
      </c>
      <c r="B1115" s="361" t="s">
        <v>3489</v>
      </c>
      <c r="C1115" t="s">
        <v>1920</v>
      </c>
      <c r="D1115" s="361">
        <v>24</v>
      </c>
      <c r="E1115" s="364"/>
      <c r="F1115" s="361" t="s">
        <v>1921</v>
      </c>
      <c r="T1115" s="361">
        <v>0.51170000000000004</v>
      </c>
    </row>
    <row r="1116" spans="1:20" x14ac:dyDescent="0.25">
      <c r="A1116" s="364" t="s">
        <v>3490</v>
      </c>
      <c r="B1116" s="361" t="s">
        <v>3491</v>
      </c>
      <c r="C1116" t="s">
        <v>1920</v>
      </c>
      <c r="D1116" s="361" t="s">
        <v>2394</v>
      </c>
      <c r="E1116" s="364"/>
      <c r="F1116" s="361" t="s">
        <v>2201</v>
      </c>
      <c r="T1116" s="361">
        <v>423.46</v>
      </c>
    </row>
    <row r="1117" spans="1:20" x14ac:dyDescent="0.25">
      <c r="A1117" s="364" t="s">
        <v>3492</v>
      </c>
      <c r="B1117" s="361" t="s">
        <v>3493</v>
      </c>
      <c r="C1117">
        <v>2</v>
      </c>
      <c r="D1117" s="361">
        <v>97</v>
      </c>
      <c r="E1117" s="364"/>
      <c r="F1117" s="361" t="s">
        <v>1921</v>
      </c>
      <c r="T1117" s="361">
        <v>5.22</v>
      </c>
    </row>
    <row r="1118" spans="1:20" x14ac:dyDescent="0.25">
      <c r="A1118" s="364" t="s">
        <v>3494</v>
      </c>
      <c r="B1118" s="361" t="s">
        <v>3495</v>
      </c>
      <c r="C1118">
        <v>2</v>
      </c>
      <c r="D1118" s="361">
        <v>97</v>
      </c>
      <c r="E1118" s="364"/>
      <c r="F1118" s="361" t="s">
        <v>1921</v>
      </c>
      <c r="T1118" s="361">
        <v>5.6115000000000004</v>
      </c>
    </row>
    <row r="1119" spans="1:20" x14ac:dyDescent="0.25">
      <c r="A1119" s="364" t="s">
        <v>3496</v>
      </c>
      <c r="B1119" s="361" t="s">
        <v>3497</v>
      </c>
      <c r="C1119" t="s">
        <v>2419</v>
      </c>
      <c r="D1119" s="361">
        <v>4</v>
      </c>
      <c r="E1119" s="364"/>
      <c r="F1119" s="361" t="s">
        <v>1921</v>
      </c>
      <c r="T1119" s="361">
        <v>0.153</v>
      </c>
    </row>
    <row r="1120" spans="1:20" x14ac:dyDescent="0.25">
      <c r="A1120" s="364" t="s">
        <v>968</v>
      </c>
      <c r="B1120" s="361" t="s">
        <v>969</v>
      </c>
      <c r="C1120" t="s">
        <v>1916</v>
      </c>
      <c r="D1120" s="361">
        <v>2</v>
      </c>
      <c r="E1120" s="364"/>
      <c r="F1120" s="361" t="s">
        <v>1917</v>
      </c>
      <c r="T1120" s="361">
        <v>27.12</v>
      </c>
    </row>
    <row r="1121" spans="1:20" x14ac:dyDescent="0.25">
      <c r="A1121" s="364" t="s">
        <v>3498</v>
      </c>
      <c r="B1121" s="361" t="s">
        <v>3499</v>
      </c>
      <c r="C1121" t="s">
        <v>2419</v>
      </c>
      <c r="D1121" s="361">
        <v>4</v>
      </c>
      <c r="E1121" s="364"/>
      <c r="F1121" s="361" t="s">
        <v>1921</v>
      </c>
      <c r="T1121" s="361">
        <v>0.30499999999999999</v>
      </c>
    </row>
    <row r="1122" spans="1:20" x14ac:dyDescent="0.25">
      <c r="A1122" s="364" t="s">
        <v>3500</v>
      </c>
      <c r="B1122" s="361" t="s">
        <v>3501</v>
      </c>
      <c r="C1122" t="s">
        <v>2419</v>
      </c>
      <c r="D1122" s="361">
        <v>4</v>
      </c>
      <c r="E1122" s="364"/>
      <c r="F1122" s="361" t="s">
        <v>1921</v>
      </c>
      <c r="T1122" s="361">
        <v>0.50929999999999997</v>
      </c>
    </row>
    <row r="1123" spans="1:20" x14ac:dyDescent="0.25">
      <c r="A1123" s="364" t="s">
        <v>3502</v>
      </c>
      <c r="B1123" s="361" t="s">
        <v>3503</v>
      </c>
      <c r="C1123" t="s">
        <v>2419</v>
      </c>
      <c r="D1123" s="361">
        <v>4</v>
      </c>
      <c r="E1123" s="364"/>
      <c r="F1123" s="361" t="s">
        <v>1921</v>
      </c>
      <c r="T1123" s="361">
        <v>0.7601</v>
      </c>
    </row>
    <row r="1124" spans="1:20" x14ac:dyDescent="0.25">
      <c r="A1124" s="364" t="s">
        <v>3504</v>
      </c>
      <c r="B1124" s="361" t="s">
        <v>3505</v>
      </c>
      <c r="C1124" t="s">
        <v>1920</v>
      </c>
      <c r="D1124" s="361">
        <v>56</v>
      </c>
      <c r="E1124" s="364"/>
      <c r="F1124" s="361" t="s">
        <v>1921</v>
      </c>
      <c r="T1124" s="361">
        <v>0.496</v>
      </c>
    </row>
    <row r="1125" spans="1:20" x14ac:dyDescent="0.25">
      <c r="A1125" s="364" t="s">
        <v>188</v>
      </c>
      <c r="B1125" s="361" t="s">
        <v>970</v>
      </c>
      <c r="C1125" t="s">
        <v>1916</v>
      </c>
      <c r="D1125" s="361">
        <v>2</v>
      </c>
      <c r="E1125" s="364"/>
      <c r="F1125" s="361" t="s">
        <v>1917</v>
      </c>
      <c r="T1125" s="361">
        <v>123</v>
      </c>
    </row>
    <row r="1126" spans="1:20" x14ac:dyDescent="0.25">
      <c r="A1126" s="364" t="s">
        <v>138</v>
      </c>
      <c r="B1126" s="361" t="s">
        <v>971</v>
      </c>
      <c r="C1126" t="s">
        <v>1922</v>
      </c>
      <c r="D1126" s="361">
        <v>1</v>
      </c>
      <c r="E1126" s="364"/>
      <c r="F1126" s="361" t="s">
        <v>1921</v>
      </c>
      <c r="T1126" s="361">
        <v>6.8999999999999999E-3</v>
      </c>
    </row>
    <row r="1127" spans="1:20" x14ac:dyDescent="0.25">
      <c r="A1127" s="364" t="s">
        <v>137</v>
      </c>
      <c r="B1127" s="361" t="s">
        <v>972</v>
      </c>
      <c r="C1127" t="s">
        <v>1922</v>
      </c>
      <c r="D1127" s="361">
        <v>1</v>
      </c>
      <c r="E1127" s="364"/>
      <c r="F1127" s="361" t="s">
        <v>1921</v>
      </c>
      <c r="T1127" s="361">
        <v>6.8999999999999999E-3</v>
      </c>
    </row>
    <row r="1128" spans="1:20" x14ac:dyDescent="0.25">
      <c r="A1128" s="364" t="s">
        <v>973</v>
      </c>
      <c r="B1128" s="361" t="s">
        <v>974</v>
      </c>
      <c r="C1128" t="s">
        <v>1916</v>
      </c>
      <c r="D1128" s="361">
        <v>2</v>
      </c>
      <c r="E1128" s="364"/>
      <c r="F1128" s="361" t="s">
        <v>1917</v>
      </c>
      <c r="T1128" s="361">
        <v>317.00479000000001</v>
      </c>
    </row>
    <row r="1129" spans="1:20" x14ac:dyDescent="0.25">
      <c r="A1129" s="364" t="s">
        <v>3506</v>
      </c>
      <c r="B1129" s="361" t="s">
        <v>3507</v>
      </c>
      <c r="C1129" t="s">
        <v>1920</v>
      </c>
      <c r="D1129" s="361">
        <v>15</v>
      </c>
      <c r="E1129" s="364"/>
      <c r="F1129" s="361" t="s">
        <v>1917</v>
      </c>
      <c r="T1129" s="361">
        <v>12.85</v>
      </c>
    </row>
    <row r="1130" spans="1:20" x14ac:dyDescent="0.25">
      <c r="A1130" s="364" t="s">
        <v>3508</v>
      </c>
      <c r="B1130" s="361" t="s">
        <v>3509</v>
      </c>
      <c r="C1130" t="s">
        <v>1920</v>
      </c>
      <c r="D1130" s="361">
        <v>24</v>
      </c>
      <c r="E1130" s="364"/>
      <c r="F1130" s="361" t="s">
        <v>1921</v>
      </c>
      <c r="T1130" s="361">
        <v>6.6909999999999997E-2</v>
      </c>
    </row>
    <row r="1131" spans="1:20" x14ac:dyDescent="0.25">
      <c r="A1131" s="364" t="s">
        <v>3510</v>
      </c>
      <c r="B1131" s="361" t="s">
        <v>3511</v>
      </c>
      <c r="C1131" t="s">
        <v>1920</v>
      </c>
      <c r="D1131" s="361">
        <v>24</v>
      </c>
      <c r="E1131" s="364"/>
      <c r="F1131" s="361" t="s">
        <v>1921</v>
      </c>
      <c r="T1131" s="361">
        <v>0.14268</v>
      </c>
    </row>
    <row r="1132" spans="1:20" x14ac:dyDescent="0.25">
      <c r="A1132" s="364" t="s">
        <v>3512</v>
      </c>
      <c r="B1132" s="361" t="s">
        <v>3513</v>
      </c>
      <c r="C1132" t="s">
        <v>1920</v>
      </c>
      <c r="D1132" s="361">
        <v>27</v>
      </c>
      <c r="E1132" s="364"/>
      <c r="F1132" s="361" t="s">
        <v>1921</v>
      </c>
      <c r="T1132" s="361">
        <v>0.56799999999999995</v>
      </c>
    </row>
    <row r="1133" spans="1:20" x14ac:dyDescent="0.25">
      <c r="A1133" s="364" t="s">
        <v>381</v>
      </c>
      <c r="B1133" s="361" t="s">
        <v>3514</v>
      </c>
      <c r="C1133" t="s">
        <v>1920</v>
      </c>
      <c r="D1133" s="361">
        <v>15</v>
      </c>
      <c r="E1133" s="364"/>
      <c r="F1133" s="361" t="s">
        <v>1917</v>
      </c>
      <c r="T1133" s="361">
        <v>39.4</v>
      </c>
    </row>
    <row r="1134" spans="1:20" x14ac:dyDescent="0.25">
      <c r="A1134" s="364" t="s">
        <v>3515</v>
      </c>
      <c r="B1134" s="361" t="s">
        <v>3516</v>
      </c>
      <c r="C1134" t="s">
        <v>1920</v>
      </c>
      <c r="D1134" s="361">
        <v>15</v>
      </c>
      <c r="E1134" s="364"/>
      <c r="F1134" s="361" t="s">
        <v>1917</v>
      </c>
      <c r="T1134" s="361">
        <v>39.4</v>
      </c>
    </row>
    <row r="1135" spans="1:20" x14ac:dyDescent="0.25">
      <c r="A1135" s="364" t="s">
        <v>3517</v>
      </c>
      <c r="B1135" s="361" t="s">
        <v>3518</v>
      </c>
      <c r="C1135" t="s">
        <v>1920</v>
      </c>
      <c r="D1135" s="361">
        <v>15</v>
      </c>
      <c r="E1135" s="364"/>
      <c r="F1135" s="361" t="s">
        <v>1917</v>
      </c>
      <c r="T1135" s="361">
        <v>39.4</v>
      </c>
    </row>
    <row r="1136" spans="1:20" x14ac:dyDescent="0.25">
      <c r="A1136" s="364" t="s">
        <v>3519</v>
      </c>
      <c r="B1136" s="361" t="s">
        <v>3520</v>
      </c>
      <c r="C1136" t="s">
        <v>1920</v>
      </c>
      <c r="D1136" s="361">
        <v>24</v>
      </c>
      <c r="E1136" s="364"/>
      <c r="F1136" s="361" t="s">
        <v>1921</v>
      </c>
      <c r="T1136" s="361">
        <v>0.37195</v>
      </c>
    </row>
    <row r="1137" spans="1:20" x14ac:dyDescent="0.25">
      <c r="A1137" s="364" t="s">
        <v>450</v>
      </c>
      <c r="B1137" s="361" t="s">
        <v>3521</v>
      </c>
      <c r="C1137" t="s">
        <v>1920</v>
      </c>
      <c r="D1137" s="361">
        <v>24</v>
      </c>
      <c r="E1137" s="364"/>
      <c r="F1137" s="361" t="s">
        <v>1921</v>
      </c>
      <c r="T1137" s="361">
        <v>0.31222</v>
      </c>
    </row>
    <row r="1138" spans="1:20" x14ac:dyDescent="0.25">
      <c r="A1138" s="364" t="s">
        <v>3522</v>
      </c>
      <c r="B1138" s="361" t="s">
        <v>3523</v>
      </c>
      <c r="C1138" t="s">
        <v>1920</v>
      </c>
      <c r="D1138" s="361">
        <v>24</v>
      </c>
      <c r="E1138" s="364"/>
      <c r="F1138" s="361" t="s">
        <v>1921</v>
      </c>
      <c r="T1138" s="361">
        <v>0.41131000000000001</v>
      </c>
    </row>
    <row r="1139" spans="1:20" x14ac:dyDescent="0.25">
      <c r="A1139" s="364" t="s">
        <v>3524</v>
      </c>
      <c r="B1139" s="361" t="s">
        <v>3525</v>
      </c>
      <c r="C1139" t="s">
        <v>1920</v>
      </c>
      <c r="D1139" s="361">
        <v>20</v>
      </c>
      <c r="E1139" s="364"/>
      <c r="F1139" s="361" t="s">
        <v>2201</v>
      </c>
      <c r="T1139" s="361">
        <v>48.8</v>
      </c>
    </row>
    <row r="1140" spans="1:20" x14ac:dyDescent="0.25">
      <c r="A1140" s="364" t="s">
        <v>3526</v>
      </c>
      <c r="B1140" s="361" t="s">
        <v>3527</v>
      </c>
      <c r="C1140" t="s">
        <v>1920</v>
      </c>
      <c r="D1140" s="361">
        <v>20</v>
      </c>
      <c r="E1140" s="364"/>
      <c r="F1140" s="361" t="s">
        <v>2201</v>
      </c>
      <c r="T1140" s="361">
        <v>48.8</v>
      </c>
    </row>
    <row r="1141" spans="1:20" x14ac:dyDescent="0.25">
      <c r="A1141" s="364" t="s">
        <v>3528</v>
      </c>
      <c r="B1141" s="361" t="s">
        <v>3529</v>
      </c>
      <c r="C1141" t="s">
        <v>1920</v>
      </c>
      <c r="D1141" s="361">
        <v>45</v>
      </c>
      <c r="E1141" s="364"/>
      <c r="F1141" s="361" t="s">
        <v>1917</v>
      </c>
      <c r="T1141" s="361">
        <v>39.4</v>
      </c>
    </row>
    <row r="1142" spans="1:20" x14ac:dyDescent="0.25">
      <c r="A1142" s="364" t="s">
        <v>3530</v>
      </c>
      <c r="B1142" s="361" t="s">
        <v>3531</v>
      </c>
      <c r="C1142" t="s">
        <v>1920</v>
      </c>
      <c r="D1142" s="361">
        <v>45</v>
      </c>
      <c r="E1142" s="364"/>
      <c r="F1142" s="361" t="s">
        <v>1917</v>
      </c>
      <c r="T1142" s="361">
        <v>49.6</v>
      </c>
    </row>
    <row r="1143" spans="1:20" x14ac:dyDescent="0.25">
      <c r="A1143" s="364" t="s">
        <v>3532</v>
      </c>
      <c r="B1143" s="361" t="s">
        <v>3533</v>
      </c>
      <c r="C1143" t="s">
        <v>1920</v>
      </c>
      <c r="D1143" s="361">
        <v>54</v>
      </c>
      <c r="E1143" s="364"/>
      <c r="F1143" s="361" t="s">
        <v>1921</v>
      </c>
      <c r="T1143" s="361">
        <v>0.34045999999999998</v>
      </c>
    </row>
    <row r="1144" spans="1:20" x14ac:dyDescent="0.25">
      <c r="A1144" s="364" t="s">
        <v>3534</v>
      </c>
      <c r="B1144" s="361" t="s">
        <v>3535</v>
      </c>
      <c r="C1144" t="s">
        <v>1920</v>
      </c>
      <c r="D1144" s="361">
        <v>54</v>
      </c>
      <c r="E1144" s="364"/>
      <c r="F1144" s="361" t="s">
        <v>1921</v>
      </c>
      <c r="T1144" s="361">
        <v>0.34045999999999998</v>
      </c>
    </row>
    <row r="1145" spans="1:20" x14ac:dyDescent="0.25">
      <c r="A1145" s="364" t="s">
        <v>3536</v>
      </c>
      <c r="B1145" s="361" t="s">
        <v>3537</v>
      </c>
      <c r="C1145" t="s">
        <v>1920</v>
      </c>
      <c r="D1145" s="361">
        <v>20</v>
      </c>
      <c r="E1145" s="364"/>
      <c r="F1145" s="361" t="s">
        <v>2201</v>
      </c>
      <c r="T1145" s="361">
        <v>229.6</v>
      </c>
    </row>
    <row r="1146" spans="1:20" x14ac:dyDescent="0.25">
      <c r="A1146" s="364" t="s">
        <v>3538</v>
      </c>
      <c r="B1146" s="361" t="s">
        <v>3539</v>
      </c>
      <c r="C1146" t="s">
        <v>1920</v>
      </c>
      <c r="D1146" s="361">
        <v>20</v>
      </c>
      <c r="E1146" s="364"/>
      <c r="F1146" s="361" t="s">
        <v>2201</v>
      </c>
      <c r="T1146" s="361">
        <v>229.6</v>
      </c>
    </row>
    <row r="1147" spans="1:20" x14ac:dyDescent="0.25">
      <c r="A1147" s="364" t="s">
        <v>3540</v>
      </c>
      <c r="B1147" s="361" t="s">
        <v>3541</v>
      </c>
      <c r="C1147" t="s">
        <v>1920</v>
      </c>
      <c r="D1147" s="361">
        <v>20</v>
      </c>
      <c r="E1147" s="364"/>
      <c r="F1147" s="361" t="s">
        <v>2201</v>
      </c>
      <c r="T1147" s="361">
        <v>48.8</v>
      </c>
    </row>
    <row r="1148" spans="1:20" x14ac:dyDescent="0.25">
      <c r="A1148" s="364" t="s">
        <v>3542</v>
      </c>
      <c r="B1148" s="361" t="s">
        <v>3543</v>
      </c>
      <c r="C1148" t="s">
        <v>1920</v>
      </c>
      <c r="D1148" s="361">
        <v>20</v>
      </c>
      <c r="E1148" s="364"/>
      <c r="F1148" s="361" t="s">
        <v>2201</v>
      </c>
      <c r="T1148" s="361">
        <v>48.8</v>
      </c>
    </row>
    <row r="1149" spans="1:20" x14ac:dyDescent="0.25">
      <c r="A1149" s="364" t="s">
        <v>975</v>
      </c>
      <c r="B1149" s="361" t="s">
        <v>976</v>
      </c>
      <c r="C1149" t="s">
        <v>1916</v>
      </c>
      <c r="D1149" s="361">
        <v>2</v>
      </c>
      <c r="E1149" s="364"/>
      <c r="F1149" s="361" t="s">
        <v>1917</v>
      </c>
      <c r="T1149" s="361">
        <v>19</v>
      </c>
    </row>
    <row r="1150" spans="1:20" x14ac:dyDescent="0.25">
      <c r="A1150" s="364" t="s">
        <v>3544</v>
      </c>
      <c r="B1150" s="361" t="s">
        <v>3545</v>
      </c>
      <c r="C1150" t="s">
        <v>1920</v>
      </c>
      <c r="D1150" s="361">
        <v>20</v>
      </c>
      <c r="E1150" s="364"/>
      <c r="F1150" s="361" t="s">
        <v>2201</v>
      </c>
      <c r="T1150" s="361">
        <v>48.8</v>
      </c>
    </row>
    <row r="1151" spans="1:20" x14ac:dyDescent="0.25">
      <c r="A1151" s="364" t="s">
        <v>3546</v>
      </c>
      <c r="B1151" s="361" t="s">
        <v>3547</v>
      </c>
      <c r="C1151">
        <v>2</v>
      </c>
      <c r="D1151" s="361">
        <v>96</v>
      </c>
      <c r="E1151" s="364"/>
      <c r="F1151" s="361" t="s">
        <v>1921</v>
      </c>
      <c r="T1151" s="361">
        <v>2.53E-2</v>
      </c>
    </row>
    <row r="1152" spans="1:20" x14ac:dyDescent="0.25">
      <c r="A1152" s="364" t="s">
        <v>3548</v>
      </c>
      <c r="B1152" s="361" t="s">
        <v>3549</v>
      </c>
      <c r="C1152" t="s">
        <v>1920</v>
      </c>
      <c r="D1152" s="361">
        <v>22</v>
      </c>
      <c r="E1152" s="364"/>
      <c r="F1152" s="361" t="s">
        <v>1921</v>
      </c>
      <c r="T1152" s="361">
        <v>525.88</v>
      </c>
    </row>
    <row r="1153" spans="1:20" x14ac:dyDescent="0.25">
      <c r="A1153" s="364" t="s">
        <v>3550</v>
      </c>
      <c r="B1153" s="361" t="s">
        <v>3551</v>
      </c>
      <c r="C1153" t="s">
        <v>1920</v>
      </c>
      <c r="D1153" s="361">
        <v>24</v>
      </c>
      <c r="E1153" s="364"/>
      <c r="F1153" s="361" t="s">
        <v>1921</v>
      </c>
      <c r="T1153" s="361">
        <v>0.24679999999999999</v>
      </c>
    </row>
    <row r="1154" spans="1:20" x14ac:dyDescent="0.25">
      <c r="A1154" s="364" t="s">
        <v>3552</v>
      </c>
      <c r="B1154" s="361" t="s">
        <v>3553</v>
      </c>
      <c r="C1154" t="s">
        <v>1920</v>
      </c>
      <c r="D1154" s="361">
        <v>12</v>
      </c>
      <c r="E1154" s="364"/>
      <c r="F1154" s="361" t="s">
        <v>1921</v>
      </c>
      <c r="T1154" s="361">
        <v>0.10584</v>
      </c>
    </row>
    <row r="1155" spans="1:20" x14ac:dyDescent="0.25">
      <c r="A1155" s="364" t="s">
        <v>3554</v>
      </c>
      <c r="B1155" s="361" t="s">
        <v>3555</v>
      </c>
      <c r="C1155" t="s">
        <v>1920</v>
      </c>
      <c r="D1155" s="361">
        <v>20</v>
      </c>
      <c r="E1155" s="364"/>
      <c r="F1155" s="361" t="s">
        <v>2201</v>
      </c>
      <c r="T1155" s="361">
        <v>48.8</v>
      </c>
    </row>
    <row r="1156" spans="1:20" x14ac:dyDescent="0.25">
      <c r="A1156" s="364" t="s">
        <v>3556</v>
      </c>
      <c r="B1156" s="361" t="s">
        <v>3557</v>
      </c>
      <c r="C1156" t="s">
        <v>2419</v>
      </c>
      <c r="D1156" s="361">
        <v>4</v>
      </c>
      <c r="E1156" s="364"/>
      <c r="F1156" s="361" t="s">
        <v>1921</v>
      </c>
      <c r="T1156" s="361">
        <v>5.6329999999999998E-2</v>
      </c>
    </row>
    <row r="1157" spans="1:20" x14ac:dyDescent="0.25">
      <c r="A1157" s="364" t="s">
        <v>3558</v>
      </c>
      <c r="B1157" s="361" t="s">
        <v>3559</v>
      </c>
      <c r="C1157" t="s">
        <v>1920</v>
      </c>
      <c r="D1157" s="361">
        <v>20</v>
      </c>
      <c r="E1157" s="364"/>
      <c r="F1157" s="361" t="s">
        <v>2201</v>
      </c>
      <c r="T1157" s="361">
        <v>52.2</v>
      </c>
    </row>
    <row r="1158" spans="1:20" x14ac:dyDescent="0.25">
      <c r="A1158" s="364" t="s">
        <v>3560</v>
      </c>
      <c r="B1158" s="361" t="s">
        <v>3561</v>
      </c>
      <c r="C1158" t="s">
        <v>1920</v>
      </c>
      <c r="D1158" s="361">
        <v>27</v>
      </c>
      <c r="E1158" s="364"/>
      <c r="F1158" s="361" t="s">
        <v>1921</v>
      </c>
      <c r="T1158" s="361">
        <v>1.2589999999999999</v>
      </c>
    </row>
    <row r="1159" spans="1:20" x14ac:dyDescent="0.25">
      <c r="A1159" s="364" t="s">
        <v>451</v>
      </c>
      <c r="B1159" s="361" t="s">
        <v>3562</v>
      </c>
      <c r="C1159" t="s">
        <v>1920</v>
      </c>
      <c r="D1159" s="361">
        <v>27</v>
      </c>
      <c r="E1159" s="364"/>
      <c r="F1159" s="361" t="s">
        <v>1921</v>
      </c>
      <c r="T1159" s="361">
        <v>1.1479999999999999</v>
      </c>
    </row>
    <row r="1160" spans="1:20" x14ac:dyDescent="0.25">
      <c r="A1160" s="364" t="s">
        <v>3563</v>
      </c>
      <c r="B1160" s="361" t="s">
        <v>3564</v>
      </c>
      <c r="C1160" t="s">
        <v>1920</v>
      </c>
      <c r="D1160" s="361">
        <v>20</v>
      </c>
      <c r="E1160" s="364"/>
      <c r="F1160" s="361" t="s">
        <v>2201</v>
      </c>
      <c r="T1160" s="361">
        <v>48.8</v>
      </c>
    </row>
    <row r="1161" spans="1:20" x14ac:dyDescent="0.25">
      <c r="A1161" s="364" t="s">
        <v>3565</v>
      </c>
      <c r="B1161" s="361" t="s">
        <v>3566</v>
      </c>
      <c r="C1161" t="s">
        <v>1920</v>
      </c>
      <c r="D1161" s="361">
        <v>27</v>
      </c>
      <c r="E1161" s="364"/>
      <c r="F1161" s="361" t="s">
        <v>1921</v>
      </c>
      <c r="T1161" s="361">
        <v>0.98299999999999998</v>
      </c>
    </row>
    <row r="1162" spans="1:20" x14ac:dyDescent="0.25">
      <c r="A1162" s="364" t="s">
        <v>3567</v>
      </c>
      <c r="B1162" s="361" t="s">
        <v>3568</v>
      </c>
      <c r="C1162" t="s">
        <v>2419</v>
      </c>
      <c r="D1162" s="361">
        <v>4</v>
      </c>
      <c r="E1162" s="364"/>
      <c r="F1162" s="361" t="s">
        <v>1921</v>
      </c>
      <c r="T1162" s="361">
        <v>0.73467000000000005</v>
      </c>
    </row>
    <row r="1163" spans="1:20" x14ac:dyDescent="0.25">
      <c r="A1163" s="364" t="s">
        <v>3569</v>
      </c>
      <c r="B1163" s="361" t="s">
        <v>3570</v>
      </c>
      <c r="C1163" t="s">
        <v>1920</v>
      </c>
      <c r="D1163" s="361">
        <v>15</v>
      </c>
      <c r="E1163" s="364"/>
      <c r="F1163" s="361" t="s">
        <v>1917</v>
      </c>
      <c r="T1163" s="361">
        <v>37.299999999999997</v>
      </c>
    </row>
    <row r="1164" spans="1:20" x14ac:dyDescent="0.25">
      <c r="A1164" s="364" t="s">
        <v>420</v>
      </c>
      <c r="B1164" s="361" t="s">
        <v>3571</v>
      </c>
      <c r="C1164" t="s">
        <v>1920</v>
      </c>
      <c r="D1164" s="361">
        <v>24</v>
      </c>
      <c r="E1164" s="364"/>
      <c r="F1164" s="361" t="s">
        <v>1921</v>
      </c>
      <c r="T1164" s="361">
        <v>0.12092</v>
      </c>
    </row>
    <row r="1165" spans="1:20" x14ac:dyDescent="0.25">
      <c r="A1165" s="364" t="s">
        <v>421</v>
      </c>
      <c r="B1165" s="361" t="s">
        <v>3572</v>
      </c>
      <c r="C1165" t="s">
        <v>1920</v>
      </c>
      <c r="D1165" s="361">
        <v>27</v>
      </c>
      <c r="E1165" s="364"/>
      <c r="F1165" s="361" t="s">
        <v>1921</v>
      </c>
      <c r="T1165" s="361">
        <v>1.204</v>
      </c>
    </row>
    <row r="1166" spans="1:20" x14ac:dyDescent="0.25">
      <c r="A1166" s="364" t="s">
        <v>3573</v>
      </c>
      <c r="B1166" s="361" t="s">
        <v>3574</v>
      </c>
      <c r="C1166" t="s">
        <v>1920</v>
      </c>
      <c r="D1166" s="361">
        <v>24</v>
      </c>
      <c r="E1166" s="364"/>
      <c r="F1166" s="361" t="s">
        <v>2201</v>
      </c>
      <c r="T1166" s="361">
        <v>367.57319999999999</v>
      </c>
    </row>
    <row r="1167" spans="1:20" x14ac:dyDescent="0.25">
      <c r="A1167" s="364" t="s">
        <v>3575</v>
      </c>
      <c r="B1167" s="361" t="s">
        <v>3576</v>
      </c>
      <c r="C1167" t="s">
        <v>1920</v>
      </c>
      <c r="D1167" s="361">
        <v>50</v>
      </c>
      <c r="E1167" s="364"/>
      <c r="F1167" s="361" t="s">
        <v>1921</v>
      </c>
      <c r="T1167" s="361">
        <v>0.12429999999999999</v>
      </c>
    </row>
    <row r="1168" spans="1:20" x14ac:dyDescent="0.25">
      <c r="A1168" s="364" t="s">
        <v>3577</v>
      </c>
      <c r="B1168" s="361" t="s">
        <v>3578</v>
      </c>
      <c r="C1168" t="s">
        <v>1920</v>
      </c>
      <c r="D1168" s="361">
        <v>50</v>
      </c>
      <c r="E1168" s="364"/>
      <c r="F1168" s="361" t="s">
        <v>1921</v>
      </c>
      <c r="T1168" s="361">
        <v>0.11650000000000001</v>
      </c>
    </row>
    <row r="1169" spans="1:20" x14ac:dyDescent="0.25">
      <c r="A1169" s="364" t="s">
        <v>3579</v>
      </c>
      <c r="B1169" s="361" t="s">
        <v>3580</v>
      </c>
      <c r="C1169">
        <v>2</v>
      </c>
      <c r="D1169" s="361">
        <v>97</v>
      </c>
      <c r="E1169" s="364"/>
      <c r="F1169" s="361" t="s">
        <v>1921</v>
      </c>
      <c r="T1169" s="361">
        <v>505.52</v>
      </c>
    </row>
    <row r="1170" spans="1:20" x14ac:dyDescent="0.25">
      <c r="A1170" s="364" t="s">
        <v>3581</v>
      </c>
      <c r="B1170" s="361" t="s">
        <v>3582</v>
      </c>
      <c r="C1170" t="s">
        <v>1920</v>
      </c>
      <c r="D1170" s="361">
        <v>20</v>
      </c>
      <c r="E1170" s="364"/>
      <c r="F1170" s="361" t="s">
        <v>2201</v>
      </c>
      <c r="T1170" s="361">
        <v>48.8</v>
      </c>
    </row>
    <row r="1171" spans="1:20" x14ac:dyDescent="0.25">
      <c r="A1171" s="364" t="s">
        <v>378</v>
      </c>
      <c r="B1171" s="361" t="s">
        <v>3583</v>
      </c>
      <c r="C1171" t="s">
        <v>1920</v>
      </c>
      <c r="D1171" s="361">
        <v>15</v>
      </c>
      <c r="E1171" s="364"/>
      <c r="F1171" s="361" t="s">
        <v>1917</v>
      </c>
      <c r="T1171" s="361">
        <v>49.6</v>
      </c>
    </row>
    <row r="1172" spans="1:20" x14ac:dyDescent="0.25">
      <c r="A1172" s="364" t="s">
        <v>357</v>
      </c>
      <c r="B1172" s="361" t="s">
        <v>3584</v>
      </c>
      <c r="C1172" t="s">
        <v>1920</v>
      </c>
      <c r="D1172" s="361">
        <v>16</v>
      </c>
      <c r="E1172" s="364"/>
      <c r="F1172" s="361" t="s">
        <v>1917</v>
      </c>
      <c r="T1172" s="361">
        <v>4.0999999999999996</v>
      </c>
    </row>
    <row r="1173" spans="1:20" x14ac:dyDescent="0.25">
      <c r="A1173" s="364" t="s">
        <v>428</v>
      </c>
      <c r="B1173" s="361" t="s">
        <v>3585</v>
      </c>
      <c r="C1173" t="s">
        <v>1920</v>
      </c>
      <c r="D1173" s="361">
        <v>24</v>
      </c>
      <c r="E1173" s="364"/>
      <c r="F1173" s="361" t="s">
        <v>1921</v>
      </c>
      <c r="T1173" s="361">
        <v>0.72501000000000004</v>
      </c>
    </row>
    <row r="1174" spans="1:20" x14ac:dyDescent="0.25">
      <c r="A1174" s="364" t="s">
        <v>3586</v>
      </c>
      <c r="B1174" s="361" t="s">
        <v>3587</v>
      </c>
      <c r="C1174">
        <v>2</v>
      </c>
      <c r="D1174" s="361">
        <v>97</v>
      </c>
      <c r="E1174" s="364"/>
      <c r="F1174" s="361" t="s">
        <v>1921</v>
      </c>
      <c r="T1174" s="361">
        <v>32.58</v>
      </c>
    </row>
    <row r="1175" spans="1:20" x14ac:dyDescent="0.25">
      <c r="A1175" s="364" t="s">
        <v>3588</v>
      </c>
      <c r="B1175" s="361" t="s">
        <v>3589</v>
      </c>
      <c r="C1175">
        <v>2</v>
      </c>
      <c r="D1175" s="361">
        <v>97</v>
      </c>
      <c r="E1175" s="364"/>
      <c r="F1175" s="361" t="s">
        <v>1921</v>
      </c>
      <c r="T1175" s="361">
        <v>76</v>
      </c>
    </row>
    <row r="1176" spans="1:20" x14ac:dyDescent="0.25">
      <c r="A1176" s="364" t="s">
        <v>3590</v>
      </c>
      <c r="B1176" s="361" t="s">
        <v>3591</v>
      </c>
      <c r="C1176" t="s">
        <v>1920</v>
      </c>
      <c r="D1176" s="361">
        <v>11</v>
      </c>
      <c r="E1176" s="364"/>
      <c r="F1176" s="361" t="s">
        <v>2201</v>
      </c>
      <c r="T1176" s="361">
        <v>525</v>
      </c>
    </row>
    <row r="1177" spans="1:20" x14ac:dyDescent="0.25">
      <c r="A1177" s="364" t="s">
        <v>3592</v>
      </c>
      <c r="B1177" s="361" t="s">
        <v>3593</v>
      </c>
      <c r="C1177" t="s">
        <v>1920</v>
      </c>
      <c r="D1177" s="361">
        <v>27</v>
      </c>
      <c r="E1177" s="364"/>
      <c r="F1177" s="361" t="s">
        <v>1921</v>
      </c>
      <c r="T1177" s="361">
        <v>0.60899999999999999</v>
      </c>
    </row>
    <row r="1178" spans="1:20" x14ac:dyDescent="0.25">
      <c r="A1178" s="364" t="s">
        <v>3594</v>
      </c>
      <c r="B1178" s="361" t="s">
        <v>3595</v>
      </c>
      <c r="C1178" t="s">
        <v>1920</v>
      </c>
      <c r="D1178" s="361">
        <v>20</v>
      </c>
      <c r="E1178" s="364"/>
      <c r="F1178" s="361" t="s">
        <v>1921</v>
      </c>
      <c r="T1178" s="361">
        <v>4.19E-2</v>
      </c>
    </row>
    <row r="1179" spans="1:20" x14ac:dyDescent="0.25">
      <c r="A1179" s="364" t="s">
        <v>3596</v>
      </c>
      <c r="B1179" s="361" t="s">
        <v>3597</v>
      </c>
      <c r="C1179" t="s">
        <v>1920</v>
      </c>
      <c r="D1179" s="361">
        <v>24</v>
      </c>
      <c r="E1179" s="364"/>
      <c r="F1179" s="361" t="s">
        <v>2201</v>
      </c>
      <c r="T1179" s="361">
        <v>43.885309999999997</v>
      </c>
    </row>
    <row r="1180" spans="1:20" x14ac:dyDescent="0.25">
      <c r="A1180" s="364" t="s">
        <v>3598</v>
      </c>
      <c r="B1180" s="361" t="s">
        <v>3599</v>
      </c>
      <c r="C1180" t="s">
        <v>1920</v>
      </c>
      <c r="D1180" s="361">
        <v>24</v>
      </c>
      <c r="E1180" s="364"/>
      <c r="F1180" s="361" t="s">
        <v>2201</v>
      </c>
      <c r="T1180" s="361">
        <v>260.76</v>
      </c>
    </row>
    <row r="1181" spans="1:20" x14ac:dyDescent="0.25">
      <c r="A1181" s="364" t="s">
        <v>3600</v>
      </c>
      <c r="B1181" s="361" t="s">
        <v>3601</v>
      </c>
      <c r="C1181" t="s">
        <v>1920</v>
      </c>
      <c r="D1181" s="361">
        <v>24</v>
      </c>
      <c r="E1181" s="364"/>
      <c r="F1181" s="361" t="s">
        <v>2201</v>
      </c>
      <c r="T1181" s="361">
        <v>327.18</v>
      </c>
    </row>
    <row r="1182" spans="1:20" x14ac:dyDescent="0.25">
      <c r="A1182" s="364" t="s">
        <v>3602</v>
      </c>
      <c r="B1182" s="361" t="s">
        <v>3603</v>
      </c>
      <c r="C1182" t="s">
        <v>1920</v>
      </c>
      <c r="D1182" s="361">
        <v>20</v>
      </c>
      <c r="E1182" s="364"/>
      <c r="F1182" s="361" t="s">
        <v>1921</v>
      </c>
      <c r="T1182" s="361">
        <v>3.4299999999999997E-2</v>
      </c>
    </row>
    <row r="1183" spans="1:20" x14ac:dyDescent="0.25">
      <c r="A1183" s="364" t="s">
        <v>3604</v>
      </c>
      <c r="B1183" s="361" t="s">
        <v>3605</v>
      </c>
      <c r="C1183" t="s">
        <v>1920</v>
      </c>
      <c r="D1183" s="361">
        <v>20</v>
      </c>
      <c r="E1183" s="364"/>
      <c r="F1183" s="361" t="s">
        <v>1921</v>
      </c>
      <c r="T1183" s="361">
        <v>3.2000000000000001E-2</v>
      </c>
    </row>
    <row r="1184" spans="1:20" x14ac:dyDescent="0.25">
      <c r="A1184" s="364" t="s">
        <v>977</v>
      </c>
      <c r="B1184" s="361" t="s">
        <v>978</v>
      </c>
      <c r="C1184" t="s">
        <v>1922</v>
      </c>
      <c r="D1184" s="361">
        <v>1</v>
      </c>
      <c r="E1184" s="364"/>
      <c r="F1184" s="361" t="s">
        <v>1917</v>
      </c>
      <c r="T1184" s="361">
        <v>30.89</v>
      </c>
    </row>
    <row r="1185" spans="1:20" x14ac:dyDescent="0.25">
      <c r="A1185" s="364" t="s">
        <v>979</v>
      </c>
      <c r="B1185" s="361" t="s">
        <v>980</v>
      </c>
      <c r="C1185" t="s">
        <v>1916</v>
      </c>
      <c r="D1185" s="361">
        <v>2</v>
      </c>
      <c r="E1185" s="364"/>
      <c r="F1185" s="361" t="s">
        <v>1917</v>
      </c>
      <c r="T1185" s="361">
        <v>1065.8333299999999</v>
      </c>
    </row>
    <row r="1186" spans="1:20" x14ac:dyDescent="0.25">
      <c r="A1186" s="364" t="s">
        <v>981</v>
      </c>
      <c r="B1186" s="361" t="s">
        <v>982</v>
      </c>
      <c r="C1186" t="s">
        <v>1922</v>
      </c>
      <c r="D1186" s="361">
        <v>1</v>
      </c>
      <c r="E1186" s="364"/>
      <c r="F1186" s="361" t="s">
        <v>1917</v>
      </c>
      <c r="T1186" s="361">
        <v>49.12</v>
      </c>
    </row>
    <row r="1187" spans="1:20" x14ac:dyDescent="0.25">
      <c r="A1187" s="364" t="s">
        <v>983</v>
      </c>
      <c r="B1187" s="361" t="s">
        <v>984</v>
      </c>
      <c r="C1187" t="s">
        <v>1922</v>
      </c>
      <c r="D1187" s="361">
        <v>1</v>
      </c>
      <c r="E1187" s="364"/>
      <c r="F1187" s="361" t="s">
        <v>1917</v>
      </c>
      <c r="T1187" s="361">
        <v>25.3</v>
      </c>
    </row>
    <row r="1188" spans="1:20" x14ac:dyDescent="0.25">
      <c r="A1188" s="364" t="s">
        <v>985</v>
      </c>
      <c r="B1188" s="361" t="s">
        <v>986</v>
      </c>
      <c r="C1188" t="s">
        <v>1922</v>
      </c>
      <c r="D1188" s="361">
        <v>1</v>
      </c>
      <c r="E1188" s="364"/>
      <c r="F1188" s="361" t="s">
        <v>1917</v>
      </c>
      <c r="T1188" s="361">
        <v>16.899999999999999</v>
      </c>
    </row>
    <row r="1189" spans="1:20" x14ac:dyDescent="0.25">
      <c r="A1189" s="364" t="s">
        <v>987</v>
      </c>
      <c r="B1189" s="361" t="s">
        <v>988</v>
      </c>
      <c r="C1189" t="s">
        <v>1922</v>
      </c>
      <c r="D1189" s="361">
        <v>1</v>
      </c>
      <c r="E1189" s="364"/>
      <c r="F1189" s="361" t="s">
        <v>1917</v>
      </c>
      <c r="T1189" s="361">
        <v>116.39</v>
      </c>
    </row>
    <row r="1190" spans="1:20" x14ac:dyDescent="0.25">
      <c r="A1190" s="364" t="s">
        <v>989</v>
      </c>
      <c r="B1190" s="361" t="s">
        <v>990</v>
      </c>
      <c r="C1190" t="s">
        <v>1922</v>
      </c>
      <c r="D1190" s="361">
        <v>1</v>
      </c>
      <c r="E1190" s="364"/>
      <c r="F1190" s="361" t="s">
        <v>1917</v>
      </c>
      <c r="T1190" s="361">
        <v>10.94</v>
      </c>
    </row>
    <row r="1191" spans="1:20" x14ac:dyDescent="0.25">
      <c r="A1191" s="364" t="s">
        <v>991</v>
      </c>
      <c r="B1191" s="361" t="s">
        <v>992</v>
      </c>
      <c r="C1191" t="s">
        <v>1922</v>
      </c>
      <c r="D1191" s="361">
        <v>1</v>
      </c>
      <c r="E1191" s="364"/>
      <c r="F1191" s="361" t="s">
        <v>1917</v>
      </c>
      <c r="T1191" s="361">
        <v>15.86</v>
      </c>
    </row>
    <row r="1192" spans="1:20" x14ac:dyDescent="0.25">
      <c r="A1192" s="364" t="s">
        <v>3606</v>
      </c>
      <c r="B1192" s="361" t="s">
        <v>3607</v>
      </c>
      <c r="C1192" t="s">
        <v>1920</v>
      </c>
      <c r="D1192" s="361">
        <v>50</v>
      </c>
      <c r="E1192" s="364"/>
      <c r="F1192" s="361" t="s">
        <v>1921</v>
      </c>
      <c r="T1192" s="361">
        <v>7.5700000000000003E-2</v>
      </c>
    </row>
    <row r="1193" spans="1:20" x14ac:dyDescent="0.25">
      <c r="A1193" s="364" t="s">
        <v>3608</v>
      </c>
      <c r="B1193" s="361" t="s">
        <v>3609</v>
      </c>
      <c r="C1193" t="s">
        <v>1920</v>
      </c>
      <c r="D1193" s="361">
        <v>50</v>
      </c>
      <c r="E1193" s="364"/>
      <c r="F1193" s="361" t="s">
        <v>1921</v>
      </c>
      <c r="T1193" s="361">
        <v>0.1021</v>
      </c>
    </row>
    <row r="1194" spans="1:20" x14ac:dyDescent="0.25">
      <c r="A1194" s="364" t="s">
        <v>993</v>
      </c>
      <c r="B1194" s="361" t="s">
        <v>994</v>
      </c>
      <c r="C1194" t="s">
        <v>1922</v>
      </c>
      <c r="D1194" s="361">
        <v>97</v>
      </c>
      <c r="E1194" s="364"/>
      <c r="F1194" s="361" t="s">
        <v>1917</v>
      </c>
      <c r="T1194" s="361">
        <v>0.81200000000000006</v>
      </c>
    </row>
    <row r="1195" spans="1:20" x14ac:dyDescent="0.25">
      <c r="A1195" s="364" t="s">
        <v>3610</v>
      </c>
      <c r="B1195" s="361" t="s">
        <v>3611</v>
      </c>
      <c r="C1195" t="s">
        <v>1920</v>
      </c>
      <c r="D1195" s="361">
        <v>10</v>
      </c>
      <c r="E1195" s="364"/>
      <c r="F1195" s="361" t="s">
        <v>2201</v>
      </c>
      <c r="T1195" s="361">
        <v>271</v>
      </c>
    </row>
    <row r="1196" spans="1:20" x14ac:dyDescent="0.25">
      <c r="A1196" s="364" t="s">
        <v>995</v>
      </c>
      <c r="B1196" s="361" t="s">
        <v>996</v>
      </c>
      <c r="C1196" t="s">
        <v>1922</v>
      </c>
      <c r="D1196" s="361">
        <v>1</v>
      </c>
      <c r="E1196" s="364"/>
      <c r="F1196" s="361" t="s">
        <v>1917</v>
      </c>
      <c r="T1196" s="361">
        <v>20.64</v>
      </c>
    </row>
    <row r="1197" spans="1:20" x14ac:dyDescent="0.25">
      <c r="A1197" s="364" t="s">
        <v>3612</v>
      </c>
      <c r="B1197" s="361" t="s">
        <v>3613</v>
      </c>
      <c r="C1197" t="s">
        <v>1920</v>
      </c>
      <c r="D1197" s="361">
        <v>12</v>
      </c>
      <c r="E1197" s="364"/>
      <c r="F1197" s="361" t="s">
        <v>1921</v>
      </c>
      <c r="T1197" s="361">
        <v>0.09</v>
      </c>
    </row>
    <row r="1198" spans="1:20" x14ac:dyDescent="0.25">
      <c r="A1198" s="364" t="s">
        <v>3614</v>
      </c>
      <c r="B1198" s="361" t="s">
        <v>3615</v>
      </c>
      <c r="C1198" t="s">
        <v>1920</v>
      </c>
      <c r="D1198" s="361">
        <v>12</v>
      </c>
      <c r="E1198" s="364"/>
      <c r="F1198" s="361" t="s">
        <v>1921</v>
      </c>
      <c r="T1198" s="361">
        <v>0.09</v>
      </c>
    </row>
    <row r="1199" spans="1:20" x14ac:dyDescent="0.25">
      <c r="A1199" s="364" t="s">
        <v>3616</v>
      </c>
      <c r="B1199" s="361" t="s">
        <v>3617</v>
      </c>
      <c r="C1199" t="s">
        <v>1920</v>
      </c>
      <c r="D1199" s="361">
        <v>12</v>
      </c>
      <c r="E1199" s="364"/>
      <c r="F1199" s="361" t="s">
        <v>1921</v>
      </c>
      <c r="T1199" s="361">
        <v>0.09</v>
      </c>
    </row>
    <row r="1200" spans="1:20" x14ac:dyDescent="0.25">
      <c r="A1200" s="364" t="s">
        <v>3618</v>
      </c>
      <c r="B1200" s="361" t="s">
        <v>3619</v>
      </c>
      <c r="C1200" t="s">
        <v>1920</v>
      </c>
      <c r="D1200" s="361">
        <v>15</v>
      </c>
      <c r="E1200" s="364"/>
      <c r="F1200" s="361" t="s">
        <v>1917</v>
      </c>
      <c r="T1200" s="361">
        <v>23.6</v>
      </c>
    </row>
    <row r="1201" spans="1:20" x14ac:dyDescent="0.25">
      <c r="A1201" s="364" t="s">
        <v>3620</v>
      </c>
      <c r="B1201" s="361" t="s">
        <v>3621</v>
      </c>
      <c r="C1201" t="s">
        <v>1920</v>
      </c>
      <c r="D1201" s="361">
        <v>12</v>
      </c>
      <c r="E1201" s="364"/>
      <c r="F1201" s="361" t="s">
        <v>1921</v>
      </c>
      <c r="T1201" s="361">
        <v>0.09</v>
      </c>
    </row>
    <row r="1202" spans="1:20" x14ac:dyDescent="0.25">
      <c r="A1202" s="364" t="s">
        <v>3622</v>
      </c>
      <c r="B1202" s="361" t="s">
        <v>3623</v>
      </c>
      <c r="C1202" t="s">
        <v>1920</v>
      </c>
      <c r="D1202" s="361">
        <v>20</v>
      </c>
      <c r="E1202" s="364"/>
      <c r="F1202" s="361" t="s">
        <v>1921</v>
      </c>
      <c r="T1202" s="361">
        <v>2.8000000000000001E-2</v>
      </c>
    </row>
    <row r="1203" spans="1:20" x14ac:dyDescent="0.25">
      <c r="A1203" s="364" t="s">
        <v>3624</v>
      </c>
      <c r="B1203" s="361" t="s">
        <v>3625</v>
      </c>
      <c r="C1203" t="s">
        <v>1920</v>
      </c>
      <c r="D1203" s="361">
        <v>20</v>
      </c>
      <c r="E1203" s="364"/>
      <c r="F1203" s="361" t="s">
        <v>1921</v>
      </c>
      <c r="T1203" s="361">
        <v>2.35E-2</v>
      </c>
    </row>
    <row r="1204" spans="1:20" x14ac:dyDescent="0.25">
      <c r="A1204" s="364" t="s">
        <v>997</v>
      </c>
      <c r="B1204" s="361" t="s">
        <v>998</v>
      </c>
      <c r="C1204" t="s">
        <v>1922</v>
      </c>
      <c r="D1204" s="361">
        <v>1</v>
      </c>
      <c r="E1204" s="364"/>
      <c r="F1204" s="361" t="s">
        <v>1917</v>
      </c>
      <c r="T1204" s="361">
        <v>35.630000000000003</v>
      </c>
    </row>
    <row r="1205" spans="1:20" x14ac:dyDescent="0.25">
      <c r="A1205" s="364" t="s">
        <v>231</v>
      </c>
      <c r="B1205" s="361" t="s">
        <v>808</v>
      </c>
      <c r="C1205" t="s">
        <v>1916</v>
      </c>
      <c r="D1205" s="361">
        <v>2</v>
      </c>
      <c r="E1205" s="364"/>
      <c r="F1205" s="361" t="s">
        <v>1917</v>
      </c>
      <c r="T1205" s="361">
        <v>9.17</v>
      </c>
    </row>
    <row r="1206" spans="1:20" x14ac:dyDescent="0.25">
      <c r="A1206" s="364" t="s">
        <v>210</v>
      </c>
      <c r="B1206" s="361" t="s">
        <v>999</v>
      </c>
      <c r="C1206" t="s">
        <v>1922</v>
      </c>
      <c r="D1206" s="361">
        <v>1</v>
      </c>
      <c r="E1206" s="364"/>
      <c r="F1206" s="361" t="s">
        <v>1917</v>
      </c>
      <c r="T1206" s="361">
        <v>39.549999999999997</v>
      </c>
    </row>
    <row r="1207" spans="1:20" x14ac:dyDescent="0.25">
      <c r="A1207" s="364" t="s">
        <v>211</v>
      </c>
      <c r="B1207" s="361" t="s">
        <v>1000</v>
      </c>
      <c r="C1207" t="s">
        <v>1922</v>
      </c>
      <c r="D1207" s="361">
        <v>1</v>
      </c>
      <c r="E1207" s="364"/>
      <c r="F1207" s="361" t="s">
        <v>1917</v>
      </c>
      <c r="T1207" s="361">
        <v>49.6</v>
      </c>
    </row>
    <row r="1208" spans="1:20" x14ac:dyDescent="0.25">
      <c r="A1208" s="364" t="s">
        <v>3626</v>
      </c>
      <c r="B1208" s="361" t="s">
        <v>3627</v>
      </c>
      <c r="C1208" t="s">
        <v>1920</v>
      </c>
      <c r="D1208" s="361">
        <v>50</v>
      </c>
      <c r="E1208" s="364"/>
      <c r="F1208" s="361" t="s">
        <v>1921</v>
      </c>
      <c r="T1208" s="361">
        <v>3.2300000000000002E-2</v>
      </c>
    </row>
    <row r="1209" spans="1:20" x14ac:dyDescent="0.25">
      <c r="A1209" s="364" t="s">
        <v>3628</v>
      </c>
      <c r="B1209" s="361" t="s">
        <v>3629</v>
      </c>
      <c r="C1209" t="s">
        <v>1920</v>
      </c>
      <c r="D1209" s="361">
        <v>50</v>
      </c>
      <c r="E1209" s="364"/>
      <c r="F1209" s="361" t="s">
        <v>1921</v>
      </c>
      <c r="T1209" s="361">
        <v>0.16209999999999999</v>
      </c>
    </row>
    <row r="1210" spans="1:20" x14ac:dyDescent="0.25">
      <c r="A1210" s="364" t="s">
        <v>3630</v>
      </c>
      <c r="B1210" s="361" t="s">
        <v>3631</v>
      </c>
      <c r="C1210" t="s">
        <v>1920</v>
      </c>
      <c r="D1210" s="361">
        <v>54</v>
      </c>
      <c r="E1210" s="364"/>
      <c r="F1210" s="361" t="s">
        <v>1921</v>
      </c>
      <c r="T1210" s="361">
        <v>0.39311000000000001</v>
      </c>
    </row>
    <row r="1211" spans="1:20" x14ac:dyDescent="0.25">
      <c r="A1211" s="364" t="s">
        <v>3632</v>
      </c>
      <c r="B1211" s="361" t="s">
        <v>3633</v>
      </c>
      <c r="C1211" t="s">
        <v>1920</v>
      </c>
      <c r="D1211" s="361">
        <v>56</v>
      </c>
      <c r="E1211" s="364"/>
      <c r="F1211" s="361" t="s">
        <v>1921</v>
      </c>
      <c r="T1211" s="361">
        <v>0.46800000000000003</v>
      </c>
    </row>
    <row r="1212" spans="1:20" x14ac:dyDescent="0.25">
      <c r="A1212" s="364" t="s">
        <v>3634</v>
      </c>
      <c r="B1212" s="361" t="s">
        <v>3635</v>
      </c>
      <c r="C1212" t="s">
        <v>1920</v>
      </c>
      <c r="D1212" s="361">
        <v>56</v>
      </c>
      <c r="E1212" s="364"/>
      <c r="F1212" s="361" t="s">
        <v>1921</v>
      </c>
      <c r="T1212" s="361">
        <v>0.44500000000000001</v>
      </c>
    </row>
    <row r="1213" spans="1:20" x14ac:dyDescent="0.25">
      <c r="A1213" s="364" t="s">
        <v>3636</v>
      </c>
      <c r="B1213" s="361" t="s">
        <v>3637</v>
      </c>
      <c r="C1213" t="s">
        <v>1920</v>
      </c>
      <c r="D1213" s="361">
        <v>56</v>
      </c>
      <c r="E1213" s="364"/>
      <c r="F1213" s="361" t="s">
        <v>1921</v>
      </c>
      <c r="T1213" s="361">
        <v>0.75900000000000001</v>
      </c>
    </row>
    <row r="1214" spans="1:20" x14ac:dyDescent="0.25">
      <c r="A1214" s="364" t="s">
        <v>3638</v>
      </c>
      <c r="B1214" s="361" t="s">
        <v>3639</v>
      </c>
      <c r="C1214" t="s">
        <v>1920</v>
      </c>
      <c r="D1214" s="361">
        <v>56</v>
      </c>
      <c r="E1214" s="364"/>
      <c r="F1214" s="361" t="s">
        <v>1921</v>
      </c>
      <c r="T1214" s="361">
        <v>0.75900000000000001</v>
      </c>
    </row>
    <row r="1215" spans="1:20" x14ac:dyDescent="0.25">
      <c r="A1215" s="364" t="s">
        <v>3640</v>
      </c>
      <c r="B1215" s="361" t="s">
        <v>3641</v>
      </c>
      <c r="C1215" t="s">
        <v>1920</v>
      </c>
      <c r="D1215" s="361">
        <v>50</v>
      </c>
      <c r="E1215" s="364"/>
      <c r="F1215" s="361" t="s">
        <v>1921</v>
      </c>
      <c r="T1215" s="361">
        <v>3.4200000000000001E-2</v>
      </c>
    </row>
    <row r="1216" spans="1:20" x14ac:dyDescent="0.25">
      <c r="A1216" s="364" t="s">
        <v>3642</v>
      </c>
      <c r="B1216" s="361" t="s">
        <v>3643</v>
      </c>
      <c r="C1216" t="s">
        <v>1920</v>
      </c>
      <c r="D1216" s="361">
        <v>50</v>
      </c>
      <c r="E1216" s="364"/>
      <c r="F1216" s="361" t="s">
        <v>1921</v>
      </c>
      <c r="T1216" s="361">
        <v>3.4229999999999997E-2</v>
      </c>
    </row>
    <row r="1217" spans="1:20" x14ac:dyDescent="0.25">
      <c r="A1217" s="364" t="s">
        <v>3644</v>
      </c>
      <c r="B1217" s="361" t="s">
        <v>3645</v>
      </c>
      <c r="C1217" t="s">
        <v>1920</v>
      </c>
      <c r="D1217" s="361">
        <v>50</v>
      </c>
      <c r="E1217" s="364"/>
      <c r="F1217" s="361" t="s">
        <v>1921</v>
      </c>
      <c r="T1217" s="361">
        <v>3.4200000000000001E-2</v>
      </c>
    </row>
    <row r="1218" spans="1:20" x14ac:dyDescent="0.25">
      <c r="A1218" s="364" t="s">
        <v>3646</v>
      </c>
      <c r="B1218" s="361" t="s">
        <v>3647</v>
      </c>
      <c r="C1218" t="s">
        <v>1920</v>
      </c>
      <c r="D1218" s="361">
        <v>54</v>
      </c>
      <c r="E1218" s="364"/>
      <c r="F1218" s="361" t="s">
        <v>1921</v>
      </c>
      <c r="T1218" s="361">
        <v>2.3626</v>
      </c>
    </row>
    <row r="1219" spans="1:20" x14ac:dyDescent="0.25">
      <c r="A1219" s="364" t="s">
        <v>3648</v>
      </c>
      <c r="B1219" s="361" t="s">
        <v>3649</v>
      </c>
      <c r="C1219" t="s">
        <v>1920</v>
      </c>
      <c r="D1219" s="361">
        <v>54</v>
      </c>
      <c r="E1219" s="364"/>
      <c r="F1219" s="361" t="s">
        <v>1921</v>
      </c>
      <c r="T1219" s="361">
        <v>1.7899</v>
      </c>
    </row>
    <row r="1220" spans="1:20" x14ac:dyDescent="0.25">
      <c r="A1220" s="364" t="s">
        <v>3650</v>
      </c>
      <c r="B1220" s="361" t="s">
        <v>3651</v>
      </c>
      <c r="C1220" t="s">
        <v>1920</v>
      </c>
      <c r="D1220" s="361">
        <v>54</v>
      </c>
      <c r="E1220" s="364"/>
      <c r="F1220" s="361" t="s">
        <v>1921</v>
      </c>
      <c r="T1220" s="361">
        <v>0.87870999999999999</v>
      </c>
    </row>
    <row r="1221" spans="1:20" x14ac:dyDescent="0.25">
      <c r="A1221" s="364" t="s">
        <v>1001</v>
      </c>
      <c r="B1221" s="361" t="s">
        <v>1002</v>
      </c>
      <c r="C1221" t="s">
        <v>1916</v>
      </c>
      <c r="D1221" s="361">
        <v>2</v>
      </c>
      <c r="E1221" s="364"/>
      <c r="F1221" s="361" t="s">
        <v>1917</v>
      </c>
      <c r="T1221" s="361">
        <v>650</v>
      </c>
    </row>
    <row r="1222" spans="1:20" x14ac:dyDescent="0.25">
      <c r="A1222" s="364" t="s">
        <v>3652</v>
      </c>
      <c r="B1222" s="361" t="s">
        <v>3653</v>
      </c>
      <c r="C1222" t="s">
        <v>1920</v>
      </c>
      <c r="D1222" s="361">
        <v>24</v>
      </c>
      <c r="E1222" s="364"/>
      <c r="F1222" s="361" t="s">
        <v>1921</v>
      </c>
      <c r="T1222" s="361">
        <v>0.65800000000000003</v>
      </c>
    </row>
    <row r="1223" spans="1:20" x14ac:dyDescent="0.25">
      <c r="A1223" s="364" t="s">
        <v>3654</v>
      </c>
      <c r="B1223" s="361" t="s">
        <v>3655</v>
      </c>
      <c r="C1223" t="s">
        <v>1920</v>
      </c>
      <c r="D1223" s="361">
        <v>20</v>
      </c>
      <c r="E1223" s="364"/>
      <c r="F1223" s="361" t="s">
        <v>1921</v>
      </c>
      <c r="T1223" s="361">
        <v>5.2200000000000003E-2</v>
      </c>
    </row>
    <row r="1224" spans="1:20" x14ac:dyDescent="0.25">
      <c r="A1224" s="364" t="s">
        <v>3656</v>
      </c>
      <c r="B1224" s="361" t="s">
        <v>3657</v>
      </c>
      <c r="C1224" t="s">
        <v>1920</v>
      </c>
      <c r="D1224" s="361">
        <v>20</v>
      </c>
      <c r="E1224" s="364"/>
      <c r="F1224" s="361" t="s">
        <v>1921</v>
      </c>
      <c r="T1224" s="361">
        <v>5.2499999999999998E-2</v>
      </c>
    </row>
    <row r="1225" spans="1:20" x14ac:dyDescent="0.25">
      <c r="A1225" s="364" t="s">
        <v>3658</v>
      </c>
      <c r="B1225" s="361" t="s">
        <v>3659</v>
      </c>
      <c r="C1225" t="s">
        <v>1920</v>
      </c>
      <c r="D1225" s="361">
        <v>20</v>
      </c>
      <c r="E1225" s="364"/>
      <c r="F1225" s="361" t="s">
        <v>1921</v>
      </c>
      <c r="T1225" s="361">
        <v>8.7400000000000005E-2</v>
      </c>
    </row>
    <row r="1226" spans="1:20" x14ac:dyDescent="0.25">
      <c r="A1226" s="364" t="s">
        <v>3660</v>
      </c>
      <c r="B1226" s="361" t="s">
        <v>3661</v>
      </c>
      <c r="C1226" t="s">
        <v>1920</v>
      </c>
      <c r="D1226" s="361">
        <v>20</v>
      </c>
      <c r="E1226" s="364"/>
      <c r="F1226" s="361" t="s">
        <v>1921</v>
      </c>
      <c r="T1226" s="361">
        <v>8.7400000000000005E-2</v>
      </c>
    </row>
    <row r="1227" spans="1:20" x14ac:dyDescent="0.25">
      <c r="A1227" s="364" t="s">
        <v>3662</v>
      </c>
      <c r="B1227" s="361" t="s">
        <v>3663</v>
      </c>
      <c r="C1227" t="s">
        <v>1920</v>
      </c>
      <c r="D1227" s="361">
        <v>20</v>
      </c>
      <c r="E1227" s="364"/>
      <c r="F1227" s="361" t="s">
        <v>1921</v>
      </c>
      <c r="T1227" s="361">
        <v>8.7400000000000005E-2</v>
      </c>
    </row>
    <row r="1228" spans="1:20" x14ac:dyDescent="0.25">
      <c r="A1228" s="364" t="s">
        <v>3664</v>
      </c>
      <c r="B1228" s="361" t="s">
        <v>3665</v>
      </c>
      <c r="C1228" t="s">
        <v>1920</v>
      </c>
      <c r="D1228" s="361">
        <v>20</v>
      </c>
      <c r="E1228" s="364"/>
      <c r="F1228" s="361" t="s">
        <v>1921</v>
      </c>
      <c r="T1228" s="361">
        <v>8.7400000000000005E-2</v>
      </c>
    </row>
    <row r="1229" spans="1:20" x14ac:dyDescent="0.25">
      <c r="A1229" s="364" t="s">
        <v>3666</v>
      </c>
      <c r="B1229" s="361" t="s">
        <v>3667</v>
      </c>
      <c r="C1229" t="s">
        <v>1920</v>
      </c>
      <c r="D1229" s="361">
        <v>20</v>
      </c>
      <c r="E1229" s="364"/>
      <c r="F1229" s="361" t="s">
        <v>1921</v>
      </c>
      <c r="T1229" s="361">
        <v>3.1399999999999997E-2</v>
      </c>
    </row>
    <row r="1230" spans="1:20" x14ac:dyDescent="0.25">
      <c r="A1230" s="364" t="s">
        <v>291</v>
      </c>
      <c r="B1230" s="361" t="s">
        <v>1003</v>
      </c>
      <c r="C1230" t="s">
        <v>1916</v>
      </c>
      <c r="D1230" s="361">
        <v>2</v>
      </c>
      <c r="E1230" s="364"/>
      <c r="F1230" s="361" t="s">
        <v>1917</v>
      </c>
      <c r="T1230" s="361">
        <v>25675</v>
      </c>
    </row>
    <row r="1231" spans="1:20" x14ac:dyDescent="0.25">
      <c r="A1231" s="364" t="s">
        <v>3668</v>
      </c>
      <c r="B1231" s="361" t="s">
        <v>3669</v>
      </c>
      <c r="C1231" t="s">
        <v>1920</v>
      </c>
      <c r="D1231" s="361">
        <v>22</v>
      </c>
      <c r="E1231" s="364"/>
      <c r="F1231" s="361" t="s">
        <v>1921</v>
      </c>
      <c r="T1231" s="361">
        <v>525.88</v>
      </c>
    </row>
    <row r="1232" spans="1:20" x14ac:dyDescent="0.25">
      <c r="A1232" s="364" t="s">
        <v>3670</v>
      </c>
      <c r="B1232" s="361" t="s">
        <v>3671</v>
      </c>
      <c r="C1232" t="s">
        <v>1920</v>
      </c>
      <c r="D1232" s="361">
        <v>15</v>
      </c>
      <c r="E1232" s="364"/>
      <c r="F1232" s="361" t="s">
        <v>1917</v>
      </c>
      <c r="T1232" s="361">
        <v>24.4</v>
      </c>
    </row>
    <row r="1233" spans="1:20" x14ac:dyDescent="0.25">
      <c r="A1233" s="364" t="s">
        <v>3672</v>
      </c>
      <c r="B1233" s="361" t="s">
        <v>3673</v>
      </c>
      <c r="C1233" t="s">
        <v>1920</v>
      </c>
      <c r="D1233" s="361">
        <v>16</v>
      </c>
      <c r="E1233" s="364"/>
      <c r="F1233" s="361" t="s">
        <v>1917</v>
      </c>
      <c r="T1233" s="361">
        <v>13.39</v>
      </c>
    </row>
    <row r="1234" spans="1:20" x14ac:dyDescent="0.25">
      <c r="A1234" s="364" t="s">
        <v>3674</v>
      </c>
      <c r="B1234" s="361" t="s">
        <v>3675</v>
      </c>
      <c r="C1234" t="s">
        <v>1920</v>
      </c>
      <c r="D1234" s="361">
        <v>24</v>
      </c>
      <c r="E1234" s="364"/>
      <c r="F1234" s="361" t="s">
        <v>1921</v>
      </c>
      <c r="T1234" s="361">
        <v>0.16400000000000001</v>
      </c>
    </row>
    <row r="1235" spans="1:20" x14ac:dyDescent="0.25">
      <c r="A1235" s="364" t="s">
        <v>3676</v>
      </c>
      <c r="B1235" s="361" t="s">
        <v>3677</v>
      </c>
      <c r="C1235">
        <v>2</v>
      </c>
      <c r="D1235" s="361">
        <v>97</v>
      </c>
      <c r="E1235" s="364"/>
      <c r="F1235" s="361" t="s">
        <v>1921</v>
      </c>
      <c r="T1235" s="361">
        <v>35.5</v>
      </c>
    </row>
    <row r="1236" spans="1:20" x14ac:dyDescent="0.25">
      <c r="A1236" s="364" t="s">
        <v>3678</v>
      </c>
      <c r="B1236" s="361" t="s">
        <v>3679</v>
      </c>
      <c r="C1236">
        <v>2</v>
      </c>
      <c r="D1236" s="361">
        <v>97</v>
      </c>
      <c r="E1236" s="364"/>
      <c r="F1236" s="361" t="s">
        <v>1921</v>
      </c>
      <c r="T1236" s="361">
        <v>36.799999999999997</v>
      </c>
    </row>
    <row r="1237" spans="1:20" x14ac:dyDescent="0.25">
      <c r="A1237" s="364" t="s">
        <v>3680</v>
      </c>
      <c r="B1237" s="361" t="s">
        <v>3681</v>
      </c>
      <c r="C1237" t="s">
        <v>1920</v>
      </c>
      <c r="D1237" s="361">
        <v>54</v>
      </c>
      <c r="E1237" s="364"/>
      <c r="F1237" s="361" t="s">
        <v>1921</v>
      </c>
      <c r="T1237" s="361">
        <v>0.19581999999999999</v>
      </c>
    </row>
    <row r="1238" spans="1:20" x14ac:dyDescent="0.25">
      <c r="A1238" s="364" t="s">
        <v>250</v>
      </c>
      <c r="B1238" s="361" t="s">
        <v>1004</v>
      </c>
      <c r="C1238" t="s">
        <v>1922</v>
      </c>
      <c r="D1238" s="361">
        <v>1</v>
      </c>
      <c r="E1238" s="364"/>
      <c r="F1238" s="361" t="s">
        <v>1917</v>
      </c>
      <c r="T1238" s="361">
        <v>66.55</v>
      </c>
    </row>
    <row r="1239" spans="1:20" x14ac:dyDescent="0.25">
      <c r="A1239" s="364" t="s">
        <v>237</v>
      </c>
      <c r="B1239" s="361" t="s">
        <v>1005</v>
      </c>
      <c r="C1239" t="s">
        <v>1922</v>
      </c>
      <c r="D1239" s="361">
        <v>1</v>
      </c>
      <c r="E1239" s="364"/>
      <c r="F1239" s="361" t="s">
        <v>1917</v>
      </c>
      <c r="T1239" s="361">
        <v>70.33</v>
      </c>
    </row>
    <row r="1240" spans="1:20" x14ac:dyDescent="0.25">
      <c r="A1240" s="364" t="s">
        <v>3682</v>
      </c>
      <c r="B1240" s="361" t="s">
        <v>3683</v>
      </c>
      <c r="C1240" t="s">
        <v>1920</v>
      </c>
      <c r="D1240" s="361">
        <v>15</v>
      </c>
      <c r="E1240" s="364"/>
      <c r="F1240" s="361" t="s">
        <v>1917</v>
      </c>
      <c r="T1240" s="361">
        <v>49.6</v>
      </c>
    </row>
    <row r="1241" spans="1:20" x14ac:dyDescent="0.25">
      <c r="A1241" s="364" t="s">
        <v>3684</v>
      </c>
      <c r="B1241" s="361" t="s">
        <v>3685</v>
      </c>
      <c r="C1241" t="s">
        <v>1920</v>
      </c>
      <c r="D1241" s="361">
        <v>15</v>
      </c>
      <c r="E1241" s="364"/>
      <c r="F1241" s="361" t="s">
        <v>1917</v>
      </c>
      <c r="T1241" s="361">
        <v>49.6</v>
      </c>
    </row>
    <row r="1242" spans="1:20" x14ac:dyDescent="0.25">
      <c r="A1242" s="364" t="s">
        <v>350</v>
      </c>
      <c r="B1242" s="361" t="s">
        <v>3686</v>
      </c>
      <c r="C1242" t="s">
        <v>1920</v>
      </c>
      <c r="D1242" s="361">
        <v>16</v>
      </c>
      <c r="E1242" s="364"/>
      <c r="F1242" s="361" t="s">
        <v>1917</v>
      </c>
      <c r="T1242" s="361">
        <v>50.45</v>
      </c>
    </row>
    <row r="1243" spans="1:20" x14ac:dyDescent="0.25">
      <c r="A1243" s="364" t="s">
        <v>3687</v>
      </c>
      <c r="B1243" s="361" t="s">
        <v>3688</v>
      </c>
      <c r="C1243" t="s">
        <v>1920</v>
      </c>
      <c r="D1243" s="361">
        <v>24</v>
      </c>
      <c r="E1243" s="364"/>
      <c r="F1243" s="361" t="s">
        <v>1921</v>
      </c>
      <c r="T1243" s="361">
        <v>0.53874</v>
      </c>
    </row>
    <row r="1244" spans="1:20" x14ac:dyDescent="0.25">
      <c r="A1244" s="364" t="s">
        <v>3689</v>
      </c>
      <c r="B1244" s="361" t="s">
        <v>3690</v>
      </c>
      <c r="C1244" t="s">
        <v>1920</v>
      </c>
      <c r="D1244" s="361">
        <v>24</v>
      </c>
      <c r="E1244" s="364"/>
      <c r="F1244" s="361" t="s">
        <v>1921</v>
      </c>
      <c r="T1244" s="361">
        <v>1.3284</v>
      </c>
    </row>
    <row r="1245" spans="1:20" x14ac:dyDescent="0.25">
      <c r="A1245" s="364" t="s">
        <v>3691</v>
      </c>
      <c r="B1245" s="361" t="s">
        <v>3692</v>
      </c>
      <c r="C1245" t="s">
        <v>1920</v>
      </c>
      <c r="D1245" s="361">
        <v>15</v>
      </c>
      <c r="E1245" s="364"/>
      <c r="F1245" s="361" t="s">
        <v>1917</v>
      </c>
      <c r="T1245" s="361">
        <v>39.4</v>
      </c>
    </row>
    <row r="1246" spans="1:20" x14ac:dyDescent="0.25">
      <c r="A1246" s="364" t="s">
        <v>3693</v>
      </c>
      <c r="B1246" s="361" t="s">
        <v>3694</v>
      </c>
      <c r="C1246" t="s">
        <v>1920</v>
      </c>
      <c r="D1246" s="361">
        <v>54</v>
      </c>
      <c r="E1246" s="364"/>
      <c r="F1246" s="361" t="s">
        <v>1921</v>
      </c>
      <c r="T1246" s="361">
        <v>0.1842</v>
      </c>
    </row>
    <row r="1247" spans="1:20" x14ac:dyDescent="0.25">
      <c r="A1247" s="364" t="s">
        <v>3695</v>
      </c>
      <c r="B1247" s="361" t="s">
        <v>3696</v>
      </c>
      <c r="C1247" t="s">
        <v>1920</v>
      </c>
      <c r="D1247" s="361">
        <v>54</v>
      </c>
      <c r="E1247" s="364"/>
      <c r="F1247" s="361" t="s">
        <v>1921</v>
      </c>
      <c r="T1247" s="361">
        <v>0.15547</v>
      </c>
    </row>
    <row r="1248" spans="1:20" x14ac:dyDescent="0.25">
      <c r="A1248" s="364" t="s">
        <v>3697</v>
      </c>
      <c r="B1248" s="361" t="s">
        <v>3698</v>
      </c>
      <c r="C1248" t="s">
        <v>1920</v>
      </c>
      <c r="D1248" s="361">
        <v>24</v>
      </c>
      <c r="E1248" s="364"/>
      <c r="F1248" s="361" t="s">
        <v>1921</v>
      </c>
      <c r="T1248" s="361">
        <v>0.41327999999999998</v>
      </c>
    </row>
    <row r="1249" spans="1:20" x14ac:dyDescent="0.25">
      <c r="A1249" s="364" t="s">
        <v>3699</v>
      </c>
      <c r="B1249" s="361" t="s">
        <v>3700</v>
      </c>
      <c r="C1249" t="s">
        <v>1920</v>
      </c>
      <c r="D1249" s="361">
        <v>24</v>
      </c>
      <c r="E1249" s="364"/>
      <c r="F1249" s="361" t="s">
        <v>1921</v>
      </c>
      <c r="T1249" s="361">
        <v>0.49986999999999998</v>
      </c>
    </row>
    <row r="1250" spans="1:20" x14ac:dyDescent="0.25">
      <c r="A1250" s="364" t="s">
        <v>3701</v>
      </c>
      <c r="B1250" s="361" t="s">
        <v>3702</v>
      </c>
      <c r="C1250" t="s">
        <v>1920</v>
      </c>
      <c r="D1250" s="361">
        <v>24</v>
      </c>
      <c r="E1250" s="364"/>
      <c r="F1250" s="361" t="s">
        <v>1921</v>
      </c>
      <c r="T1250" s="361">
        <v>0.37686999999999998</v>
      </c>
    </row>
    <row r="1251" spans="1:20" x14ac:dyDescent="0.25">
      <c r="A1251" s="364" t="s">
        <v>3703</v>
      </c>
      <c r="B1251" s="361" t="s">
        <v>3704</v>
      </c>
      <c r="C1251" t="s">
        <v>1920</v>
      </c>
      <c r="D1251" s="361">
        <v>24</v>
      </c>
      <c r="E1251" s="364"/>
      <c r="F1251" s="361" t="s">
        <v>1921</v>
      </c>
      <c r="T1251" s="361">
        <v>0.33259</v>
      </c>
    </row>
    <row r="1252" spans="1:20" x14ac:dyDescent="0.25">
      <c r="A1252" s="364" t="s">
        <v>3705</v>
      </c>
      <c r="B1252" s="361" t="s">
        <v>3706</v>
      </c>
      <c r="C1252" t="s">
        <v>1920</v>
      </c>
      <c r="D1252" s="361">
        <v>24</v>
      </c>
      <c r="E1252" s="364"/>
      <c r="F1252" s="361" t="s">
        <v>1921</v>
      </c>
      <c r="T1252" s="361">
        <v>0.47724</v>
      </c>
    </row>
    <row r="1253" spans="1:20" x14ac:dyDescent="0.25">
      <c r="A1253" s="364" t="s">
        <v>3707</v>
      </c>
      <c r="B1253" s="361" t="s">
        <v>3708</v>
      </c>
      <c r="C1253" t="s">
        <v>1920</v>
      </c>
      <c r="D1253" s="361">
        <v>24</v>
      </c>
      <c r="E1253" s="364"/>
      <c r="F1253" s="361" t="s">
        <v>1921</v>
      </c>
      <c r="T1253" s="361">
        <v>0.40933999999999998</v>
      </c>
    </row>
    <row r="1254" spans="1:20" x14ac:dyDescent="0.25">
      <c r="A1254" s="364" t="s">
        <v>3709</v>
      </c>
      <c r="B1254" s="361" t="s">
        <v>3710</v>
      </c>
      <c r="C1254" t="s">
        <v>1920</v>
      </c>
      <c r="D1254" s="361">
        <v>33</v>
      </c>
      <c r="E1254" s="364"/>
      <c r="F1254" s="361" t="s">
        <v>1917</v>
      </c>
      <c r="T1254" s="361">
        <v>4.8499999999999996</v>
      </c>
    </row>
    <row r="1255" spans="1:20" x14ac:dyDescent="0.25">
      <c r="A1255" s="364" t="s">
        <v>3711</v>
      </c>
      <c r="B1255" s="361" t="s">
        <v>3712</v>
      </c>
      <c r="C1255" t="s">
        <v>1920</v>
      </c>
      <c r="D1255" s="361">
        <v>20</v>
      </c>
      <c r="E1255" s="364"/>
      <c r="F1255" s="361" t="s">
        <v>1921</v>
      </c>
      <c r="T1255" s="361">
        <v>5.1200000000000002E-2</v>
      </c>
    </row>
    <row r="1256" spans="1:20" x14ac:dyDescent="0.25">
      <c r="A1256" s="364" t="s">
        <v>3713</v>
      </c>
      <c r="B1256" s="361" t="s">
        <v>3714</v>
      </c>
      <c r="C1256" t="s">
        <v>1920</v>
      </c>
      <c r="D1256" s="361">
        <v>20</v>
      </c>
      <c r="E1256" s="364"/>
      <c r="F1256" s="361" t="s">
        <v>1921</v>
      </c>
      <c r="T1256" s="361">
        <v>5.1200000000000002E-2</v>
      </c>
    </row>
    <row r="1257" spans="1:20" x14ac:dyDescent="0.25">
      <c r="A1257" s="364" t="s">
        <v>3715</v>
      </c>
      <c r="B1257" s="361" t="s">
        <v>3716</v>
      </c>
      <c r="C1257" t="s">
        <v>1920</v>
      </c>
      <c r="D1257" s="361">
        <v>20</v>
      </c>
      <c r="E1257" s="364"/>
      <c r="F1257" s="361" t="s">
        <v>1921</v>
      </c>
      <c r="T1257" s="361">
        <v>5.1200000000000002E-2</v>
      </c>
    </row>
    <row r="1258" spans="1:20" x14ac:dyDescent="0.25">
      <c r="A1258" s="364" t="s">
        <v>3717</v>
      </c>
      <c r="B1258" s="361" t="s">
        <v>3718</v>
      </c>
      <c r="C1258" t="s">
        <v>1920</v>
      </c>
      <c r="D1258" s="361">
        <v>15</v>
      </c>
      <c r="E1258" s="364"/>
      <c r="F1258" s="361" t="s">
        <v>1917</v>
      </c>
      <c r="T1258" s="361">
        <v>31.82</v>
      </c>
    </row>
    <row r="1259" spans="1:20" x14ac:dyDescent="0.25">
      <c r="A1259" s="364" t="s">
        <v>3719</v>
      </c>
      <c r="B1259" s="361" t="s">
        <v>3720</v>
      </c>
      <c r="C1259" t="s">
        <v>1920</v>
      </c>
      <c r="D1259" s="361">
        <v>15</v>
      </c>
      <c r="E1259" s="364"/>
      <c r="F1259" s="361" t="s">
        <v>1917</v>
      </c>
      <c r="T1259" s="361">
        <v>44.85</v>
      </c>
    </row>
    <row r="1260" spans="1:20" x14ac:dyDescent="0.25">
      <c r="A1260" s="364" t="s">
        <v>1006</v>
      </c>
      <c r="B1260" s="361" t="s">
        <v>1007</v>
      </c>
      <c r="C1260" t="s">
        <v>1922</v>
      </c>
      <c r="D1260" s="361">
        <v>1</v>
      </c>
      <c r="E1260" s="364"/>
      <c r="F1260" s="361" t="s">
        <v>1921</v>
      </c>
      <c r="T1260" s="361">
        <v>35.44</v>
      </c>
    </row>
    <row r="1261" spans="1:20" x14ac:dyDescent="0.25">
      <c r="A1261" s="364" t="s">
        <v>3721</v>
      </c>
      <c r="B1261" s="361" t="s">
        <v>3722</v>
      </c>
      <c r="C1261" t="s">
        <v>1920</v>
      </c>
      <c r="D1261" s="361">
        <v>20</v>
      </c>
      <c r="E1261" s="364"/>
      <c r="F1261" s="361" t="s">
        <v>2201</v>
      </c>
      <c r="T1261" s="361">
        <v>229.6</v>
      </c>
    </row>
    <row r="1262" spans="1:20" x14ac:dyDescent="0.25">
      <c r="A1262" s="364" t="s">
        <v>3723</v>
      </c>
      <c r="B1262" s="361" t="s">
        <v>3724</v>
      </c>
      <c r="C1262" t="s">
        <v>1920</v>
      </c>
      <c r="D1262" s="361">
        <v>54</v>
      </c>
      <c r="E1262" s="364"/>
      <c r="F1262" s="361" t="s">
        <v>1921</v>
      </c>
      <c r="T1262" s="361">
        <v>0.17599999999999999</v>
      </c>
    </row>
    <row r="1263" spans="1:20" x14ac:dyDescent="0.25">
      <c r="A1263" s="364" t="s">
        <v>3725</v>
      </c>
      <c r="B1263" s="361" t="s">
        <v>3726</v>
      </c>
      <c r="C1263" t="s">
        <v>1920</v>
      </c>
      <c r="D1263" s="361">
        <v>24</v>
      </c>
      <c r="E1263" s="364"/>
      <c r="F1263" s="361" t="s">
        <v>2201</v>
      </c>
      <c r="T1263" s="361">
        <v>182.04</v>
      </c>
    </row>
    <row r="1264" spans="1:20" x14ac:dyDescent="0.25">
      <c r="A1264" s="364" t="s">
        <v>3727</v>
      </c>
      <c r="B1264" s="361" t="s">
        <v>3728</v>
      </c>
      <c r="C1264" t="s">
        <v>1920</v>
      </c>
      <c r="D1264" s="361">
        <v>22</v>
      </c>
      <c r="E1264" s="364"/>
      <c r="F1264" s="361" t="s">
        <v>2201</v>
      </c>
      <c r="T1264" s="361">
        <v>37.35</v>
      </c>
    </row>
    <row r="1265" spans="1:20" x14ac:dyDescent="0.25">
      <c r="A1265" s="364" t="s">
        <v>3729</v>
      </c>
      <c r="B1265" s="361" t="s">
        <v>3730</v>
      </c>
      <c r="C1265" t="s">
        <v>1920</v>
      </c>
      <c r="D1265" s="361">
        <v>15</v>
      </c>
      <c r="E1265" s="364"/>
      <c r="F1265" s="361" t="s">
        <v>1917</v>
      </c>
      <c r="T1265" s="361">
        <v>48.77</v>
      </c>
    </row>
    <row r="1266" spans="1:20" x14ac:dyDescent="0.25">
      <c r="A1266" s="364" t="s">
        <v>3731</v>
      </c>
      <c r="B1266" s="361" t="s">
        <v>3732</v>
      </c>
      <c r="C1266" t="s">
        <v>1920</v>
      </c>
      <c r="D1266" s="361">
        <v>11</v>
      </c>
      <c r="E1266" s="364"/>
      <c r="F1266" s="361" t="s">
        <v>2201</v>
      </c>
      <c r="T1266" s="361">
        <v>187</v>
      </c>
    </row>
    <row r="1267" spans="1:20" x14ac:dyDescent="0.25">
      <c r="A1267" s="364" t="s">
        <v>136</v>
      </c>
      <c r="B1267" s="361" t="s">
        <v>1008</v>
      </c>
      <c r="C1267" t="s">
        <v>1922</v>
      </c>
      <c r="D1267" s="361">
        <v>1</v>
      </c>
      <c r="E1267" s="364"/>
      <c r="F1267" s="361" t="s">
        <v>1921</v>
      </c>
      <c r="T1267" s="361">
        <v>6.0800000000000003E-3</v>
      </c>
    </row>
    <row r="1268" spans="1:20" x14ac:dyDescent="0.25">
      <c r="A1268" s="364" t="s">
        <v>3733</v>
      </c>
      <c r="B1268" s="361" t="s">
        <v>3734</v>
      </c>
      <c r="C1268">
        <v>2</v>
      </c>
      <c r="D1268" s="361">
        <v>97</v>
      </c>
      <c r="E1268" s="364"/>
      <c r="F1268" s="361" t="s">
        <v>1921</v>
      </c>
      <c r="T1268" s="361">
        <v>112.5</v>
      </c>
    </row>
    <row r="1269" spans="1:20" x14ac:dyDescent="0.25">
      <c r="A1269" s="364" t="s">
        <v>3735</v>
      </c>
      <c r="B1269" s="361" t="s">
        <v>3736</v>
      </c>
      <c r="C1269" t="s">
        <v>1920</v>
      </c>
      <c r="D1269" s="361">
        <v>12</v>
      </c>
      <c r="E1269" s="364"/>
      <c r="F1269" s="361" t="s">
        <v>2201</v>
      </c>
      <c r="T1269" s="361">
        <v>75.12</v>
      </c>
    </row>
    <row r="1270" spans="1:20" x14ac:dyDescent="0.25">
      <c r="A1270" s="364" t="s">
        <v>3737</v>
      </c>
      <c r="B1270" s="361" t="s">
        <v>3738</v>
      </c>
      <c r="C1270" t="s">
        <v>1920</v>
      </c>
      <c r="D1270" s="361">
        <v>12</v>
      </c>
      <c r="E1270" s="364"/>
      <c r="F1270" s="361" t="s">
        <v>2201</v>
      </c>
      <c r="T1270" s="361">
        <v>83.08</v>
      </c>
    </row>
    <row r="1271" spans="1:20" x14ac:dyDescent="0.25">
      <c r="A1271" s="364" t="s">
        <v>3739</v>
      </c>
      <c r="B1271" s="361" t="s">
        <v>3740</v>
      </c>
      <c r="C1271" t="s">
        <v>1920</v>
      </c>
      <c r="D1271" s="361">
        <v>20</v>
      </c>
      <c r="E1271" s="364"/>
      <c r="F1271" s="361" t="s">
        <v>2201</v>
      </c>
      <c r="T1271" s="361">
        <v>132.19999999999999</v>
      </c>
    </row>
    <row r="1272" spans="1:20" x14ac:dyDescent="0.25">
      <c r="A1272" s="364" t="s">
        <v>3741</v>
      </c>
      <c r="B1272" s="361" t="s">
        <v>3742</v>
      </c>
      <c r="C1272" t="s">
        <v>1920</v>
      </c>
      <c r="D1272" s="361">
        <v>15</v>
      </c>
      <c r="E1272" s="364"/>
      <c r="F1272" s="361" t="s">
        <v>1917</v>
      </c>
      <c r="T1272" s="361">
        <v>38.64</v>
      </c>
    </row>
    <row r="1273" spans="1:20" x14ac:dyDescent="0.25">
      <c r="A1273" s="364" t="s">
        <v>3743</v>
      </c>
      <c r="B1273" s="361" t="s">
        <v>3505</v>
      </c>
      <c r="C1273" t="s">
        <v>1920</v>
      </c>
      <c r="D1273" s="361">
        <v>56</v>
      </c>
      <c r="E1273" s="364"/>
      <c r="F1273" s="361" t="s">
        <v>1921</v>
      </c>
      <c r="T1273" s="361">
        <v>0.496</v>
      </c>
    </row>
    <row r="1274" spans="1:20" x14ac:dyDescent="0.25">
      <c r="A1274" s="364" t="s">
        <v>3744</v>
      </c>
      <c r="B1274" s="361" t="s">
        <v>3745</v>
      </c>
      <c r="C1274" t="s">
        <v>1920</v>
      </c>
      <c r="D1274" s="361">
        <v>24</v>
      </c>
      <c r="E1274" s="364"/>
      <c r="F1274" s="361" t="s">
        <v>2201</v>
      </c>
      <c r="T1274" s="361">
        <v>208.97</v>
      </c>
    </row>
    <row r="1275" spans="1:20" x14ac:dyDescent="0.25">
      <c r="A1275" s="364" t="s">
        <v>3746</v>
      </c>
      <c r="B1275" s="361" t="s">
        <v>3747</v>
      </c>
      <c r="C1275" t="s">
        <v>1920</v>
      </c>
      <c r="D1275" s="361">
        <v>24</v>
      </c>
      <c r="E1275" s="364"/>
      <c r="F1275" s="361" t="s">
        <v>2201</v>
      </c>
      <c r="T1275" s="361">
        <v>430.99200000000002</v>
      </c>
    </row>
    <row r="1276" spans="1:20" x14ac:dyDescent="0.25">
      <c r="A1276" s="364" t="s">
        <v>3748</v>
      </c>
      <c r="B1276" s="361" t="s">
        <v>3749</v>
      </c>
      <c r="C1276" t="s">
        <v>1920</v>
      </c>
      <c r="D1276" s="361">
        <v>24</v>
      </c>
      <c r="E1276" s="364"/>
      <c r="F1276" s="361" t="s">
        <v>2201</v>
      </c>
      <c r="T1276" s="361">
        <v>199.65360000000001</v>
      </c>
    </row>
    <row r="1277" spans="1:20" x14ac:dyDescent="0.25">
      <c r="A1277" s="364" t="s">
        <v>1009</v>
      </c>
      <c r="B1277" s="361" t="s">
        <v>1010</v>
      </c>
      <c r="C1277" t="s">
        <v>1922</v>
      </c>
      <c r="D1277" s="361">
        <v>1</v>
      </c>
      <c r="E1277" s="364"/>
      <c r="F1277" s="361" t="s">
        <v>1917</v>
      </c>
      <c r="T1277" s="361">
        <v>8.5</v>
      </c>
    </row>
    <row r="1278" spans="1:20" x14ac:dyDescent="0.25">
      <c r="A1278" s="364" t="s">
        <v>3750</v>
      </c>
      <c r="B1278" s="361" t="s">
        <v>3751</v>
      </c>
      <c r="C1278" t="s">
        <v>1920</v>
      </c>
      <c r="D1278" s="361">
        <v>45</v>
      </c>
      <c r="E1278" s="364"/>
      <c r="F1278" s="361" t="s">
        <v>1917</v>
      </c>
      <c r="T1278" s="361">
        <v>49.6</v>
      </c>
    </row>
    <row r="1279" spans="1:20" x14ac:dyDescent="0.25">
      <c r="A1279" s="364" t="s">
        <v>3752</v>
      </c>
      <c r="B1279" s="361" t="s">
        <v>3753</v>
      </c>
      <c r="C1279" t="s">
        <v>1920</v>
      </c>
      <c r="D1279" s="361">
        <v>45</v>
      </c>
      <c r="E1279" s="364"/>
      <c r="F1279" s="361" t="s">
        <v>1917</v>
      </c>
      <c r="T1279" s="361">
        <v>49.6</v>
      </c>
    </row>
    <row r="1280" spans="1:20" x14ac:dyDescent="0.25">
      <c r="A1280" s="364" t="s">
        <v>3754</v>
      </c>
      <c r="B1280" s="361" t="s">
        <v>3755</v>
      </c>
      <c r="C1280" t="s">
        <v>1920</v>
      </c>
      <c r="D1280" s="361">
        <v>45</v>
      </c>
      <c r="E1280" s="364"/>
      <c r="F1280" s="361" t="s">
        <v>1917</v>
      </c>
      <c r="T1280" s="361">
        <v>49.6</v>
      </c>
    </row>
    <row r="1281" spans="1:20" x14ac:dyDescent="0.25">
      <c r="A1281" s="364" t="s">
        <v>3756</v>
      </c>
      <c r="B1281" s="361" t="s">
        <v>3757</v>
      </c>
      <c r="C1281" t="s">
        <v>1920</v>
      </c>
      <c r="D1281" s="361">
        <v>45</v>
      </c>
      <c r="E1281" s="364"/>
      <c r="F1281" s="361" t="s">
        <v>1917</v>
      </c>
      <c r="T1281" s="361">
        <v>49.6</v>
      </c>
    </row>
    <row r="1282" spans="1:20" x14ac:dyDescent="0.25">
      <c r="A1282" s="364" t="s">
        <v>3758</v>
      </c>
      <c r="B1282" s="361" t="s">
        <v>3759</v>
      </c>
      <c r="C1282" t="s">
        <v>1920</v>
      </c>
      <c r="D1282" s="361">
        <v>54</v>
      </c>
      <c r="E1282" s="364"/>
      <c r="F1282" s="361" t="s">
        <v>1921</v>
      </c>
      <c r="T1282" s="361">
        <v>0.29546</v>
      </c>
    </row>
    <row r="1283" spans="1:20" x14ac:dyDescent="0.25">
      <c r="A1283" s="364" t="s">
        <v>3760</v>
      </c>
      <c r="B1283" s="361" t="s">
        <v>3761</v>
      </c>
      <c r="C1283" t="s">
        <v>1920</v>
      </c>
      <c r="D1283" s="361">
        <v>54</v>
      </c>
      <c r="E1283" s="364"/>
      <c r="F1283" s="361" t="s">
        <v>1921</v>
      </c>
      <c r="T1283" s="361">
        <v>0.23582</v>
      </c>
    </row>
    <row r="1284" spans="1:20" x14ac:dyDescent="0.25">
      <c r="A1284" s="364" t="s">
        <v>3762</v>
      </c>
      <c r="B1284" s="361" t="s">
        <v>3763</v>
      </c>
      <c r="C1284" t="s">
        <v>1920</v>
      </c>
      <c r="D1284" s="361">
        <v>54</v>
      </c>
      <c r="E1284" s="364"/>
      <c r="F1284" s="361" t="s">
        <v>1921</v>
      </c>
      <c r="T1284" s="361">
        <v>0.42035</v>
      </c>
    </row>
    <row r="1285" spans="1:20" x14ac:dyDescent="0.25">
      <c r="A1285" s="364" t="s">
        <v>3764</v>
      </c>
      <c r="B1285" s="361" t="s">
        <v>3765</v>
      </c>
      <c r="C1285" t="s">
        <v>1920</v>
      </c>
      <c r="D1285" s="361">
        <v>54</v>
      </c>
      <c r="E1285" s="364"/>
      <c r="F1285" s="361" t="s">
        <v>1921</v>
      </c>
      <c r="T1285" s="361">
        <v>0.23582</v>
      </c>
    </row>
    <row r="1286" spans="1:20" x14ac:dyDescent="0.25">
      <c r="A1286" s="364" t="s">
        <v>3766</v>
      </c>
      <c r="B1286" s="361" t="s">
        <v>3767</v>
      </c>
      <c r="C1286" t="s">
        <v>1920</v>
      </c>
      <c r="D1286" s="361">
        <v>12</v>
      </c>
      <c r="E1286" s="364"/>
      <c r="F1286" s="361" t="s">
        <v>1921</v>
      </c>
      <c r="T1286" s="361">
        <v>9.3939999999999996E-2</v>
      </c>
    </row>
    <row r="1287" spans="1:20" x14ac:dyDescent="0.25">
      <c r="A1287" s="364" t="s">
        <v>3768</v>
      </c>
      <c r="B1287" s="361" t="s">
        <v>3769</v>
      </c>
      <c r="C1287" t="s">
        <v>1920</v>
      </c>
      <c r="D1287" s="361">
        <v>50</v>
      </c>
      <c r="E1287" s="364"/>
      <c r="F1287" s="361" t="s">
        <v>1921</v>
      </c>
      <c r="T1287" s="361">
        <v>0.1489</v>
      </c>
    </row>
    <row r="1288" spans="1:20" x14ac:dyDescent="0.25">
      <c r="A1288" s="364" t="s">
        <v>3770</v>
      </c>
      <c r="B1288" s="361" t="s">
        <v>3771</v>
      </c>
      <c r="C1288" t="s">
        <v>1920</v>
      </c>
      <c r="D1288" s="361">
        <v>45</v>
      </c>
      <c r="E1288" s="364"/>
      <c r="F1288" s="361" t="s">
        <v>1917</v>
      </c>
      <c r="T1288" s="361">
        <v>39.4</v>
      </c>
    </row>
    <row r="1289" spans="1:20" x14ac:dyDescent="0.25">
      <c r="A1289" s="364" t="s">
        <v>3772</v>
      </c>
      <c r="B1289" s="361" t="s">
        <v>3773</v>
      </c>
      <c r="C1289" t="s">
        <v>1920</v>
      </c>
      <c r="D1289" s="361">
        <v>45</v>
      </c>
      <c r="E1289" s="364"/>
      <c r="F1289" s="361" t="s">
        <v>1917</v>
      </c>
      <c r="T1289" s="361">
        <v>49.6</v>
      </c>
    </row>
    <row r="1290" spans="1:20" x14ac:dyDescent="0.25">
      <c r="A1290" s="364" t="s">
        <v>3774</v>
      </c>
      <c r="B1290" s="361" t="s">
        <v>3775</v>
      </c>
      <c r="C1290" t="s">
        <v>1920</v>
      </c>
      <c r="D1290" s="361">
        <v>54</v>
      </c>
      <c r="E1290" s="364"/>
      <c r="F1290" s="361" t="s">
        <v>1921</v>
      </c>
      <c r="T1290" s="361">
        <v>0.20202000000000001</v>
      </c>
    </row>
    <row r="1291" spans="1:20" x14ac:dyDescent="0.25">
      <c r="A1291" s="364" t="s">
        <v>3776</v>
      </c>
      <c r="B1291" s="361" t="s">
        <v>3777</v>
      </c>
      <c r="C1291" t="s">
        <v>1920</v>
      </c>
      <c r="D1291" s="361">
        <v>54</v>
      </c>
      <c r="E1291" s="364"/>
      <c r="F1291" s="361" t="s">
        <v>1921</v>
      </c>
      <c r="T1291" s="361">
        <v>0.21063000000000001</v>
      </c>
    </row>
    <row r="1292" spans="1:20" x14ac:dyDescent="0.25">
      <c r="A1292" s="364" t="s">
        <v>3778</v>
      </c>
      <c r="B1292" s="361" t="s">
        <v>3779</v>
      </c>
      <c r="C1292" t="s">
        <v>1920</v>
      </c>
      <c r="D1292" s="361">
        <v>45</v>
      </c>
      <c r="E1292" s="364"/>
      <c r="F1292" s="361" t="s">
        <v>1917</v>
      </c>
      <c r="T1292" s="361">
        <v>49.8</v>
      </c>
    </row>
    <row r="1293" spans="1:20" x14ac:dyDescent="0.25">
      <c r="A1293" s="364" t="s">
        <v>3780</v>
      </c>
      <c r="B1293" s="361" t="s">
        <v>3781</v>
      </c>
      <c r="C1293" t="s">
        <v>1920</v>
      </c>
      <c r="D1293" s="361">
        <v>54</v>
      </c>
      <c r="E1293" s="364"/>
      <c r="F1293" s="361" t="s">
        <v>1921</v>
      </c>
      <c r="T1293" s="361">
        <v>6.5339999999999995E-2</v>
      </c>
    </row>
    <row r="1294" spans="1:20" x14ac:dyDescent="0.25">
      <c r="A1294" s="364" t="s">
        <v>3782</v>
      </c>
      <c r="B1294" s="361" t="s">
        <v>3783</v>
      </c>
      <c r="C1294" t="s">
        <v>1920</v>
      </c>
      <c r="D1294" s="361">
        <v>45</v>
      </c>
      <c r="E1294" s="364"/>
      <c r="F1294" s="361" t="s">
        <v>1917</v>
      </c>
      <c r="T1294" s="361">
        <v>28.88</v>
      </c>
    </row>
    <row r="1295" spans="1:20" x14ac:dyDescent="0.25">
      <c r="A1295" s="364" t="s">
        <v>3784</v>
      </c>
      <c r="B1295" s="361" t="s">
        <v>3785</v>
      </c>
      <c r="C1295" t="s">
        <v>1920</v>
      </c>
      <c r="D1295" s="361">
        <v>54</v>
      </c>
      <c r="E1295" s="364"/>
      <c r="F1295" s="361" t="s">
        <v>1921</v>
      </c>
      <c r="T1295" s="361">
        <v>6.1990000000000003E-2</v>
      </c>
    </row>
    <row r="1296" spans="1:20" x14ac:dyDescent="0.25">
      <c r="A1296" s="364" t="s">
        <v>3786</v>
      </c>
      <c r="B1296" s="361" t="s">
        <v>3787</v>
      </c>
      <c r="C1296" t="s">
        <v>1920</v>
      </c>
      <c r="D1296" s="361">
        <v>45</v>
      </c>
      <c r="E1296" s="364"/>
      <c r="F1296" s="361" t="s">
        <v>1917</v>
      </c>
      <c r="T1296" s="361">
        <v>39.4</v>
      </c>
    </row>
    <row r="1297" spans="1:20" x14ac:dyDescent="0.25">
      <c r="A1297" s="364" t="s">
        <v>3788</v>
      </c>
      <c r="B1297" s="361" t="s">
        <v>3789</v>
      </c>
      <c r="C1297" t="s">
        <v>1920</v>
      </c>
      <c r="D1297" s="361">
        <v>45</v>
      </c>
      <c r="E1297" s="364"/>
      <c r="F1297" s="361" t="s">
        <v>1917</v>
      </c>
      <c r="T1297" s="361">
        <v>49.6</v>
      </c>
    </row>
    <row r="1298" spans="1:20" x14ac:dyDescent="0.25">
      <c r="A1298" s="364" t="s">
        <v>3790</v>
      </c>
      <c r="B1298" s="361" t="s">
        <v>3791</v>
      </c>
      <c r="C1298" t="s">
        <v>1920</v>
      </c>
      <c r="D1298" s="361">
        <v>54</v>
      </c>
      <c r="E1298" s="364"/>
      <c r="F1298" s="361" t="s">
        <v>1921</v>
      </c>
      <c r="T1298" s="361">
        <v>0.17219999999999999</v>
      </c>
    </row>
    <row r="1299" spans="1:20" x14ac:dyDescent="0.25">
      <c r="A1299" s="364" t="s">
        <v>3792</v>
      </c>
      <c r="B1299" s="361" t="s">
        <v>3793</v>
      </c>
      <c r="C1299" t="s">
        <v>1920</v>
      </c>
      <c r="D1299" s="361">
        <v>54</v>
      </c>
      <c r="E1299" s="364"/>
      <c r="F1299" s="361" t="s">
        <v>1921</v>
      </c>
      <c r="T1299" s="361">
        <v>0.38573000000000002</v>
      </c>
    </row>
    <row r="1300" spans="1:20" x14ac:dyDescent="0.25">
      <c r="A1300" s="364" t="s">
        <v>3794</v>
      </c>
      <c r="B1300" s="361" t="s">
        <v>3795</v>
      </c>
      <c r="C1300" t="s">
        <v>1920</v>
      </c>
      <c r="D1300" s="361">
        <v>45</v>
      </c>
      <c r="E1300" s="364"/>
      <c r="F1300" s="361" t="s">
        <v>1917</v>
      </c>
      <c r="T1300" s="361">
        <v>23.9</v>
      </c>
    </row>
    <row r="1301" spans="1:20" x14ac:dyDescent="0.25">
      <c r="A1301" s="364" t="s">
        <v>3796</v>
      </c>
      <c r="B1301" s="361" t="s">
        <v>3797</v>
      </c>
      <c r="C1301" t="s">
        <v>1920</v>
      </c>
      <c r="D1301" s="361">
        <v>54</v>
      </c>
      <c r="E1301" s="364"/>
      <c r="F1301" s="361" t="s">
        <v>1921</v>
      </c>
      <c r="T1301" s="361">
        <v>4.8710000000000003E-2</v>
      </c>
    </row>
    <row r="1302" spans="1:20" x14ac:dyDescent="0.25">
      <c r="A1302" s="364" t="s">
        <v>3798</v>
      </c>
      <c r="B1302" s="361" t="s">
        <v>3799</v>
      </c>
      <c r="C1302" t="s">
        <v>1920</v>
      </c>
      <c r="D1302" s="361">
        <v>33</v>
      </c>
      <c r="E1302" s="364"/>
      <c r="F1302" s="361" t="s">
        <v>1917</v>
      </c>
      <c r="T1302" s="361">
        <v>9.4499999999999993</v>
      </c>
    </row>
    <row r="1303" spans="1:20" x14ac:dyDescent="0.25">
      <c r="A1303" s="364" t="s">
        <v>1011</v>
      </c>
      <c r="B1303" s="361" t="s">
        <v>1012</v>
      </c>
      <c r="C1303" t="s">
        <v>1916</v>
      </c>
      <c r="D1303" s="361">
        <v>2</v>
      </c>
      <c r="E1303" s="364"/>
      <c r="F1303" s="361" t="s">
        <v>1917</v>
      </c>
      <c r="T1303" s="361">
        <v>107.57</v>
      </c>
    </row>
    <row r="1304" spans="1:20" x14ac:dyDescent="0.25">
      <c r="A1304" s="364" t="s">
        <v>1013</v>
      </c>
      <c r="B1304" s="361" t="s">
        <v>1014</v>
      </c>
      <c r="C1304" t="s">
        <v>1922</v>
      </c>
      <c r="D1304" s="361">
        <v>1</v>
      </c>
      <c r="E1304" s="364"/>
      <c r="F1304" s="361" t="s">
        <v>1917</v>
      </c>
      <c r="T1304" s="361">
        <v>215</v>
      </c>
    </row>
    <row r="1305" spans="1:20" x14ac:dyDescent="0.25">
      <c r="A1305" s="364" t="s">
        <v>1015</v>
      </c>
      <c r="B1305" s="361" t="s">
        <v>1016</v>
      </c>
      <c r="C1305" t="s">
        <v>1922</v>
      </c>
      <c r="D1305" s="361">
        <v>1</v>
      </c>
      <c r="E1305" s="364"/>
      <c r="F1305" s="361" t="s">
        <v>1917</v>
      </c>
      <c r="T1305" s="361">
        <v>8.3000000000000007</v>
      </c>
    </row>
    <row r="1306" spans="1:20" x14ac:dyDescent="0.25">
      <c r="A1306" s="364" t="s">
        <v>3800</v>
      </c>
      <c r="B1306" s="361" t="s">
        <v>3801</v>
      </c>
      <c r="C1306" t="s">
        <v>1920</v>
      </c>
      <c r="D1306" s="361">
        <v>22</v>
      </c>
      <c r="E1306" s="364"/>
      <c r="F1306" s="361" t="s">
        <v>2201</v>
      </c>
      <c r="T1306" s="361">
        <v>37.700000000000003</v>
      </c>
    </row>
    <row r="1307" spans="1:20" x14ac:dyDescent="0.25">
      <c r="A1307" s="364" t="s">
        <v>3802</v>
      </c>
      <c r="B1307" s="361" t="s">
        <v>3803</v>
      </c>
      <c r="C1307" t="s">
        <v>1920</v>
      </c>
      <c r="D1307" s="361">
        <v>24</v>
      </c>
      <c r="E1307" s="364"/>
      <c r="F1307" s="361" t="s">
        <v>1921</v>
      </c>
      <c r="T1307" s="361">
        <v>5.806E-2</v>
      </c>
    </row>
    <row r="1308" spans="1:20" x14ac:dyDescent="0.25">
      <c r="A1308" s="364" t="s">
        <v>1017</v>
      </c>
      <c r="B1308" s="361" t="s">
        <v>1018</v>
      </c>
      <c r="C1308" t="s">
        <v>1916</v>
      </c>
      <c r="D1308" s="361">
        <v>2</v>
      </c>
      <c r="E1308" s="364"/>
      <c r="F1308" s="361" t="s">
        <v>1917</v>
      </c>
      <c r="T1308" s="361">
        <v>49.066670000000002</v>
      </c>
    </row>
    <row r="1309" spans="1:20" x14ac:dyDescent="0.25">
      <c r="A1309" s="364" t="s">
        <v>3804</v>
      </c>
      <c r="B1309" s="361" t="s">
        <v>3805</v>
      </c>
      <c r="C1309" t="s">
        <v>1920</v>
      </c>
      <c r="D1309" s="361">
        <v>20</v>
      </c>
      <c r="E1309" s="364"/>
      <c r="F1309" s="361" t="s">
        <v>2201</v>
      </c>
      <c r="T1309" s="361">
        <v>48.8</v>
      </c>
    </row>
    <row r="1310" spans="1:20" x14ac:dyDescent="0.25">
      <c r="A1310" s="364" t="s">
        <v>3806</v>
      </c>
      <c r="B1310" s="361" t="s">
        <v>3807</v>
      </c>
      <c r="C1310" t="s">
        <v>1920</v>
      </c>
      <c r="D1310" s="361">
        <v>20</v>
      </c>
      <c r="E1310" s="364"/>
      <c r="F1310" s="361" t="s">
        <v>2201</v>
      </c>
      <c r="T1310" s="361">
        <v>229.6</v>
      </c>
    </row>
    <row r="1311" spans="1:20" x14ac:dyDescent="0.25">
      <c r="A1311" s="364" t="s">
        <v>3808</v>
      </c>
      <c r="B1311" s="361" t="s">
        <v>3809</v>
      </c>
      <c r="C1311" t="s">
        <v>1920</v>
      </c>
      <c r="D1311" s="361">
        <v>27</v>
      </c>
      <c r="E1311" s="364"/>
      <c r="F1311" s="361" t="s">
        <v>1921</v>
      </c>
      <c r="T1311" s="361">
        <v>0.23335</v>
      </c>
    </row>
    <row r="1312" spans="1:20" x14ac:dyDescent="0.25">
      <c r="A1312" s="364" t="s">
        <v>3810</v>
      </c>
      <c r="B1312" s="361" t="s">
        <v>3811</v>
      </c>
      <c r="C1312" t="s">
        <v>1920</v>
      </c>
      <c r="D1312" s="361">
        <v>15</v>
      </c>
      <c r="E1312" s="364"/>
      <c r="F1312" s="361" t="s">
        <v>1917</v>
      </c>
      <c r="T1312" s="361">
        <v>39.4</v>
      </c>
    </row>
    <row r="1313" spans="1:20" x14ac:dyDescent="0.25">
      <c r="A1313" s="364" t="s">
        <v>3812</v>
      </c>
      <c r="B1313" s="361" t="s">
        <v>3813</v>
      </c>
      <c r="C1313" t="s">
        <v>1920</v>
      </c>
      <c r="D1313" s="361">
        <v>15</v>
      </c>
      <c r="E1313" s="364"/>
      <c r="F1313" s="361" t="s">
        <v>1917</v>
      </c>
      <c r="T1313" s="361">
        <v>49.6</v>
      </c>
    </row>
    <row r="1314" spans="1:20" x14ac:dyDescent="0.25">
      <c r="A1314" s="364" t="s">
        <v>3814</v>
      </c>
      <c r="B1314" s="361" t="s">
        <v>3815</v>
      </c>
      <c r="C1314" t="s">
        <v>1920</v>
      </c>
      <c r="D1314" s="361">
        <v>15</v>
      </c>
      <c r="E1314" s="364"/>
      <c r="F1314" s="361" t="s">
        <v>1917</v>
      </c>
      <c r="T1314" s="361">
        <v>23.9</v>
      </c>
    </row>
    <row r="1315" spans="1:20" x14ac:dyDescent="0.25">
      <c r="A1315" s="364" t="s">
        <v>3816</v>
      </c>
      <c r="B1315" s="361" t="s">
        <v>3817</v>
      </c>
      <c r="C1315" t="s">
        <v>1920</v>
      </c>
      <c r="D1315" s="361">
        <v>45</v>
      </c>
      <c r="E1315" s="364"/>
      <c r="F1315" s="361" t="s">
        <v>1917</v>
      </c>
      <c r="T1315" s="361">
        <v>34.799999999999997</v>
      </c>
    </row>
    <row r="1316" spans="1:20" x14ac:dyDescent="0.25">
      <c r="A1316" s="364" t="s">
        <v>3818</v>
      </c>
      <c r="B1316" s="361" t="s">
        <v>3819</v>
      </c>
      <c r="C1316" t="s">
        <v>1920</v>
      </c>
      <c r="D1316" s="361">
        <v>15</v>
      </c>
      <c r="E1316" s="364"/>
      <c r="F1316" s="361" t="s">
        <v>1917</v>
      </c>
      <c r="T1316" s="361">
        <v>39.4</v>
      </c>
    </row>
    <row r="1317" spans="1:20" x14ac:dyDescent="0.25">
      <c r="A1317" s="364" t="s">
        <v>3820</v>
      </c>
      <c r="B1317" s="361" t="s">
        <v>3821</v>
      </c>
      <c r="C1317" t="s">
        <v>1920</v>
      </c>
      <c r="D1317" s="361">
        <v>15</v>
      </c>
      <c r="E1317" s="364"/>
      <c r="F1317" s="361" t="s">
        <v>1917</v>
      </c>
      <c r="T1317" s="361">
        <v>49.6</v>
      </c>
    </row>
    <row r="1318" spans="1:20" x14ac:dyDescent="0.25">
      <c r="A1318" s="364" t="s">
        <v>3822</v>
      </c>
      <c r="B1318" s="361" t="s">
        <v>3823</v>
      </c>
      <c r="C1318" t="s">
        <v>1920</v>
      </c>
      <c r="D1318" s="361">
        <v>15</v>
      </c>
      <c r="E1318" s="364"/>
      <c r="F1318" s="361" t="s">
        <v>1917</v>
      </c>
      <c r="T1318" s="361">
        <v>49.6</v>
      </c>
    </row>
    <row r="1319" spans="1:20" x14ac:dyDescent="0.25">
      <c r="A1319" s="364" t="s">
        <v>3824</v>
      </c>
      <c r="B1319" s="361" t="s">
        <v>3825</v>
      </c>
      <c r="C1319" t="s">
        <v>1920</v>
      </c>
      <c r="D1319" s="361">
        <v>24</v>
      </c>
      <c r="E1319" s="364"/>
      <c r="F1319" s="361" t="s">
        <v>2201</v>
      </c>
      <c r="T1319" s="361">
        <v>63.96</v>
      </c>
    </row>
    <row r="1320" spans="1:20" x14ac:dyDescent="0.25">
      <c r="A1320" s="364" t="s">
        <v>3826</v>
      </c>
      <c r="B1320" s="361" t="s">
        <v>3827</v>
      </c>
      <c r="C1320" t="s">
        <v>1920</v>
      </c>
      <c r="D1320" s="361">
        <v>24</v>
      </c>
      <c r="E1320" s="364"/>
      <c r="F1320" s="361" t="s">
        <v>2201</v>
      </c>
      <c r="T1320" s="361">
        <v>40.294800000000002</v>
      </c>
    </row>
    <row r="1321" spans="1:20" x14ac:dyDescent="0.25">
      <c r="A1321" s="364" t="s">
        <v>3828</v>
      </c>
      <c r="B1321" s="361" t="s">
        <v>3829</v>
      </c>
      <c r="C1321" t="s">
        <v>1920</v>
      </c>
      <c r="D1321" s="361">
        <v>24</v>
      </c>
      <c r="E1321" s="364"/>
      <c r="F1321" s="361" t="s">
        <v>2201</v>
      </c>
      <c r="T1321" s="361">
        <v>131.6559</v>
      </c>
    </row>
    <row r="1322" spans="1:20" x14ac:dyDescent="0.25">
      <c r="A1322" s="364" t="s">
        <v>3830</v>
      </c>
      <c r="B1322" s="361" t="s">
        <v>3831</v>
      </c>
      <c r="C1322" t="s">
        <v>1920</v>
      </c>
      <c r="D1322" s="361">
        <v>24</v>
      </c>
      <c r="E1322" s="364"/>
      <c r="F1322" s="361" t="s">
        <v>1921</v>
      </c>
      <c r="T1322" s="361">
        <v>8.5610000000000006E-2</v>
      </c>
    </row>
    <row r="1323" spans="1:20" x14ac:dyDescent="0.25">
      <c r="A1323" s="364" t="s">
        <v>3832</v>
      </c>
      <c r="B1323" s="361" t="s">
        <v>3833</v>
      </c>
      <c r="C1323" t="s">
        <v>1920</v>
      </c>
      <c r="D1323" s="361">
        <v>54</v>
      </c>
      <c r="E1323" s="364"/>
      <c r="F1323" s="361" t="s">
        <v>1921</v>
      </c>
      <c r="T1323" s="361">
        <v>0.29382000000000003</v>
      </c>
    </row>
    <row r="1324" spans="1:20" x14ac:dyDescent="0.25">
      <c r="A1324" s="364" t="s">
        <v>3834</v>
      </c>
      <c r="B1324" s="361" t="s">
        <v>3835</v>
      </c>
      <c r="C1324" t="s">
        <v>1920</v>
      </c>
      <c r="D1324" s="361">
        <v>24</v>
      </c>
      <c r="E1324" s="364"/>
      <c r="F1324" s="361" t="s">
        <v>1921</v>
      </c>
      <c r="T1324" s="361">
        <v>0.21353</v>
      </c>
    </row>
    <row r="1325" spans="1:20" x14ac:dyDescent="0.25">
      <c r="A1325" s="364" t="s">
        <v>3836</v>
      </c>
      <c r="B1325" s="361" t="s">
        <v>3837</v>
      </c>
      <c r="C1325" t="s">
        <v>1920</v>
      </c>
      <c r="D1325" s="361">
        <v>24</v>
      </c>
      <c r="E1325" s="364"/>
      <c r="F1325" s="361" t="s">
        <v>1921</v>
      </c>
      <c r="T1325" s="361">
        <v>0.21973000000000001</v>
      </c>
    </row>
    <row r="1326" spans="1:20" x14ac:dyDescent="0.25">
      <c r="A1326" s="364" t="s">
        <v>3838</v>
      </c>
      <c r="B1326" s="361" t="s">
        <v>3839</v>
      </c>
      <c r="C1326" t="s">
        <v>1920</v>
      </c>
      <c r="D1326" s="361">
        <v>24</v>
      </c>
      <c r="E1326" s="364"/>
      <c r="F1326" s="361" t="s">
        <v>1921</v>
      </c>
      <c r="T1326" s="361">
        <v>0.21156</v>
      </c>
    </row>
    <row r="1327" spans="1:20" x14ac:dyDescent="0.25">
      <c r="A1327" s="364" t="s">
        <v>3840</v>
      </c>
      <c r="B1327" s="361" t="s">
        <v>3841</v>
      </c>
      <c r="C1327" t="s">
        <v>1920</v>
      </c>
      <c r="D1327" s="361">
        <v>24</v>
      </c>
      <c r="E1327" s="364"/>
      <c r="F1327" s="361" t="s">
        <v>1921</v>
      </c>
      <c r="T1327" s="361">
        <v>8.7580000000000005E-2</v>
      </c>
    </row>
    <row r="1328" spans="1:20" x14ac:dyDescent="0.25">
      <c r="A1328" s="364" t="s">
        <v>3842</v>
      </c>
      <c r="B1328" s="361" t="s">
        <v>3843</v>
      </c>
      <c r="C1328" t="s">
        <v>1920</v>
      </c>
      <c r="D1328" s="361">
        <v>24</v>
      </c>
      <c r="E1328" s="364"/>
      <c r="F1328" s="361" t="s">
        <v>1921</v>
      </c>
      <c r="T1328" s="361">
        <v>0.12595000000000001</v>
      </c>
    </row>
    <row r="1329" spans="1:20" x14ac:dyDescent="0.25">
      <c r="A1329" s="364" t="s">
        <v>3844</v>
      </c>
      <c r="B1329" s="361" t="s">
        <v>3845</v>
      </c>
      <c r="C1329">
        <v>2</v>
      </c>
      <c r="D1329" s="361">
        <v>97</v>
      </c>
      <c r="E1329" s="364"/>
      <c r="F1329" s="361" t="s">
        <v>1921</v>
      </c>
      <c r="T1329" s="361">
        <v>1.0185</v>
      </c>
    </row>
    <row r="1330" spans="1:20" x14ac:dyDescent="0.25">
      <c r="A1330" s="364" t="s">
        <v>3846</v>
      </c>
      <c r="B1330" s="361" t="s">
        <v>3847</v>
      </c>
      <c r="C1330" t="s">
        <v>1920</v>
      </c>
      <c r="D1330" s="361">
        <v>24</v>
      </c>
      <c r="E1330" s="364"/>
      <c r="F1330" s="361" t="s">
        <v>2201</v>
      </c>
      <c r="T1330" s="361">
        <v>364.73570000000001</v>
      </c>
    </row>
    <row r="1331" spans="1:20" x14ac:dyDescent="0.25">
      <c r="A1331" s="364" t="s">
        <v>3848</v>
      </c>
      <c r="B1331" s="361" t="s">
        <v>3849</v>
      </c>
      <c r="C1331" t="s">
        <v>1920</v>
      </c>
      <c r="D1331" s="361">
        <v>27</v>
      </c>
      <c r="E1331" s="364"/>
      <c r="F1331" s="361" t="s">
        <v>1921</v>
      </c>
      <c r="T1331" s="361">
        <v>0.60499999999999998</v>
      </c>
    </row>
    <row r="1332" spans="1:20" x14ac:dyDescent="0.25">
      <c r="A1332" s="364" t="s">
        <v>3850</v>
      </c>
      <c r="B1332" s="361" t="s">
        <v>3851</v>
      </c>
      <c r="C1332" t="s">
        <v>1920</v>
      </c>
      <c r="D1332" s="361">
        <v>24</v>
      </c>
      <c r="E1332" s="364"/>
      <c r="F1332" s="361" t="s">
        <v>1921</v>
      </c>
      <c r="T1332" s="361">
        <v>0.11011</v>
      </c>
    </row>
    <row r="1333" spans="1:20" x14ac:dyDescent="0.25">
      <c r="A1333" s="364" t="s">
        <v>3852</v>
      </c>
      <c r="B1333" s="361" t="s">
        <v>3853</v>
      </c>
      <c r="C1333" t="s">
        <v>1920</v>
      </c>
      <c r="D1333" s="361">
        <v>24</v>
      </c>
      <c r="E1333" s="364"/>
      <c r="F1333" s="361" t="s">
        <v>1921</v>
      </c>
      <c r="T1333" s="361">
        <v>0.11011</v>
      </c>
    </row>
    <row r="1334" spans="1:20" x14ac:dyDescent="0.25">
      <c r="A1334" s="364" t="s">
        <v>3854</v>
      </c>
      <c r="B1334" s="361" t="s">
        <v>3855</v>
      </c>
      <c r="C1334">
        <v>2</v>
      </c>
      <c r="D1334" s="361">
        <v>97</v>
      </c>
      <c r="E1334" s="364"/>
      <c r="F1334" s="361" t="s">
        <v>1921</v>
      </c>
      <c r="T1334" s="361">
        <v>1.7</v>
      </c>
    </row>
    <row r="1335" spans="1:20" x14ac:dyDescent="0.25">
      <c r="A1335" s="364" t="s">
        <v>3856</v>
      </c>
      <c r="B1335" s="361" t="s">
        <v>3857</v>
      </c>
      <c r="C1335">
        <v>2</v>
      </c>
      <c r="D1335" s="361">
        <v>97</v>
      </c>
      <c r="E1335" s="364"/>
      <c r="F1335" s="361" t="s">
        <v>1921</v>
      </c>
      <c r="T1335" s="361">
        <v>4.22</v>
      </c>
    </row>
    <row r="1336" spans="1:20" x14ac:dyDescent="0.25">
      <c r="A1336" s="364" t="s">
        <v>3858</v>
      </c>
      <c r="B1336" s="361" t="s">
        <v>3859</v>
      </c>
      <c r="C1336">
        <v>2</v>
      </c>
      <c r="D1336" s="361">
        <v>97</v>
      </c>
      <c r="E1336" s="364"/>
      <c r="F1336" s="361" t="s">
        <v>1921</v>
      </c>
      <c r="T1336" s="361">
        <v>1.57</v>
      </c>
    </row>
    <row r="1337" spans="1:20" x14ac:dyDescent="0.25">
      <c r="A1337" s="364" t="s">
        <v>3860</v>
      </c>
      <c r="B1337" s="361" t="s">
        <v>3861</v>
      </c>
      <c r="C1337">
        <v>2</v>
      </c>
      <c r="D1337" s="361">
        <v>97</v>
      </c>
      <c r="E1337" s="364"/>
      <c r="F1337" s="361" t="s">
        <v>1921</v>
      </c>
      <c r="T1337" s="361">
        <v>3.5</v>
      </c>
    </row>
    <row r="1338" spans="1:20" x14ac:dyDescent="0.25">
      <c r="A1338" s="364" t="s">
        <v>3862</v>
      </c>
      <c r="B1338" s="361" t="s">
        <v>3863</v>
      </c>
      <c r="C1338">
        <v>2</v>
      </c>
      <c r="D1338" s="361">
        <v>97</v>
      </c>
      <c r="E1338" s="364"/>
      <c r="F1338" s="361" t="s">
        <v>1921</v>
      </c>
      <c r="T1338" s="361">
        <v>0.77</v>
      </c>
    </row>
    <row r="1339" spans="1:20" x14ac:dyDescent="0.25">
      <c r="A1339" s="364" t="s">
        <v>3864</v>
      </c>
      <c r="B1339" s="361" t="s">
        <v>3865</v>
      </c>
      <c r="C1339">
        <v>2</v>
      </c>
      <c r="D1339" s="361">
        <v>97</v>
      </c>
      <c r="E1339" s="364"/>
      <c r="F1339" s="361" t="s">
        <v>1921</v>
      </c>
      <c r="T1339" s="361">
        <v>0.7</v>
      </c>
    </row>
    <row r="1340" spans="1:20" x14ac:dyDescent="0.25">
      <c r="A1340" s="364" t="s">
        <v>3866</v>
      </c>
      <c r="B1340" s="361" t="s">
        <v>3867</v>
      </c>
      <c r="C1340">
        <v>2</v>
      </c>
      <c r="D1340" s="361">
        <v>97</v>
      </c>
      <c r="E1340" s="364"/>
      <c r="F1340" s="361" t="s">
        <v>1921</v>
      </c>
      <c r="T1340" s="361">
        <v>0.35</v>
      </c>
    </row>
    <row r="1341" spans="1:20" x14ac:dyDescent="0.25">
      <c r="A1341" s="364" t="s">
        <v>1019</v>
      </c>
      <c r="B1341" s="361" t="s">
        <v>1020</v>
      </c>
      <c r="C1341" t="s">
        <v>1916</v>
      </c>
      <c r="D1341" s="361">
        <v>2</v>
      </c>
      <c r="E1341" s="364"/>
      <c r="F1341" s="361" t="s">
        <v>1917</v>
      </c>
      <c r="T1341" s="361">
        <v>15</v>
      </c>
    </row>
    <row r="1342" spans="1:20" x14ac:dyDescent="0.25">
      <c r="A1342" s="364" t="s">
        <v>3868</v>
      </c>
      <c r="B1342" s="361" t="s">
        <v>3869</v>
      </c>
      <c r="C1342" t="s">
        <v>1920</v>
      </c>
      <c r="D1342" s="361">
        <v>24</v>
      </c>
      <c r="E1342" s="364"/>
      <c r="F1342" s="361" t="s">
        <v>1921</v>
      </c>
      <c r="T1342" s="361">
        <v>0.19286</v>
      </c>
    </row>
    <row r="1343" spans="1:20" x14ac:dyDescent="0.25">
      <c r="A1343" s="364" t="s">
        <v>1021</v>
      </c>
      <c r="B1343" s="361" t="s">
        <v>1022</v>
      </c>
      <c r="C1343" t="s">
        <v>1922</v>
      </c>
      <c r="D1343" s="361">
        <v>1</v>
      </c>
      <c r="E1343" s="364"/>
      <c r="F1343" s="361" t="s">
        <v>1917</v>
      </c>
      <c r="T1343" s="361">
        <v>68.72</v>
      </c>
    </row>
    <row r="1344" spans="1:20" x14ac:dyDescent="0.25">
      <c r="A1344" s="364" t="s">
        <v>3870</v>
      </c>
      <c r="B1344" s="361" t="s">
        <v>3871</v>
      </c>
      <c r="C1344">
        <v>2</v>
      </c>
      <c r="D1344" s="361">
        <v>97</v>
      </c>
      <c r="E1344" s="364"/>
      <c r="F1344" s="361" t="s">
        <v>1921</v>
      </c>
      <c r="T1344" s="361">
        <v>40</v>
      </c>
    </row>
    <row r="1345" spans="1:20" x14ac:dyDescent="0.25">
      <c r="A1345" s="364" t="s">
        <v>3872</v>
      </c>
      <c r="B1345" s="361" t="s">
        <v>3873</v>
      </c>
      <c r="C1345" t="s">
        <v>1920</v>
      </c>
      <c r="D1345" s="361">
        <v>12</v>
      </c>
      <c r="E1345" s="364"/>
      <c r="F1345" s="361" t="s">
        <v>1921</v>
      </c>
      <c r="T1345" s="361">
        <v>7.9009999999999997E-2</v>
      </c>
    </row>
    <row r="1346" spans="1:20" x14ac:dyDescent="0.25">
      <c r="A1346" s="364" t="s">
        <v>3874</v>
      </c>
      <c r="B1346" s="361" t="s">
        <v>3875</v>
      </c>
      <c r="C1346" t="s">
        <v>1920</v>
      </c>
      <c r="D1346" s="361">
        <v>16</v>
      </c>
      <c r="E1346" s="364"/>
      <c r="F1346" s="361" t="s">
        <v>1917</v>
      </c>
      <c r="T1346" s="361">
        <v>17.010000000000002</v>
      </c>
    </row>
    <row r="1347" spans="1:20" x14ac:dyDescent="0.25">
      <c r="A1347" s="364" t="s">
        <v>3876</v>
      </c>
      <c r="B1347" s="361" t="s">
        <v>3877</v>
      </c>
      <c r="C1347" t="s">
        <v>1920</v>
      </c>
      <c r="D1347" s="361">
        <v>52</v>
      </c>
      <c r="E1347" s="364"/>
      <c r="F1347" s="361" t="s">
        <v>2201</v>
      </c>
      <c r="T1347" s="361">
        <v>48</v>
      </c>
    </row>
    <row r="1348" spans="1:20" x14ac:dyDescent="0.25">
      <c r="A1348" s="364" t="s">
        <v>3878</v>
      </c>
      <c r="B1348" s="361" t="s">
        <v>3879</v>
      </c>
      <c r="C1348" t="s">
        <v>1920</v>
      </c>
      <c r="D1348" s="361">
        <v>12</v>
      </c>
      <c r="E1348" s="364"/>
      <c r="F1348" s="361" t="s">
        <v>2201</v>
      </c>
      <c r="T1348" s="361">
        <v>61.65</v>
      </c>
    </row>
    <row r="1349" spans="1:20" x14ac:dyDescent="0.25">
      <c r="A1349" s="364" t="s">
        <v>3880</v>
      </c>
      <c r="B1349" s="361" t="s">
        <v>3132</v>
      </c>
      <c r="C1349" t="s">
        <v>2419</v>
      </c>
      <c r="D1349" s="361">
        <v>4</v>
      </c>
      <c r="E1349" s="364"/>
      <c r="F1349" s="361" t="s">
        <v>1921</v>
      </c>
      <c r="T1349" s="361">
        <v>1.04E-2</v>
      </c>
    </row>
    <row r="1350" spans="1:20" x14ac:dyDescent="0.25">
      <c r="A1350" s="364" t="s">
        <v>3881</v>
      </c>
      <c r="B1350" s="361" t="s">
        <v>3134</v>
      </c>
      <c r="C1350" t="s">
        <v>2419</v>
      </c>
      <c r="D1350" s="361">
        <v>4</v>
      </c>
      <c r="E1350" s="364"/>
      <c r="F1350" s="361" t="s">
        <v>1921</v>
      </c>
      <c r="T1350" s="361">
        <v>1.6209999999999999E-2</v>
      </c>
    </row>
    <row r="1351" spans="1:20" x14ac:dyDescent="0.25">
      <c r="A1351" s="364" t="s">
        <v>3882</v>
      </c>
      <c r="B1351" s="361" t="s">
        <v>3136</v>
      </c>
      <c r="C1351" t="s">
        <v>2419</v>
      </c>
      <c r="D1351" s="361">
        <v>4</v>
      </c>
      <c r="E1351" s="364"/>
      <c r="F1351" s="361" t="s">
        <v>1921</v>
      </c>
      <c r="T1351" s="361">
        <v>2.8199999999999999E-2</v>
      </c>
    </row>
    <row r="1352" spans="1:20" x14ac:dyDescent="0.25">
      <c r="A1352" s="364" t="s">
        <v>3883</v>
      </c>
      <c r="B1352" s="361" t="s">
        <v>3138</v>
      </c>
      <c r="C1352" t="s">
        <v>2419</v>
      </c>
      <c r="D1352" s="361">
        <v>4</v>
      </c>
      <c r="E1352" s="364"/>
      <c r="F1352" s="361" t="s">
        <v>1921</v>
      </c>
      <c r="T1352" s="361">
        <v>5.5100000000000003E-2</v>
      </c>
    </row>
    <row r="1353" spans="1:20" x14ac:dyDescent="0.25">
      <c r="A1353" s="364" t="s">
        <v>1023</v>
      </c>
      <c r="B1353" s="361" t="s">
        <v>612</v>
      </c>
      <c r="C1353" t="s">
        <v>1916</v>
      </c>
      <c r="D1353" s="361">
        <v>2</v>
      </c>
      <c r="E1353" s="364"/>
      <c r="F1353" s="361" t="s">
        <v>1917</v>
      </c>
      <c r="T1353" s="361">
        <v>299.11</v>
      </c>
    </row>
    <row r="1354" spans="1:20" x14ac:dyDescent="0.25">
      <c r="A1354" s="364" t="s">
        <v>3884</v>
      </c>
      <c r="B1354" s="361" t="s">
        <v>3885</v>
      </c>
      <c r="C1354" t="s">
        <v>1920</v>
      </c>
      <c r="D1354" s="361">
        <v>50</v>
      </c>
      <c r="E1354" s="364"/>
      <c r="F1354" s="361" t="s">
        <v>1921</v>
      </c>
      <c r="T1354" s="361">
        <v>5.0799999999999998E-2</v>
      </c>
    </row>
    <row r="1355" spans="1:20" x14ac:dyDescent="0.25">
      <c r="A1355" s="364" t="s">
        <v>3886</v>
      </c>
      <c r="B1355" s="361" t="s">
        <v>3887</v>
      </c>
      <c r="C1355" t="s">
        <v>1920</v>
      </c>
      <c r="D1355" s="361">
        <v>54</v>
      </c>
      <c r="E1355" s="364"/>
      <c r="F1355" s="361" t="s">
        <v>1921</v>
      </c>
      <c r="T1355" s="361">
        <v>0.1825</v>
      </c>
    </row>
    <row r="1356" spans="1:20" x14ac:dyDescent="0.25">
      <c r="A1356" s="364" t="s">
        <v>3888</v>
      </c>
      <c r="B1356" s="361" t="s">
        <v>3889</v>
      </c>
      <c r="C1356" t="s">
        <v>1920</v>
      </c>
      <c r="D1356" s="361">
        <v>24</v>
      </c>
      <c r="E1356" s="364"/>
      <c r="F1356" s="361" t="s">
        <v>1921</v>
      </c>
      <c r="T1356" s="361">
        <v>4.6199999999999998E-2</v>
      </c>
    </row>
    <row r="1357" spans="1:20" x14ac:dyDescent="0.25">
      <c r="A1357" s="364" t="s">
        <v>3890</v>
      </c>
      <c r="B1357" s="361" t="s">
        <v>3891</v>
      </c>
      <c r="C1357" t="s">
        <v>1920</v>
      </c>
      <c r="D1357" s="361">
        <v>24</v>
      </c>
      <c r="E1357" s="364"/>
      <c r="F1357" s="361" t="s">
        <v>1921</v>
      </c>
      <c r="T1357" s="361">
        <v>0.15207999999999999</v>
      </c>
    </row>
    <row r="1358" spans="1:20" x14ac:dyDescent="0.25">
      <c r="A1358" s="364" t="s">
        <v>3892</v>
      </c>
      <c r="B1358" s="361" t="s">
        <v>3893</v>
      </c>
      <c r="C1358" t="s">
        <v>1920</v>
      </c>
      <c r="D1358" s="361">
        <v>24</v>
      </c>
      <c r="E1358" s="364"/>
      <c r="F1358" s="361" t="s">
        <v>1921</v>
      </c>
      <c r="T1358" s="361">
        <v>5.1360000000000003E-2</v>
      </c>
    </row>
    <row r="1359" spans="1:20" x14ac:dyDescent="0.25">
      <c r="A1359" s="364" t="s">
        <v>3894</v>
      </c>
      <c r="B1359" s="361" t="s">
        <v>3895</v>
      </c>
      <c r="C1359" t="s">
        <v>1920</v>
      </c>
      <c r="D1359" s="361">
        <v>24</v>
      </c>
      <c r="E1359" s="364"/>
      <c r="F1359" s="361" t="s">
        <v>1921</v>
      </c>
      <c r="T1359" s="361">
        <v>0.12084</v>
      </c>
    </row>
    <row r="1360" spans="1:20" x14ac:dyDescent="0.25">
      <c r="A1360" s="364" t="s">
        <v>3896</v>
      </c>
      <c r="B1360" s="361" t="s">
        <v>3897</v>
      </c>
      <c r="C1360" t="s">
        <v>1920</v>
      </c>
      <c r="D1360" s="361">
        <v>24</v>
      </c>
      <c r="E1360" s="364"/>
      <c r="F1360" s="361" t="s">
        <v>2201</v>
      </c>
      <c r="T1360" s="361">
        <v>375</v>
      </c>
    </row>
    <row r="1361" spans="1:20" x14ac:dyDescent="0.25">
      <c r="A1361" s="364" t="s">
        <v>3898</v>
      </c>
      <c r="B1361" s="361" t="s">
        <v>3899</v>
      </c>
      <c r="C1361" t="s">
        <v>1920</v>
      </c>
      <c r="D1361" s="361">
        <v>91</v>
      </c>
      <c r="E1361" s="364"/>
      <c r="F1361" s="361" t="s">
        <v>2201</v>
      </c>
      <c r="T1361" s="361">
        <v>267</v>
      </c>
    </row>
    <row r="1362" spans="1:20" x14ac:dyDescent="0.25">
      <c r="A1362" s="364" t="s">
        <v>3900</v>
      </c>
      <c r="B1362" s="361" t="s">
        <v>3671</v>
      </c>
      <c r="C1362" t="s">
        <v>1920</v>
      </c>
      <c r="D1362" s="361">
        <v>15</v>
      </c>
      <c r="E1362" s="364"/>
      <c r="F1362" s="361" t="s">
        <v>1917</v>
      </c>
      <c r="T1362" s="361">
        <v>23.9</v>
      </c>
    </row>
    <row r="1363" spans="1:20" x14ac:dyDescent="0.25">
      <c r="A1363" s="364" t="s">
        <v>452</v>
      </c>
      <c r="B1363" s="361" t="s">
        <v>3901</v>
      </c>
      <c r="C1363" t="s">
        <v>1920</v>
      </c>
      <c r="D1363" s="361">
        <v>24</v>
      </c>
      <c r="E1363" s="364"/>
      <c r="F1363" s="361" t="s">
        <v>1921</v>
      </c>
      <c r="T1363" s="361">
        <v>0.15251999999999999</v>
      </c>
    </row>
    <row r="1364" spans="1:20" x14ac:dyDescent="0.25">
      <c r="A1364" s="364" t="s">
        <v>3902</v>
      </c>
      <c r="B1364" s="361" t="s">
        <v>3903</v>
      </c>
      <c r="C1364" t="s">
        <v>1920</v>
      </c>
      <c r="D1364" s="361">
        <v>20</v>
      </c>
      <c r="E1364" s="364"/>
      <c r="F1364" s="361" t="s">
        <v>1921</v>
      </c>
      <c r="T1364" s="361">
        <v>3.2300000000000002E-2</v>
      </c>
    </row>
    <row r="1365" spans="1:20" x14ac:dyDescent="0.25">
      <c r="A1365" s="364" t="s">
        <v>3904</v>
      </c>
      <c r="B1365" s="361" t="s">
        <v>3905</v>
      </c>
      <c r="C1365" t="s">
        <v>1920</v>
      </c>
      <c r="D1365" s="361">
        <v>50</v>
      </c>
      <c r="E1365" s="364"/>
      <c r="F1365" s="361" t="s">
        <v>1921</v>
      </c>
      <c r="T1365" s="361">
        <v>5.1200000000000002E-2</v>
      </c>
    </row>
    <row r="1366" spans="1:20" x14ac:dyDescent="0.25">
      <c r="A1366" s="364" t="s">
        <v>1024</v>
      </c>
      <c r="B1366" s="361" t="s">
        <v>1025</v>
      </c>
      <c r="C1366" t="s">
        <v>1922</v>
      </c>
      <c r="D1366" s="361">
        <v>1</v>
      </c>
      <c r="E1366" s="364"/>
      <c r="F1366" s="361" t="s">
        <v>1917</v>
      </c>
      <c r="T1366" s="361">
        <v>4.26</v>
      </c>
    </row>
    <row r="1367" spans="1:20" x14ac:dyDescent="0.25">
      <c r="A1367" s="364" t="s">
        <v>1026</v>
      </c>
      <c r="B1367" s="361" t="s">
        <v>1027</v>
      </c>
      <c r="C1367" t="s">
        <v>1916</v>
      </c>
      <c r="D1367" s="361">
        <v>2</v>
      </c>
      <c r="E1367" s="364"/>
      <c r="F1367" s="361" t="s">
        <v>1917</v>
      </c>
      <c r="T1367" s="361">
        <v>5.5</v>
      </c>
    </row>
    <row r="1368" spans="1:20" x14ac:dyDescent="0.25">
      <c r="A1368" s="364" t="s">
        <v>3906</v>
      </c>
      <c r="B1368" s="361" t="s">
        <v>3907</v>
      </c>
      <c r="C1368" t="s">
        <v>1920</v>
      </c>
      <c r="D1368" s="361">
        <v>50</v>
      </c>
      <c r="E1368" s="364"/>
      <c r="F1368" s="361" t="s">
        <v>1921</v>
      </c>
      <c r="T1368" s="361">
        <v>5.1180000000000003E-2</v>
      </c>
    </row>
    <row r="1369" spans="1:20" x14ac:dyDescent="0.25">
      <c r="A1369" s="364" t="s">
        <v>3908</v>
      </c>
      <c r="B1369" s="361" t="s">
        <v>3909</v>
      </c>
      <c r="C1369" t="s">
        <v>1920</v>
      </c>
      <c r="D1369" s="361">
        <v>50</v>
      </c>
      <c r="E1369" s="364"/>
      <c r="F1369" s="361" t="s">
        <v>1921</v>
      </c>
      <c r="T1369" s="361">
        <v>5.1200000000000002E-2</v>
      </c>
    </row>
    <row r="1370" spans="1:20" x14ac:dyDescent="0.25">
      <c r="A1370" s="364" t="s">
        <v>3910</v>
      </c>
      <c r="B1370" s="361" t="s">
        <v>3911</v>
      </c>
      <c r="C1370" t="s">
        <v>1920</v>
      </c>
      <c r="D1370" s="361">
        <v>50</v>
      </c>
      <c r="E1370" s="364"/>
      <c r="F1370" s="361" t="s">
        <v>1921</v>
      </c>
      <c r="T1370" s="361">
        <v>5.1200000000000002E-2</v>
      </c>
    </row>
    <row r="1371" spans="1:20" x14ac:dyDescent="0.25">
      <c r="A1371" s="364" t="s">
        <v>220</v>
      </c>
      <c r="B1371" s="361" t="s">
        <v>1028</v>
      </c>
      <c r="C1371" t="s">
        <v>1916</v>
      </c>
      <c r="D1371" s="361">
        <v>2</v>
      </c>
      <c r="E1371" s="364"/>
      <c r="F1371" s="361" t="s">
        <v>1917</v>
      </c>
      <c r="T1371" s="361">
        <v>85900</v>
      </c>
    </row>
    <row r="1372" spans="1:20" x14ac:dyDescent="0.25">
      <c r="A1372" s="364" t="s">
        <v>3912</v>
      </c>
      <c r="B1372" s="361" t="s">
        <v>3913</v>
      </c>
      <c r="C1372">
        <v>2</v>
      </c>
      <c r="D1372" s="361">
        <v>97</v>
      </c>
      <c r="E1372" s="364"/>
      <c r="F1372" s="361" t="s">
        <v>1921</v>
      </c>
      <c r="T1372" s="361">
        <v>83.75</v>
      </c>
    </row>
    <row r="1373" spans="1:20" x14ac:dyDescent="0.25">
      <c r="A1373" s="364" t="s">
        <v>3914</v>
      </c>
      <c r="B1373" s="361" t="s">
        <v>3915</v>
      </c>
      <c r="C1373">
        <v>2</v>
      </c>
      <c r="D1373" s="361">
        <v>97</v>
      </c>
      <c r="E1373" s="364"/>
      <c r="F1373" s="361" t="s">
        <v>1921</v>
      </c>
      <c r="T1373" s="361">
        <v>100</v>
      </c>
    </row>
    <row r="1374" spans="1:20" x14ac:dyDescent="0.25">
      <c r="A1374" s="364" t="s">
        <v>3916</v>
      </c>
      <c r="B1374" s="361" t="s">
        <v>3917</v>
      </c>
      <c r="C1374" t="s">
        <v>2419</v>
      </c>
      <c r="D1374" s="361">
        <v>4</v>
      </c>
      <c r="E1374" s="364"/>
      <c r="F1374" s="361" t="s">
        <v>2201</v>
      </c>
      <c r="T1374" s="361">
        <v>118.46666999999999</v>
      </c>
    </row>
    <row r="1375" spans="1:20" x14ac:dyDescent="0.25">
      <c r="A1375" s="364" t="s">
        <v>3918</v>
      </c>
      <c r="B1375" s="361" t="s">
        <v>3919</v>
      </c>
      <c r="C1375" t="s">
        <v>2419</v>
      </c>
      <c r="D1375" s="361">
        <v>4</v>
      </c>
      <c r="E1375" s="364"/>
      <c r="F1375" s="361" t="s">
        <v>2201</v>
      </c>
      <c r="T1375" s="361">
        <v>137.33332999999999</v>
      </c>
    </row>
    <row r="1376" spans="1:20" x14ac:dyDescent="0.25">
      <c r="A1376" s="364" t="s">
        <v>3920</v>
      </c>
      <c r="B1376" s="361" t="s">
        <v>3921</v>
      </c>
      <c r="C1376" t="s">
        <v>1920</v>
      </c>
      <c r="D1376" s="361">
        <v>24</v>
      </c>
      <c r="E1376" s="364"/>
      <c r="F1376" s="361" t="s">
        <v>1921</v>
      </c>
      <c r="T1376" s="361">
        <v>0.1293</v>
      </c>
    </row>
    <row r="1377" spans="1:20" x14ac:dyDescent="0.25">
      <c r="A1377" s="364" t="s">
        <v>3922</v>
      </c>
      <c r="B1377" s="361" t="s">
        <v>3923</v>
      </c>
      <c r="C1377" t="s">
        <v>1920</v>
      </c>
      <c r="D1377" s="361">
        <v>24</v>
      </c>
      <c r="E1377" s="364"/>
      <c r="F1377" s="361" t="s">
        <v>1921</v>
      </c>
      <c r="T1377" s="361">
        <v>0.11985</v>
      </c>
    </row>
    <row r="1378" spans="1:20" x14ac:dyDescent="0.25">
      <c r="A1378" s="364" t="s">
        <v>3924</v>
      </c>
      <c r="B1378" s="361" t="s">
        <v>3925</v>
      </c>
      <c r="C1378" t="s">
        <v>1920</v>
      </c>
      <c r="D1378" s="361">
        <v>50</v>
      </c>
      <c r="E1378" s="364"/>
      <c r="F1378" s="361" t="s">
        <v>1921</v>
      </c>
      <c r="T1378" s="361">
        <v>3.0200000000000001E-2</v>
      </c>
    </row>
    <row r="1379" spans="1:20" x14ac:dyDescent="0.25">
      <c r="A1379" s="364" t="s">
        <v>3926</v>
      </c>
      <c r="B1379" s="361" t="s">
        <v>3927</v>
      </c>
      <c r="C1379" t="s">
        <v>1920</v>
      </c>
      <c r="D1379" s="361">
        <v>20</v>
      </c>
      <c r="E1379" s="364"/>
      <c r="F1379" s="361" t="s">
        <v>2201</v>
      </c>
      <c r="T1379" s="361">
        <v>72.45</v>
      </c>
    </row>
    <row r="1380" spans="1:20" x14ac:dyDescent="0.25">
      <c r="A1380" s="364" t="s">
        <v>3928</v>
      </c>
      <c r="B1380" s="361" t="s">
        <v>3929</v>
      </c>
      <c r="C1380" t="s">
        <v>1920</v>
      </c>
      <c r="D1380" s="361">
        <v>12</v>
      </c>
      <c r="E1380" s="364"/>
      <c r="F1380" s="361" t="s">
        <v>1921</v>
      </c>
      <c r="T1380" s="361">
        <v>8.1000000000000003E-2</v>
      </c>
    </row>
    <row r="1381" spans="1:20" x14ac:dyDescent="0.25">
      <c r="A1381" s="364" t="s">
        <v>3930</v>
      </c>
      <c r="B1381" s="361" t="s">
        <v>3931</v>
      </c>
      <c r="C1381" t="s">
        <v>1920</v>
      </c>
      <c r="D1381" s="361">
        <v>50</v>
      </c>
      <c r="E1381" s="364"/>
      <c r="F1381" s="361" t="s">
        <v>1921</v>
      </c>
      <c r="T1381" s="361">
        <v>3.4200000000000001E-2</v>
      </c>
    </row>
    <row r="1382" spans="1:20" x14ac:dyDescent="0.25">
      <c r="A1382" s="364" t="s">
        <v>3932</v>
      </c>
      <c r="B1382" s="361" t="s">
        <v>3933</v>
      </c>
      <c r="C1382" t="s">
        <v>1920</v>
      </c>
      <c r="D1382" s="361">
        <v>50</v>
      </c>
      <c r="E1382" s="364"/>
      <c r="F1382" s="361" t="s">
        <v>1921</v>
      </c>
      <c r="T1382" s="361">
        <v>3.4200000000000001E-2</v>
      </c>
    </row>
    <row r="1383" spans="1:20" x14ac:dyDescent="0.25">
      <c r="A1383" s="364" t="s">
        <v>1029</v>
      </c>
      <c r="B1383" s="361" t="s">
        <v>1030</v>
      </c>
      <c r="C1383" t="s">
        <v>1916</v>
      </c>
      <c r="D1383" s="361">
        <v>2</v>
      </c>
      <c r="E1383" s="364"/>
      <c r="F1383" s="361" t="s">
        <v>1917</v>
      </c>
      <c r="T1383" s="361">
        <v>297.8</v>
      </c>
    </row>
    <row r="1384" spans="1:20" x14ac:dyDescent="0.25">
      <c r="A1384" s="364" t="s">
        <v>3934</v>
      </c>
      <c r="B1384" s="361" t="s">
        <v>3935</v>
      </c>
      <c r="C1384" t="s">
        <v>1920</v>
      </c>
      <c r="D1384" s="361">
        <v>15</v>
      </c>
      <c r="E1384" s="364"/>
      <c r="F1384" s="361" t="s">
        <v>1917</v>
      </c>
      <c r="T1384" s="361">
        <v>39.4</v>
      </c>
    </row>
    <row r="1385" spans="1:20" x14ac:dyDescent="0.25">
      <c r="A1385" s="364" t="s">
        <v>3936</v>
      </c>
      <c r="B1385" s="361" t="s">
        <v>3937</v>
      </c>
      <c r="C1385" t="s">
        <v>1920</v>
      </c>
      <c r="D1385" s="361">
        <v>15</v>
      </c>
      <c r="E1385" s="364"/>
      <c r="F1385" s="361" t="s">
        <v>1917</v>
      </c>
      <c r="T1385" s="361">
        <v>39.4</v>
      </c>
    </row>
    <row r="1386" spans="1:20" x14ac:dyDescent="0.25">
      <c r="A1386" s="364" t="s">
        <v>3938</v>
      </c>
      <c r="B1386" s="361" t="s">
        <v>3939</v>
      </c>
      <c r="C1386" t="s">
        <v>1920</v>
      </c>
      <c r="D1386" s="361">
        <v>16</v>
      </c>
      <c r="E1386" s="364"/>
      <c r="F1386" s="361" t="s">
        <v>1917</v>
      </c>
      <c r="T1386" s="361">
        <v>45.45</v>
      </c>
    </row>
    <row r="1387" spans="1:20" x14ac:dyDescent="0.25">
      <c r="A1387" s="364" t="s">
        <v>3940</v>
      </c>
      <c r="B1387" s="361" t="s">
        <v>3941</v>
      </c>
      <c r="C1387" t="s">
        <v>1920</v>
      </c>
      <c r="D1387" s="361">
        <v>16</v>
      </c>
      <c r="E1387" s="364"/>
      <c r="F1387" s="361" t="s">
        <v>1917</v>
      </c>
      <c r="T1387" s="361">
        <v>45.45</v>
      </c>
    </row>
    <row r="1388" spans="1:20" x14ac:dyDescent="0.25">
      <c r="A1388" s="364" t="s">
        <v>148</v>
      </c>
      <c r="B1388" s="361" t="s">
        <v>1031</v>
      </c>
      <c r="C1388" t="s">
        <v>1922</v>
      </c>
      <c r="D1388" s="361">
        <v>1</v>
      </c>
      <c r="E1388" s="364"/>
      <c r="F1388" s="361" t="s">
        <v>1917</v>
      </c>
      <c r="T1388" s="361">
        <v>31.2</v>
      </c>
    </row>
    <row r="1389" spans="1:20" x14ac:dyDescent="0.25">
      <c r="A1389" s="364" t="s">
        <v>176</v>
      </c>
      <c r="B1389" s="361" t="s">
        <v>1032</v>
      </c>
      <c r="C1389" t="s">
        <v>1916</v>
      </c>
      <c r="D1389" s="361">
        <v>2</v>
      </c>
      <c r="E1389" s="364"/>
      <c r="F1389" s="361" t="s">
        <v>1917</v>
      </c>
      <c r="T1389" s="361">
        <v>2515</v>
      </c>
    </row>
    <row r="1390" spans="1:20" x14ac:dyDescent="0.25">
      <c r="A1390" s="364" t="s">
        <v>246</v>
      </c>
      <c r="B1390" s="361" t="s">
        <v>1033</v>
      </c>
      <c r="C1390" t="s">
        <v>1922</v>
      </c>
      <c r="D1390" s="361">
        <v>1</v>
      </c>
      <c r="E1390" s="364"/>
      <c r="F1390" s="361" t="s">
        <v>1917</v>
      </c>
      <c r="T1390" s="361">
        <v>92.63</v>
      </c>
    </row>
    <row r="1391" spans="1:20" x14ac:dyDescent="0.25">
      <c r="A1391" s="364" t="s">
        <v>3942</v>
      </c>
      <c r="B1391" s="361" t="s">
        <v>3943</v>
      </c>
      <c r="C1391" t="s">
        <v>1920</v>
      </c>
      <c r="D1391" s="361">
        <v>20</v>
      </c>
      <c r="E1391" s="364"/>
      <c r="F1391" s="361" t="s">
        <v>2201</v>
      </c>
      <c r="T1391" s="361">
        <v>229.6</v>
      </c>
    </row>
    <row r="1392" spans="1:20" x14ac:dyDescent="0.25">
      <c r="A1392" s="364" t="s">
        <v>3944</v>
      </c>
      <c r="B1392" s="361" t="s">
        <v>3945</v>
      </c>
      <c r="C1392" t="s">
        <v>1920</v>
      </c>
      <c r="D1392" s="361">
        <v>20</v>
      </c>
      <c r="E1392" s="364"/>
      <c r="F1392" s="361" t="s">
        <v>2201</v>
      </c>
      <c r="T1392" s="361">
        <v>229.6</v>
      </c>
    </row>
    <row r="1393" spans="1:20" x14ac:dyDescent="0.25">
      <c r="A1393" s="364" t="s">
        <v>1034</v>
      </c>
      <c r="B1393" s="361" t="s">
        <v>1035</v>
      </c>
      <c r="C1393" t="s">
        <v>1916</v>
      </c>
      <c r="D1393" s="361">
        <v>2</v>
      </c>
      <c r="E1393" s="364"/>
      <c r="F1393" s="361" t="s">
        <v>1917</v>
      </c>
      <c r="T1393" s="361">
        <v>14.25</v>
      </c>
    </row>
    <row r="1394" spans="1:20" x14ac:dyDescent="0.25">
      <c r="A1394" s="364" t="s">
        <v>3946</v>
      </c>
      <c r="B1394" s="361" t="s">
        <v>3947</v>
      </c>
      <c r="C1394" t="s">
        <v>1920</v>
      </c>
      <c r="D1394" s="361">
        <v>11</v>
      </c>
      <c r="E1394" s="364"/>
      <c r="F1394" s="361" t="s">
        <v>2201</v>
      </c>
      <c r="T1394" s="361">
        <v>745.5</v>
      </c>
    </row>
    <row r="1395" spans="1:20" x14ac:dyDescent="0.25">
      <c r="A1395" s="364" t="s">
        <v>3948</v>
      </c>
      <c r="B1395" s="361" t="s">
        <v>3949</v>
      </c>
      <c r="C1395" t="s">
        <v>1920</v>
      </c>
      <c r="D1395" s="361">
        <v>12</v>
      </c>
      <c r="E1395" s="364"/>
      <c r="F1395" s="361" t="s">
        <v>2201</v>
      </c>
      <c r="T1395" s="361">
        <v>367.5</v>
      </c>
    </row>
    <row r="1396" spans="1:20" x14ac:dyDescent="0.25">
      <c r="A1396" s="364" t="s">
        <v>3950</v>
      </c>
      <c r="B1396" s="361" t="s">
        <v>3951</v>
      </c>
      <c r="C1396" t="s">
        <v>1920</v>
      </c>
      <c r="D1396" s="361">
        <v>11</v>
      </c>
      <c r="E1396" s="364"/>
      <c r="F1396" s="361" t="s">
        <v>2201</v>
      </c>
      <c r="T1396" s="361">
        <v>714</v>
      </c>
    </row>
    <row r="1397" spans="1:20" x14ac:dyDescent="0.25">
      <c r="A1397" s="364" t="s">
        <v>3952</v>
      </c>
      <c r="B1397" s="361" t="s">
        <v>3953</v>
      </c>
      <c r="C1397" t="s">
        <v>1920</v>
      </c>
      <c r="D1397" s="361">
        <v>12</v>
      </c>
      <c r="E1397" s="364"/>
      <c r="F1397" s="361" t="s">
        <v>2201</v>
      </c>
      <c r="T1397" s="361">
        <v>330.75</v>
      </c>
    </row>
    <row r="1398" spans="1:20" x14ac:dyDescent="0.25">
      <c r="A1398" s="364" t="s">
        <v>3954</v>
      </c>
      <c r="B1398" s="361" t="s">
        <v>3955</v>
      </c>
      <c r="C1398" t="s">
        <v>1920</v>
      </c>
      <c r="D1398" s="361" t="s">
        <v>2394</v>
      </c>
      <c r="E1398" s="364"/>
      <c r="F1398" s="361" t="s">
        <v>2201</v>
      </c>
      <c r="T1398" s="361">
        <v>49.8</v>
      </c>
    </row>
    <row r="1399" spans="1:20" x14ac:dyDescent="0.25">
      <c r="A1399" s="364" t="s">
        <v>3956</v>
      </c>
      <c r="B1399" s="361" t="s">
        <v>3955</v>
      </c>
      <c r="C1399" t="s">
        <v>1920</v>
      </c>
      <c r="D1399" s="361" t="s">
        <v>2394</v>
      </c>
      <c r="E1399" s="364"/>
      <c r="F1399" s="361" t="s">
        <v>2201</v>
      </c>
      <c r="T1399" s="361">
        <v>50.4</v>
      </c>
    </row>
    <row r="1400" spans="1:20" x14ac:dyDescent="0.25">
      <c r="A1400" s="364" t="s">
        <v>3957</v>
      </c>
      <c r="B1400" s="361" t="s">
        <v>3958</v>
      </c>
      <c r="C1400" t="s">
        <v>1920</v>
      </c>
      <c r="D1400" s="361">
        <v>27</v>
      </c>
      <c r="E1400" s="364"/>
      <c r="F1400" s="361" t="s">
        <v>1921</v>
      </c>
      <c r="T1400" s="361">
        <v>0.79484999999999995</v>
      </c>
    </row>
    <row r="1401" spans="1:20" x14ac:dyDescent="0.25">
      <c r="A1401" s="364" t="s">
        <v>3959</v>
      </c>
      <c r="B1401" s="361" t="s">
        <v>3960</v>
      </c>
      <c r="C1401" t="s">
        <v>1920</v>
      </c>
      <c r="D1401" s="361">
        <v>27</v>
      </c>
      <c r="E1401" s="364"/>
      <c r="F1401" s="361" t="s">
        <v>1921</v>
      </c>
      <c r="T1401" s="361">
        <v>0.64154999999999995</v>
      </c>
    </row>
    <row r="1402" spans="1:20" x14ac:dyDescent="0.25">
      <c r="A1402" s="364" t="s">
        <v>3961</v>
      </c>
      <c r="B1402" s="361" t="s">
        <v>3962</v>
      </c>
      <c r="C1402" t="s">
        <v>1920</v>
      </c>
      <c r="D1402" s="361">
        <v>1</v>
      </c>
      <c r="E1402" s="364"/>
      <c r="F1402" s="361" t="s">
        <v>2201</v>
      </c>
      <c r="T1402" s="361">
        <v>96.6</v>
      </c>
    </row>
    <row r="1403" spans="1:20" x14ac:dyDescent="0.25">
      <c r="A1403" s="364" t="s">
        <v>3963</v>
      </c>
      <c r="B1403" s="361" t="s">
        <v>3964</v>
      </c>
      <c r="C1403" t="s">
        <v>1920</v>
      </c>
      <c r="D1403" s="361">
        <v>1</v>
      </c>
      <c r="E1403" s="364"/>
      <c r="F1403" s="361" t="s">
        <v>2201</v>
      </c>
      <c r="T1403" s="361">
        <v>189</v>
      </c>
    </row>
    <row r="1404" spans="1:20" x14ac:dyDescent="0.25">
      <c r="A1404" s="364" t="s">
        <v>3965</v>
      </c>
      <c r="B1404" s="361" t="s">
        <v>3966</v>
      </c>
      <c r="C1404" t="s">
        <v>1920</v>
      </c>
      <c r="D1404" s="361">
        <v>1</v>
      </c>
      <c r="E1404" s="364"/>
      <c r="F1404" s="361" t="s">
        <v>2201</v>
      </c>
      <c r="T1404" s="361">
        <v>50.5</v>
      </c>
    </row>
    <row r="1405" spans="1:20" x14ac:dyDescent="0.25">
      <c r="A1405" s="364" t="s">
        <v>3967</v>
      </c>
      <c r="B1405" s="361" t="s">
        <v>3968</v>
      </c>
      <c r="C1405" t="s">
        <v>1920</v>
      </c>
      <c r="D1405" s="361">
        <v>1</v>
      </c>
      <c r="E1405" s="364"/>
      <c r="F1405" s="361" t="s">
        <v>2201</v>
      </c>
      <c r="T1405" s="361">
        <v>50.5</v>
      </c>
    </row>
    <row r="1406" spans="1:20" x14ac:dyDescent="0.25">
      <c r="A1406" s="364" t="s">
        <v>1036</v>
      </c>
      <c r="B1406" s="361" t="s">
        <v>543</v>
      </c>
      <c r="C1406" t="s">
        <v>1916</v>
      </c>
      <c r="D1406" s="361">
        <v>2</v>
      </c>
      <c r="E1406" s="364"/>
      <c r="F1406" s="361" t="s">
        <v>1917</v>
      </c>
      <c r="T1406" s="361">
        <v>705</v>
      </c>
    </row>
    <row r="1407" spans="1:20" x14ac:dyDescent="0.25">
      <c r="A1407" s="364" t="s">
        <v>3969</v>
      </c>
      <c r="B1407" s="361" t="s">
        <v>3970</v>
      </c>
      <c r="C1407" t="s">
        <v>1920</v>
      </c>
      <c r="D1407" s="361">
        <v>15</v>
      </c>
      <c r="E1407" s="364"/>
      <c r="F1407" s="361" t="s">
        <v>1917</v>
      </c>
      <c r="T1407" s="361">
        <v>26.8</v>
      </c>
    </row>
    <row r="1408" spans="1:20" x14ac:dyDescent="0.25">
      <c r="A1408" s="364" t="s">
        <v>3971</v>
      </c>
      <c r="B1408" s="361" t="s">
        <v>3972</v>
      </c>
      <c r="C1408" t="s">
        <v>1920</v>
      </c>
      <c r="D1408" s="361">
        <v>24</v>
      </c>
      <c r="E1408" s="364"/>
      <c r="F1408" s="361" t="s">
        <v>2201</v>
      </c>
      <c r="T1408" s="361">
        <v>98</v>
      </c>
    </row>
    <row r="1409" spans="1:20" x14ac:dyDescent="0.25">
      <c r="A1409" s="364" t="s">
        <v>3973</v>
      </c>
      <c r="B1409" s="361" t="s">
        <v>3974</v>
      </c>
      <c r="C1409" t="s">
        <v>1920</v>
      </c>
      <c r="D1409" s="361">
        <v>15</v>
      </c>
      <c r="E1409" s="364"/>
      <c r="F1409" s="361" t="s">
        <v>1917</v>
      </c>
      <c r="T1409" s="361">
        <v>25.5</v>
      </c>
    </row>
    <row r="1410" spans="1:20" x14ac:dyDescent="0.25">
      <c r="A1410" s="364" t="s">
        <v>3975</v>
      </c>
      <c r="B1410" s="361" t="s">
        <v>3976</v>
      </c>
      <c r="C1410" t="s">
        <v>1920</v>
      </c>
      <c r="D1410" s="361">
        <v>54</v>
      </c>
      <c r="E1410" s="364"/>
      <c r="F1410" s="361" t="s">
        <v>1921</v>
      </c>
      <c r="T1410" s="361">
        <v>9.0520000000000003E-2</v>
      </c>
    </row>
    <row r="1411" spans="1:20" x14ac:dyDescent="0.25">
      <c r="A1411" s="364" t="s">
        <v>3977</v>
      </c>
      <c r="B1411" s="361" t="s">
        <v>3978</v>
      </c>
      <c r="C1411">
        <v>2</v>
      </c>
      <c r="D1411" s="361">
        <v>97</v>
      </c>
      <c r="E1411" s="364"/>
      <c r="F1411" s="361" t="s">
        <v>1921</v>
      </c>
      <c r="T1411" s="361">
        <v>50.428600000000003</v>
      </c>
    </row>
    <row r="1412" spans="1:20" x14ac:dyDescent="0.25">
      <c r="A1412" s="364" t="s">
        <v>3979</v>
      </c>
      <c r="B1412" s="361" t="s">
        <v>3980</v>
      </c>
      <c r="C1412">
        <v>2</v>
      </c>
      <c r="D1412" s="361">
        <v>97</v>
      </c>
      <c r="E1412" s="364"/>
      <c r="F1412" s="361" t="s">
        <v>1921</v>
      </c>
      <c r="T1412" s="361">
        <v>30</v>
      </c>
    </row>
    <row r="1413" spans="1:20" x14ac:dyDescent="0.25">
      <c r="A1413" s="364" t="s">
        <v>3981</v>
      </c>
      <c r="B1413" s="361" t="s">
        <v>3982</v>
      </c>
      <c r="C1413">
        <v>2</v>
      </c>
      <c r="D1413" s="361">
        <v>97</v>
      </c>
      <c r="E1413" s="364"/>
      <c r="F1413" s="361" t="s">
        <v>1921</v>
      </c>
      <c r="T1413" s="361">
        <v>100</v>
      </c>
    </row>
    <row r="1414" spans="1:20" x14ac:dyDescent="0.25">
      <c r="A1414" s="364" t="s">
        <v>1037</v>
      </c>
      <c r="B1414" s="361" t="s">
        <v>1038</v>
      </c>
      <c r="C1414" t="s">
        <v>1916</v>
      </c>
      <c r="D1414" s="361">
        <v>2</v>
      </c>
      <c r="E1414" s="364"/>
      <c r="F1414" s="361" t="s">
        <v>1917</v>
      </c>
      <c r="T1414" s="361">
        <v>27.12</v>
      </c>
    </row>
    <row r="1415" spans="1:20" x14ac:dyDescent="0.25">
      <c r="A1415" s="364" t="s">
        <v>3983</v>
      </c>
      <c r="B1415" s="361" t="s">
        <v>3984</v>
      </c>
      <c r="C1415" t="s">
        <v>1920</v>
      </c>
      <c r="D1415" s="361">
        <v>27</v>
      </c>
      <c r="E1415" s="364"/>
      <c r="F1415" s="361" t="s">
        <v>1921</v>
      </c>
      <c r="T1415" s="361">
        <v>1.3560000000000001</v>
      </c>
    </row>
    <row r="1416" spans="1:20" x14ac:dyDescent="0.25">
      <c r="A1416" s="364" t="s">
        <v>3985</v>
      </c>
      <c r="B1416" s="361" t="s">
        <v>3986</v>
      </c>
      <c r="C1416" t="s">
        <v>1920</v>
      </c>
      <c r="D1416" s="361">
        <v>27</v>
      </c>
      <c r="E1416" s="364"/>
      <c r="F1416" s="361" t="s">
        <v>1921</v>
      </c>
      <c r="T1416" s="361">
        <v>1.3089999999999999</v>
      </c>
    </row>
    <row r="1417" spans="1:20" x14ac:dyDescent="0.25">
      <c r="A1417" s="364" t="s">
        <v>3987</v>
      </c>
      <c r="B1417" s="361" t="s">
        <v>3988</v>
      </c>
      <c r="C1417" t="s">
        <v>1920</v>
      </c>
      <c r="D1417" s="361">
        <v>27</v>
      </c>
      <c r="E1417" s="364"/>
      <c r="F1417" s="361" t="s">
        <v>1921</v>
      </c>
      <c r="T1417" s="361">
        <v>0.78100000000000003</v>
      </c>
    </row>
    <row r="1418" spans="1:20" x14ac:dyDescent="0.25">
      <c r="A1418" s="364" t="s">
        <v>3989</v>
      </c>
      <c r="B1418" s="361" t="s">
        <v>3990</v>
      </c>
      <c r="C1418" t="s">
        <v>1920</v>
      </c>
      <c r="D1418" s="361">
        <v>27</v>
      </c>
      <c r="E1418" s="364"/>
      <c r="F1418" s="361" t="s">
        <v>1921</v>
      </c>
      <c r="T1418" s="361">
        <v>1.0649999999999999</v>
      </c>
    </row>
    <row r="1419" spans="1:20" x14ac:dyDescent="0.25">
      <c r="A1419" s="364" t="s">
        <v>3991</v>
      </c>
      <c r="B1419" s="361" t="s">
        <v>3992</v>
      </c>
      <c r="C1419" t="s">
        <v>1920</v>
      </c>
      <c r="D1419" s="361">
        <v>27</v>
      </c>
      <c r="E1419" s="364"/>
      <c r="F1419" s="361" t="s">
        <v>1921</v>
      </c>
      <c r="T1419" s="361">
        <v>0.32800000000000001</v>
      </c>
    </row>
    <row r="1420" spans="1:20" x14ac:dyDescent="0.25">
      <c r="A1420" s="364" t="s">
        <v>3993</v>
      </c>
      <c r="B1420" s="361" t="s">
        <v>3994</v>
      </c>
      <c r="C1420" t="s">
        <v>1920</v>
      </c>
      <c r="D1420" s="361">
        <v>27</v>
      </c>
      <c r="E1420" s="364"/>
      <c r="F1420" s="361" t="s">
        <v>1921</v>
      </c>
      <c r="T1420" s="361">
        <v>0.73</v>
      </c>
    </row>
    <row r="1421" spans="1:20" x14ac:dyDescent="0.25">
      <c r="A1421" s="364" t="s">
        <v>3995</v>
      </c>
      <c r="B1421" s="361" t="s">
        <v>3996</v>
      </c>
      <c r="C1421" t="s">
        <v>1920</v>
      </c>
      <c r="D1421" s="361">
        <v>27</v>
      </c>
      <c r="E1421" s="364"/>
      <c r="F1421" s="361" t="s">
        <v>1921</v>
      </c>
      <c r="T1421" s="361">
        <v>1.0169999999999999</v>
      </c>
    </row>
    <row r="1422" spans="1:20" x14ac:dyDescent="0.25">
      <c r="A1422" s="364" t="s">
        <v>3997</v>
      </c>
      <c r="B1422" s="361" t="s">
        <v>3998</v>
      </c>
      <c r="C1422" t="s">
        <v>1920</v>
      </c>
      <c r="D1422" s="361">
        <v>20</v>
      </c>
      <c r="E1422" s="364"/>
      <c r="F1422" s="361" t="s">
        <v>2201</v>
      </c>
      <c r="T1422" s="361">
        <v>229.6</v>
      </c>
    </row>
    <row r="1423" spans="1:20" x14ac:dyDescent="0.25">
      <c r="A1423" s="364" t="s">
        <v>3999</v>
      </c>
      <c r="B1423" s="361" t="s">
        <v>4000</v>
      </c>
      <c r="C1423" t="s">
        <v>1920</v>
      </c>
      <c r="D1423" s="361">
        <v>20</v>
      </c>
      <c r="E1423" s="364"/>
      <c r="F1423" s="361" t="s">
        <v>2201</v>
      </c>
      <c r="T1423" s="361">
        <v>229.6</v>
      </c>
    </row>
    <row r="1424" spans="1:20" x14ac:dyDescent="0.25">
      <c r="A1424" s="364" t="s">
        <v>4001</v>
      </c>
      <c r="B1424" s="361" t="s">
        <v>4002</v>
      </c>
      <c r="C1424" t="s">
        <v>1920</v>
      </c>
      <c r="D1424" s="361">
        <v>20</v>
      </c>
      <c r="E1424" s="364"/>
      <c r="F1424" s="361" t="s">
        <v>2201</v>
      </c>
      <c r="T1424" s="361">
        <v>229.6</v>
      </c>
    </row>
    <row r="1425" spans="1:20" x14ac:dyDescent="0.25">
      <c r="A1425" s="364" t="s">
        <v>4003</v>
      </c>
      <c r="B1425" s="361" t="s">
        <v>4004</v>
      </c>
      <c r="C1425" t="s">
        <v>1920</v>
      </c>
      <c r="D1425" s="361">
        <v>20</v>
      </c>
      <c r="E1425" s="364"/>
      <c r="F1425" s="361" t="s">
        <v>2201</v>
      </c>
      <c r="T1425" s="361">
        <v>229.6</v>
      </c>
    </row>
    <row r="1426" spans="1:20" x14ac:dyDescent="0.25">
      <c r="A1426" s="364" t="s">
        <v>4005</v>
      </c>
      <c r="B1426" s="361" t="s">
        <v>4006</v>
      </c>
      <c r="C1426" t="s">
        <v>1920</v>
      </c>
      <c r="D1426" s="361">
        <v>20</v>
      </c>
      <c r="E1426" s="364"/>
      <c r="F1426" s="361" t="s">
        <v>1921</v>
      </c>
      <c r="T1426" s="361">
        <v>3.4200000000000001E-2</v>
      </c>
    </row>
    <row r="1427" spans="1:20" x14ac:dyDescent="0.25">
      <c r="A1427" s="364" t="s">
        <v>4007</v>
      </c>
      <c r="B1427" s="361" t="s">
        <v>4008</v>
      </c>
      <c r="C1427" t="s">
        <v>1920</v>
      </c>
      <c r="D1427" s="361">
        <v>27</v>
      </c>
      <c r="E1427" s="364"/>
      <c r="F1427" s="361" t="s">
        <v>1921</v>
      </c>
      <c r="T1427" s="361">
        <v>0.55900000000000005</v>
      </c>
    </row>
    <row r="1428" spans="1:20" x14ac:dyDescent="0.25">
      <c r="A1428" s="364" t="s">
        <v>4009</v>
      </c>
      <c r="B1428" s="361" t="s">
        <v>4010</v>
      </c>
      <c r="C1428" t="s">
        <v>2419</v>
      </c>
      <c r="D1428" s="361" t="s">
        <v>2096</v>
      </c>
      <c r="E1428" s="364"/>
      <c r="F1428" s="361" t="s">
        <v>1921</v>
      </c>
      <c r="T1428" s="361">
        <v>7.8659999999999994E-2</v>
      </c>
    </row>
    <row r="1429" spans="1:20" x14ac:dyDescent="0.25">
      <c r="A1429" s="364" t="s">
        <v>4011</v>
      </c>
      <c r="B1429" s="361" t="s">
        <v>4012</v>
      </c>
      <c r="C1429" t="s">
        <v>2419</v>
      </c>
      <c r="D1429" s="361" t="s">
        <v>2096</v>
      </c>
      <c r="E1429" s="364"/>
      <c r="F1429" s="361" t="s">
        <v>1921</v>
      </c>
      <c r="T1429" s="361">
        <v>7.8659999999999994E-2</v>
      </c>
    </row>
    <row r="1430" spans="1:20" x14ac:dyDescent="0.25">
      <c r="A1430" s="364" t="s">
        <v>1039</v>
      </c>
      <c r="B1430" s="361" t="s">
        <v>1040</v>
      </c>
      <c r="C1430" t="s">
        <v>1922</v>
      </c>
      <c r="D1430" s="361">
        <v>1</v>
      </c>
      <c r="E1430" s="364"/>
      <c r="F1430" s="361" t="s">
        <v>1917</v>
      </c>
      <c r="T1430" s="361">
        <v>9.3000000000000007</v>
      </c>
    </row>
    <row r="1431" spans="1:20" x14ac:dyDescent="0.25">
      <c r="A1431" s="364" t="s">
        <v>324</v>
      </c>
      <c r="B1431" s="361" t="s">
        <v>1041</v>
      </c>
      <c r="C1431" t="s">
        <v>1922</v>
      </c>
      <c r="D1431" s="361">
        <v>1</v>
      </c>
      <c r="E1431" s="364"/>
      <c r="F1431" s="361" t="s">
        <v>1917</v>
      </c>
      <c r="T1431" s="361">
        <v>71.400000000000006</v>
      </c>
    </row>
    <row r="1432" spans="1:20" x14ac:dyDescent="0.25">
      <c r="A1432" s="364" t="s">
        <v>182</v>
      </c>
      <c r="B1432" s="361" t="s">
        <v>1042</v>
      </c>
      <c r="C1432" t="s">
        <v>1922</v>
      </c>
      <c r="D1432" s="361">
        <v>1</v>
      </c>
      <c r="E1432" s="364"/>
      <c r="F1432" s="361" t="s">
        <v>1917</v>
      </c>
      <c r="T1432" s="361">
        <v>51.5</v>
      </c>
    </row>
    <row r="1433" spans="1:20" x14ac:dyDescent="0.25">
      <c r="A1433" s="364" t="s">
        <v>4013</v>
      </c>
      <c r="B1433" s="361" t="s">
        <v>4014</v>
      </c>
      <c r="C1433" t="s">
        <v>1920</v>
      </c>
      <c r="D1433" s="361">
        <v>20</v>
      </c>
      <c r="E1433" s="364"/>
      <c r="F1433" s="361" t="s">
        <v>2201</v>
      </c>
      <c r="T1433" s="361">
        <v>57</v>
      </c>
    </row>
    <row r="1434" spans="1:20" x14ac:dyDescent="0.25">
      <c r="A1434" s="364" t="s">
        <v>4015</v>
      </c>
      <c r="B1434" s="361" t="s">
        <v>4016</v>
      </c>
      <c r="C1434">
        <v>2</v>
      </c>
      <c r="D1434" s="361">
        <v>97</v>
      </c>
      <c r="E1434" s="364"/>
      <c r="F1434" s="361" t="s">
        <v>1921</v>
      </c>
      <c r="T1434" s="361">
        <v>20.5</v>
      </c>
    </row>
    <row r="1435" spans="1:20" x14ac:dyDescent="0.25">
      <c r="A1435" s="364" t="s">
        <v>4017</v>
      </c>
      <c r="B1435" s="361" t="s">
        <v>4018</v>
      </c>
      <c r="C1435" t="s">
        <v>1920</v>
      </c>
      <c r="D1435" s="361">
        <v>27</v>
      </c>
      <c r="E1435" s="364"/>
      <c r="F1435" s="361" t="s">
        <v>1921</v>
      </c>
      <c r="T1435" s="361">
        <v>1.206</v>
      </c>
    </row>
    <row r="1436" spans="1:20" x14ac:dyDescent="0.25">
      <c r="A1436" s="364" t="s">
        <v>1043</v>
      </c>
      <c r="B1436" s="361" t="s">
        <v>1044</v>
      </c>
      <c r="C1436" t="s">
        <v>1916</v>
      </c>
      <c r="D1436" s="361">
        <v>2</v>
      </c>
      <c r="E1436" s="364"/>
      <c r="F1436" s="361" t="s">
        <v>1917</v>
      </c>
      <c r="T1436" s="361">
        <v>131</v>
      </c>
    </row>
    <row r="1437" spans="1:20" x14ac:dyDescent="0.25">
      <c r="A1437" s="364" t="s">
        <v>1045</v>
      </c>
      <c r="B1437" s="361" t="s">
        <v>1046</v>
      </c>
      <c r="C1437" t="s">
        <v>1916</v>
      </c>
      <c r="D1437" s="361">
        <v>2</v>
      </c>
      <c r="E1437" s="364"/>
      <c r="F1437" s="361" t="s">
        <v>1917</v>
      </c>
      <c r="T1437" s="361">
        <v>44720</v>
      </c>
    </row>
    <row r="1438" spans="1:20" x14ac:dyDescent="0.25">
      <c r="A1438" s="364" t="s">
        <v>1047</v>
      </c>
      <c r="B1438" s="361" t="s">
        <v>1048</v>
      </c>
      <c r="C1438" t="s">
        <v>1916</v>
      </c>
      <c r="D1438" s="361">
        <v>2</v>
      </c>
      <c r="E1438" s="364"/>
      <c r="F1438" s="361" t="s">
        <v>1917</v>
      </c>
      <c r="T1438" s="361">
        <v>3500</v>
      </c>
    </row>
    <row r="1439" spans="1:20" x14ac:dyDescent="0.25">
      <c r="A1439" s="364" t="s">
        <v>4019</v>
      </c>
      <c r="B1439" s="361" t="s">
        <v>4020</v>
      </c>
      <c r="C1439" t="s">
        <v>1920</v>
      </c>
      <c r="D1439" s="361">
        <v>20</v>
      </c>
      <c r="E1439" s="364"/>
      <c r="F1439" s="361" t="s">
        <v>1921</v>
      </c>
      <c r="T1439" s="361">
        <v>3.4200000000000001E-2</v>
      </c>
    </row>
    <row r="1440" spans="1:20" x14ac:dyDescent="0.25">
      <c r="A1440" s="364" t="s">
        <v>4021</v>
      </c>
      <c r="B1440" s="361" t="s">
        <v>4022</v>
      </c>
      <c r="C1440" t="s">
        <v>1920</v>
      </c>
      <c r="D1440" s="361">
        <v>24</v>
      </c>
      <c r="E1440" s="364"/>
      <c r="F1440" s="361" t="s">
        <v>1921</v>
      </c>
      <c r="T1440" s="361">
        <v>0.10332</v>
      </c>
    </row>
    <row r="1441" spans="1:20" x14ac:dyDescent="0.25">
      <c r="A1441" s="364" t="s">
        <v>4023</v>
      </c>
      <c r="B1441" s="361" t="s">
        <v>4024</v>
      </c>
      <c r="C1441" t="s">
        <v>1920</v>
      </c>
      <c r="D1441" s="361">
        <v>18</v>
      </c>
      <c r="E1441" s="364"/>
      <c r="F1441" s="361" t="s">
        <v>1921</v>
      </c>
      <c r="T1441" s="361">
        <v>0.24349000000000001</v>
      </c>
    </row>
    <row r="1442" spans="1:20" x14ac:dyDescent="0.25">
      <c r="A1442" s="364" t="s">
        <v>4025</v>
      </c>
      <c r="B1442" s="361" t="s">
        <v>4026</v>
      </c>
      <c r="C1442" t="s">
        <v>1920</v>
      </c>
      <c r="D1442" s="361">
        <v>18</v>
      </c>
      <c r="E1442" s="364"/>
      <c r="F1442" s="361" t="s">
        <v>1921</v>
      </c>
      <c r="T1442" s="361">
        <v>0.28133000000000002</v>
      </c>
    </row>
    <row r="1443" spans="1:20" x14ac:dyDescent="0.25">
      <c r="A1443" s="364" t="s">
        <v>4027</v>
      </c>
      <c r="B1443" s="361" t="s">
        <v>4028</v>
      </c>
      <c r="C1443" t="s">
        <v>1920</v>
      </c>
      <c r="D1443" s="361">
        <v>18</v>
      </c>
      <c r="E1443" s="364"/>
      <c r="F1443" s="361" t="s">
        <v>1921</v>
      </c>
      <c r="T1443" s="361">
        <v>0.31415999999999999</v>
      </c>
    </row>
    <row r="1444" spans="1:20" x14ac:dyDescent="0.25">
      <c r="A1444" s="364" t="s">
        <v>4029</v>
      </c>
      <c r="B1444" s="361" t="s">
        <v>4030</v>
      </c>
      <c r="C1444" t="s">
        <v>1920</v>
      </c>
      <c r="D1444" s="361">
        <v>18</v>
      </c>
      <c r="E1444" s="364"/>
      <c r="F1444" s="361" t="s">
        <v>1921</v>
      </c>
      <c r="T1444" s="361">
        <v>0.24349000000000001</v>
      </c>
    </row>
    <row r="1445" spans="1:20" x14ac:dyDescent="0.25">
      <c r="A1445" s="364" t="s">
        <v>4031</v>
      </c>
      <c r="B1445" s="361" t="s">
        <v>4032</v>
      </c>
      <c r="C1445" t="s">
        <v>1920</v>
      </c>
      <c r="D1445" s="361">
        <v>18</v>
      </c>
      <c r="E1445" s="364"/>
      <c r="F1445" s="361" t="s">
        <v>1921</v>
      </c>
      <c r="T1445" s="361">
        <v>0.28008</v>
      </c>
    </row>
    <row r="1446" spans="1:20" x14ac:dyDescent="0.25">
      <c r="A1446" s="364" t="s">
        <v>4033</v>
      </c>
      <c r="B1446" s="361" t="s">
        <v>4034</v>
      </c>
      <c r="C1446" t="s">
        <v>1920</v>
      </c>
      <c r="D1446" s="361">
        <v>18</v>
      </c>
      <c r="E1446" s="364"/>
      <c r="F1446" s="361" t="s">
        <v>1921</v>
      </c>
      <c r="T1446" s="361">
        <v>0.21067</v>
      </c>
    </row>
    <row r="1447" spans="1:20" x14ac:dyDescent="0.25">
      <c r="A1447" s="364" t="s">
        <v>4035</v>
      </c>
      <c r="B1447" s="361" t="s">
        <v>4036</v>
      </c>
      <c r="C1447" t="s">
        <v>1920</v>
      </c>
      <c r="D1447" s="361">
        <v>18</v>
      </c>
      <c r="E1447" s="364"/>
      <c r="F1447" s="361" t="s">
        <v>1921</v>
      </c>
      <c r="T1447" s="361">
        <v>0.24349000000000001</v>
      </c>
    </row>
    <row r="1448" spans="1:20" x14ac:dyDescent="0.25">
      <c r="A1448" s="364" t="s">
        <v>4037</v>
      </c>
      <c r="B1448" s="361" t="s">
        <v>4038</v>
      </c>
      <c r="C1448" t="s">
        <v>1920</v>
      </c>
      <c r="D1448" s="361">
        <v>18</v>
      </c>
      <c r="E1448" s="364"/>
      <c r="F1448" s="361" t="s">
        <v>1921</v>
      </c>
      <c r="T1448" s="361">
        <v>0.28166999999999998</v>
      </c>
    </row>
    <row r="1449" spans="1:20" x14ac:dyDescent="0.25">
      <c r="A1449" s="364" t="s">
        <v>4039</v>
      </c>
      <c r="B1449" s="361" t="s">
        <v>4040</v>
      </c>
      <c r="C1449" t="s">
        <v>1920</v>
      </c>
      <c r="D1449" s="361">
        <v>18</v>
      </c>
      <c r="E1449" s="364"/>
      <c r="F1449" s="361" t="s">
        <v>1921</v>
      </c>
      <c r="T1449" s="361">
        <v>0.32950000000000002</v>
      </c>
    </row>
    <row r="1450" spans="1:20" x14ac:dyDescent="0.25">
      <c r="A1450" s="364" t="s">
        <v>4041</v>
      </c>
      <c r="B1450" s="361" t="s">
        <v>4042</v>
      </c>
      <c r="C1450" t="s">
        <v>1920</v>
      </c>
      <c r="D1450" s="361">
        <v>18</v>
      </c>
      <c r="E1450" s="364"/>
      <c r="F1450" s="361" t="s">
        <v>1921</v>
      </c>
      <c r="T1450" s="361">
        <v>0.29829</v>
      </c>
    </row>
    <row r="1451" spans="1:20" x14ac:dyDescent="0.25">
      <c r="A1451" s="364" t="s">
        <v>4043</v>
      </c>
      <c r="B1451" s="361" t="s">
        <v>4044</v>
      </c>
      <c r="C1451" t="s">
        <v>1920</v>
      </c>
      <c r="D1451" s="361">
        <v>18</v>
      </c>
      <c r="E1451" s="364"/>
      <c r="F1451" s="361" t="s">
        <v>1921</v>
      </c>
      <c r="T1451" s="361">
        <v>0.25881999999999999</v>
      </c>
    </row>
    <row r="1452" spans="1:20" x14ac:dyDescent="0.25">
      <c r="A1452" s="364" t="s">
        <v>4045</v>
      </c>
      <c r="B1452" s="361" t="s">
        <v>4046</v>
      </c>
      <c r="C1452" t="s">
        <v>1920</v>
      </c>
      <c r="D1452" s="361">
        <v>18</v>
      </c>
      <c r="E1452" s="364"/>
      <c r="F1452" s="361" t="s">
        <v>1921</v>
      </c>
      <c r="T1452" s="361">
        <v>0.28008</v>
      </c>
    </row>
    <row r="1453" spans="1:20" x14ac:dyDescent="0.25">
      <c r="A1453" s="364" t="s">
        <v>4047</v>
      </c>
      <c r="B1453" s="361" t="s">
        <v>4048</v>
      </c>
      <c r="C1453" t="s">
        <v>1920</v>
      </c>
      <c r="D1453" s="361">
        <v>18</v>
      </c>
      <c r="E1453" s="364"/>
      <c r="F1453" s="361" t="s">
        <v>1921</v>
      </c>
      <c r="T1453" s="361">
        <v>0.29699999999999999</v>
      </c>
    </row>
    <row r="1454" spans="1:20" x14ac:dyDescent="0.25">
      <c r="A1454" s="364" t="s">
        <v>4049</v>
      </c>
      <c r="B1454" s="361" t="s">
        <v>4050</v>
      </c>
      <c r="C1454" t="s">
        <v>1920</v>
      </c>
      <c r="D1454" s="361">
        <v>18</v>
      </c>
      <c r="E1454" s="364"/>
      <c r="F1454" s="361" t="s">
        <v>1921</v>
      </c>
      <c r="T1454" s="361">
        <v>0.26618999999999998</v>
      </c>
    </row>
    <row r="1455" spans="1:20" x14ac:dyDescent="0.25">
      <c r="A1455" s="364" t="s">
        <v>4051</v>
      </c>
      <c r="B1455" s="361" t="s">
        <v>4052</v>
      </c>
      <c r="C1455" t="s">
        <v>1920</v>
      </c>
      <c r="D1455" s="361">
        <v>18</v>
      </c>
      <c r="E1455" s="364"/>
      <c r="F1455" s="361" t="s">
        <v>1921</v>
      </c>
      <c r="T1455" s="361">
        <v>0.30002000000000001</v>
      </c>
    </row>
    <row r="1456" spans="1:20" x14ac:dyDescent="0.25">
      <c r="A1456" s="364" t="s">
        <v>4053</v>
      </c>
      <c r="B1456" s="361" t="s">
        <v>4054</v>
      </c>
      <c r="C1456" t="s">
        <v>1920</v>
      </c>
      <c r="D1456" s="361">
        <v>18</v>
      </c>
      <c r="E1456" s="364"/>
      <c r="F1456" s="361" t="s">
        <v>1921</v>
      </c>
      <c r="T1456" s="361">
        <v>0.23336000000000001</v>
      </c>
    </row>
    <row r="1457" spans="1:20" x14ac:dyDescent="0.25">
      <c r="A1457" s="364" t="s">
        <v>4055</v>
      </c>
      <c r="B1457" s="361" t="s">
        <v>4056</v>
      </c>
      <c r="C1457" t="s">
        <v>1920</v>
      </c>
      <c r="D1457" s="361">
        <v>18</v>
      </c>
      <c r="E1457" s="364"/>
      <c r="F1457" s="361" t="s">
        <v>1921</v>
      </c>
      <c r="T1457" s="361">
        <v>0.26618999999999998</v>
      </c>
    </row>
    <row r="1458" spans="1:20" x14ac:dyDescent="0.25">
      <c r="A1458" s="364" t="s">
        <v>4057</v>
      </c>
      <c r="B1458" s="361" t="s">
        <v>4058</v>
      </c>
      <c r="C1458" t="s">
        <v>1920</v>
      </c>
      <c r="D1458" s="361">
        <v>18</v>
      </c>
      <c r="E1458" s="364"/>
      <c r="F1458" s="361" t="s">
        <v>1921</v>
      </c>
      <c r="T1458" s="361">
        <v>0.30279</v>
      </c>
    </row>
    <row r="1459" spans="1:20" x14ac:dyDescent="0.25">
      <c r="A1459" s="364" t="s">
        <v>4059</v>
      </c>
      <c r="B1459" s="361" t="s">
        <v>4060</v>
      </c>
      <c r="C1459" t="s">
        <v>1920</v>
      </c>
      <c r="D1459" s="361">
        <v>18</v>
      </c>
      <c r="E1459" s="364"/>
      <c r="F1459" s="361" t="s">
        <v>1921</v>
      </c>
      <c r="T1459" s="361">
        <v>0.36377999999999999</v>
      </c>
    </row>
    <row r="1460" spans="1:20" x14ac:dyDescent="0.25">
      <c r="A1460" s="364" t="s">
        <v>4061</v>
      </c>
      <c r="B1460" s="361" t="s">
        <v>4062</v>
      </c>
      <c r="C1460" t="s">
        <v>1920</v>
      </c>
      <c r="D1460" s="361">
        <v>18</v>
      </c>
      <c r="E1460" s="364"/>
      <c r="F1460" s="361" t="s">
        <v>1921</v>
      </c>
      <c r="T1460" s="361">
        <v>0.26619999999999999</v>
      </c>
    </row>
    <row r="1461" spans="1:20" x14ac:dyDescent="0.25">
      <c r="A1461" s="364" t="s">
        <v>4063</v>
      </c>
      <c r="B1461" s="361" t="s">
        <v>4064</v>
      </c>
      <c r="C1461" t="s">
        <v>1920</v>
      </c>
      <c r="D1461" s="361">
        <v>18</v>
      </c>
      <c r="E1461" s="364"/>
      <c r="F1461" s="361" t="s">
        <v>1921</v>
      </c>
      <c r="T1461" s="361">
        <v>0.32178000000000001</v>
      </c>
    </row>
    <row r="1462" spans="1:20" x14ac:dyDescent="0.25">
      <c r="A1462" s="364" t="s">
        <v>4065</v>
      </c>
      <c r="B1462" s="361" t="s">
        <v>4066</v>
      </c>
      <c r="C1462" t="s">
        <v>1920</v>
      </c>
      <c r="D1462" s="361">
        <v>18</v>
      </c>
      <c r="E1462" s="364"/>
      <c r="F1462" s="361" t="s">
        <v>1921</v>
      </c>
      <c r="T1462" s="361">
        <v>0.20099</v>
      </c>
    </row>
    <row r="1463" spans="1:20" x14ac:dyDescent="0.25">
      <c r="A1463" s="364" t="s">
        <v>4067</v>
      </c>
      <c r="B1463" s="361" t="s">
        <v>4068</v>
      </c>
      <c r="C1463" t="s">
        <v>1920</v>
      </c>
      <c r="D1463" s="361">
        <v>18</v>
      </c>
      <c r="E1463" s="364"/>
      <c r="F1463" s="361" t="s">
        <v>1921</v>
      </c>
      <c r="T1463" s="361">
        <v>0.31291000000000002</v>
      </c>
    </row>
    <row r="1464" spans="1:20" x14ac:dyDescent="0.25">
      <c r="A1464" s="364" t="s">
        <v>4069</v>
      </c>
      <c r="B1464" s="361" t="s">
        <v>4070</v>
      </c>
      <c r="C1464" t="s">
        <v>1920</v>
      </c>
      <c r="D1464" s="361">
        <v>18</v>
      </c>
      <c r="E1464" s="364"/>
      <c r="F1464" s="361" t="s">
        <v>1921</v>
      </c>
      <c r="T1464" s="361">
        <v>0.2656</v>
      </c>
    </row>
    <row r="1465" spans="1:20" x14ac:dyDescent="0.25">
      <c r="A1465" s="364" t="s">
        <v>4071</v>
      </c>
      <c r="B1465" s="361" t="s">
        <v>4072</v>
      </c>
      <c r="C1465" t="s">
        <v>1920</v>
      </c>
      <c r="D1465" s="361">
        <v>27</v>
      </c>
      <c r="E1465" s="364"/>
      <c r="F1465" s="361" t="s">
        <v>1921</v>
      </c>
      <c r="T1465" s="361">
        <v>1.3560000000000001</v>
      </c>
    </row>
    <row r="1466" spans="1:20" x14ac:dyDescent="0.25">
      <c r="A1466" s="364" t="s">
        <v>4073</v>
      </c>
      <c r="B1466" s="361" t="s">
        <v>3984</v>
      </c>
      <c r="C1466" t="s">
        <v>1920</v>
      </c>
      <c r="D1466" s="361">
        <v>27</v>
      </c>
      <c r="E1466" s="364"/>
      <c r="F1466" s="361" t="s">
        <v>1921</v>
      </c>
      <c r="T1466" s="361">
        <v>1.3560000000000001</v>
      </c>
    </row>
    <row r="1467" spans="1:20" x14ac:dyDescent="0.25">
      <c r="A1467" s="364" t="s">
        <v>4074</v>
      </c>
      <c r="B1467" s="361" t="s">
        <v>4075</v>
      </c>
      <c r="C1467" t="s">
        <v>1920</v>
      </c>
      <c r="D1467" s="361">
        <v>27</v>
      </c>
      <c r="E1467" s="364"/>
      <c r="F1467" s="361" t="s">
        <v>1921</v>
      </c>
      <c r="T1467" s="361">
        <v>0.74299999999999999</v>
      </c>
    </row>
    <row r="1468" spans="1:20" x14ac:dyDescent="0.25">
      <c r="A1468" s="364" t="s">
        <v>4076</v>
      </c>
      <c r="B1468" s="361" t="s">
        <v>4077</v>
      </c>
      <c r="C1468" t="s">
        <v>1920</v>
      </c>
      <c r="D1468" s="361">
        <v>27</v>
      </c>
      <c r="E1468" s="364"/>
      <c r="F1468" s="361" t="s">
        <v>1921</v>
      </c>
      <c r="T1468" s="361">
        <v>1.3089999999999999</v>
      </c>
    </row>
    <row r="1469" spans="1:20" x14ac:dyDescent="0.25">
      <c r="A1469" s="364" t="s">
        <v>4078</v>
      </c>
      <c r="B1469" s="361" t="s">
        <v>4079</v>
      </c>
      <c r="C1469" t="s">
        <v>1920</v>
      </c>
      <c r="D1469" s="361">
        <v>24</v>
      </c>
      <c r="E1469" s="364"/>
      <c r="F1469" s="361" t="s">
        <v>2201</v>
      </c>
      <c r="T1469" s="361">
        <v>46.061039999999998</v>
      </c>
    </row>
    <row r="1470" spans="1:20" x14ac:dyDescent="0.25">
      <c r="A1470" s="364" t="s">
        <v>4080</v>
      </c>
      <c r="B1470" s="361" t="s">
        <v>4081</v>
      </c>
      <c r="C1470" t="s">
        <v>1920</v>
      </c>
      <c r="D1470" s="361">
        <v>24</v>
      </c>
      <c r="E1470" s="364"/>
      <c r="F1470" s="361" t="s">
        <v>2201</v>
      </c>
      <c r="T1470" s="361">
        <v>219.45</v>
      </c>
    </row>
    <row r="1471" spans="1:20" x14ac:dyDescent="0.25">
      <c r="A1471" s="364" t="s">
        <v>4082</v>
      </c>
      <c r="B1471" s="361" t="s">
        <v>4083</v>
      </c>
      <c r="C1471" t="s">
        <v>1920</v>
      </c>
      <c r="D1471" s="361">
        <v>15</v>
      </c>
      <c r="E1471" s="364"/>
      <c r="F1471" s="361" t="s">
        <v>1917</v>
      </c>
      <c r="T1471" s="361">
        <v>23.4</v>
      </c>
    </row>
    <row r="1472" spans="1:20" x14ac:dyDescent="0.25">
      <c r="A1472" s="364" t="s">
        <v>4084</v>
      </c>
      <c r="B1472" s="361" t="s">
        <v>4085</v>
      </c>
      <c r="C1472" t="s">
        <v>1920</v>
      </c>
      <c r="D1472" s="361">
        <v>15</v>
      </c>
      <c r="E1472" s="364"/>
      <c r="F1472" s="361" t="s">
        <v>1917</v>
      </c>
      <c r="T1472" s="361">
        <v>40.200000000000003</v>
      </c>
    </row>
    <row r="1473" spans="1:20" x14ac:dyDescent="0.25">
      <c r="A1473" s="364" t="s">
        <v>4086</v>
      </c>
      <c r="B1473" s="361" t="s">
        <v>4087</v>
      </c>
      <c r="C1473" t="s">
        <v>1920</v>
      </c>
      <c r="D1473" s="361">
        <v>15</v>
      </c>
      <c r="E1473" s="364"/>
      <c r="F1473" s="361" t="s">
        <v>1917</v>
      </c>
      <c r="T1473" s="361">
        <v>24.4</v>
      </c>
    </row>
    <row r="1474" spans="1:20" x14ac:dyDescent="0.25">
      <c r="A1474" s="364" t="s">
        <v>4088</v>
      </c>
      <c r="B1474" s="361" t="s">
        <v>4089</v>
      </c>
      <c r="C1474" t="s">
        <v>1920</v>
      </c>
      <c r="D1474" s="361">
        <v>15</v>
      </c>
      <c r="E1474" s="364"/>
      <c r="F1474" s="361" t="s">
        <v>1917</v>
      </c>
      <c r="T1474" s="361">
        <v>25.8</v>
      </c>
    </row>
    <row r="1475" spans="1:20" x14ac:dyDescent="0.25">
      <c r="A1475" s="364" t="s">
        <v>4090</v>
      </c>
      <c r="B1475" s="361" t="s">
        <v>4091</v>
      </c>
      <c r="C1475" t="s">
        <v>1920</v>
      </c>
      <c r="D1475" s="361">
        <v>15</v>
      </c>
      <c r="E1475" s="364"/>
      <c r="F1475" s="361" t="s">
        <v>1917</v>
      </c>
      <c r="T1475" s="361">
        <v>24</v>
      </c>
    </row>
    <row r="1476" spans="1:20" x14ac:dyDescent="0.25">
      <c r="A1476" s="364" t="s">
        <v>4092</v>
      </c>
      <c r="B1476" s="361" t="s">
        <v>4093</v>
      </c>
      <c r="C1476" t="s">
        <v>1920</v>
      </c>
      <c r="D1476" s="361">
        <v>15</v>
      </c>
      <c r="E1476" s="364"/>
      <c r="F1476" s="361" t="s">
        <v>1917</v>
      </c>
      <c r="T1476" s="361">
        <v>40.200000000000003</v>
      </c>
    </row>
    <row r="1477" spans="1:20" x14ac:dyDescent="0.25">
      <c r="A1477" s="364" t="s">
        <v>4094</v>
      </c>
      <c r="B1477" s="361" t="s">
        <v>4095</v>
      </c>
      <c r="C1477" t="s">
        <v>1920</v>
      </c>
      <c r="D1477" s="361">
        <v>15</v>
      </c>
      <c r="E1477" s="364"/>
      <c r="F1477" s="361" t="s">
        <v>1917</v>
      </c>
      <c r="T1477" s="361">
        <v>24.9</v>
      </c>
    </row>
    <row r="1478" spans="1:20" x14ac:dyDescent="0.25">
      <c r="A1478" s="364" t="s">
        <v>4096</v>
      </c>
      <c r="B1478" s="361" t="s">
        <v>4097</v>
      </c>
      <c r="C1478" t="s">
        <v>1920</v>
      </c>
      <c r="D1478" s="361">
        <v>15</v>
      </c>
      <c r="E1478" s="364"/>
      <c r="F1478" s="361" t="s">
        <v>1917</v>
      </c>
      <c r="T1478" s="361">
        <v>27.3</v>
      </c>
    </row>
    <row r="1479" spans="1:20" x14ac:dyDescent="0.25">
      <c r="A1479" s="364" t="s">
        <v>4098</v>
      </c>
      <c r="B1479" s="361" t="s">
        <v>4099</v>
      </c>
      <c r="C1479" t="s">
        <v>1920</v>
      </c>
      <c r="D1479" s="361">
        <v>22</v>
      </c>
      <c r="E1479" s="364"/>
      <c r="F1479" s="361" t="s">
        <v>1921</v>
      </c>
      <c r="T1479" s="361">
        <v>4.4999999999999998E-2</v>
      </c>
    </row>
    <row r="1480" spans="1:20" x14ac:dyDescent="0.25">
      <c r="A1480" s="364" t="s">
        <v>4100</v>
      </c>
      <c r="B1480" s="361" t="s">
        <v>4101</v>
      </c>
      <c r="C1480" t="s">
        <v>1920</v>
      </c>
      <c r="D1480" s="361">
        <v>22</v>
      </c>
      <c r="E1480" s="364"/>
      <c r="F1480" s="361" t="s">
        <v>1921</v>
      </c>
      <c r="T1480" s="361">
        <v>4.4999999999999998E-2</v>
      </c>
    </row>
    <row r="1481" spans="1:20" x14ac:dyDescent="0.25">
      <c r="A1481" s="364" t="s">
        <v>4102</v>
      </c>
      <c r="B1481" s="361" t="s">
        <v>4103</v>
      </c>
      <c r="C1481" t="s">
        <v>1920</v>
      </c>
      <c r="D1481" s="361">
        <v>24</v>
      </c>
      <c r="E1481" s="364"/>
      <c r="F1481" s="361" t="s">
        <v>1921</v>
      </c>
      <c r="T1481" s="361">
        <v>0.13972999999999999</v>
      </c>
    </row>
    <row r="1482" spans="1:20" x14ac:dyDescent="0.25">
      <c r="A1482" s="364" t="s">
        <v>4104</v>
      </c>
      <c r="B1482" s="361" t="s">
        <v>4105</v>
      </c>
      <c r="C1482" t="s">
        <v>1920</v>
      </c>
      <c r="D1482" s="361">
        <v>24</v>
      </c>
      <c r="E1482" s="364"/>
      <c r="F1482" s="361" t="s">
        <v>1921</v>
      </c>
      <c r="T1482" s="361">
        <v>0.29126000000000002</v>
      </c>
    </row>
    <row r="1483" spans="1:20" x14ac:dyDescent="0.25">
      <c r="A1483" s="364" t="s">
        <v>4106</v>
      </c>
      <c r="B1483" s="361" t="s">
        <v>4107</v>
      </c>
      <c r="C1483" t="s">
        <v>1920</v>
      </c>
      <c r="D1483" s="361">
        <v>24</v>
      </c>
      <c r="E1483" s="364"/>
      <c r="F1483" s="361" t="s">
        <v>1921</v>
      </c>
      <c r="T1483" s="361">
        <v>0.13972999999999999</v>
      </c>
    </row>
    <row r="1484" spans="1:20" x14ac:dyDescent="0.25">
      <c r="A1484" s="364" t="s">
        <v>4108</v>
      </c>
      <c r="B1484" s="361" t="s">
        <v>4109</v>
      </c>
      <c r="C1484" t="s">
        <v>1920</v>
      </c>
      <c r="D1484" s="361">
        <v>24</v>
      </c>
      <c r="E1484" s="364"/>
      <c r="F1484" s="361" t="s">
        <v>1921</v>
      </c>
      <c r="T1484" s="361">
        <v>0.25235000000000002</v>
      </c>
    </row>
    <row r="1485" spans="1:20" x14ac:dyDescent="0.25">
      <c r="A1485" s="364" t="s">
        <v>4110</v>
      </c>
      <c r="B1485" s="361" t="s">
        <v>4111</v>
      </c>
      <c r="C1485" t="s">
        <v>1920</v>
      </c>
      <c r="D1485" s="361">
        <v>24</v>
      </c>
      <c r="E1485" s="364"/>
      <c r="F1485" s="361" t="s">
        <v>1921</v>
      </c>
      <c r="T1485" s="361">
        <v>0.16433</v>
      </c>
    </row>
    <row r="1486" spans="1:20" x14ac:dyDescent="0.25">
      <c r="A1486" s="364" t="s">
        <v>4112</v>
      </c>
      <c r="B1486" s="361" t="s">
        <v>4113</v>
      </c>
      <c r="C1486" t="s">
        <v>1920</v>
      </c>
      <c r="D1486" s="361">
        <v>24</v>
      </c>
      <c r="E1486" s="364"/>
      <c r="F1486" s="361" t="s">
        <v>1921</v>
      </c>
      <c r="T1486" s="361">
        <v>0.26300000000000001</v>
      </c>
    </row>
    <row r="1487" spans="1:20" x14ac:dyDescent="0.25">
      <c r="A1487" s="364" t="s">
        <v>4114</v>
      </c>
      <c r="B1487" s="361" t="s">
        <v>4115</v>
      </c>
      <c r="C1487" t="s">
        <v>1920</v>
      </c>
      <c r="D1487" s="361">
        <v>24</v>
      </c>
      <c r="E1487" s="364"/>
      <c r="F1487" s="361" t="s">
        <v>1921</v>
      </c>
      <c r="T1487" s="361">
        <v>0.16433</v>
      </c>
    </row>
    <row r="1488" spans="1:20" x14ac:dyDescent="0.25">
      <c r="A1488" s="364" t="s">
        <v>4116</v>
      </c>
      <c r="B1488" s="361" t="s">
        <v>4117</v>
      </c>
      <c r="C1488" t="s">
        <v>1920</v>
      </c>
      <c r="D1488" s="361">
        <v>24</v>
      </c>
      <c r="E1488" s="364"/>
      <c r="F1488" s="361" t="s">
        <v>1921</v>
      </c>
      <c r="T1488" s="361">
        <v>0.25235000000000002</v>
      </c>
    </row>
    <row r="1489" spans="1:20" x14ac:dyDescent="0.25">
      <c r="A1489" s="364" t="s">
        <v>4118</v>
      </c>
      <c r="B1489" s="361" t="s">
        <v>4119</v>
      </c>
      <c r="C1489" t="s">
        <v>1920</v>
      </c>
      <c r="D1489" s="361">
        <v>24</v>
      </c>
      <c r="E1489" s="364"/>
      <c r="F1489" s="361" t="s">
        <v>2201</v>
      </c>
      <c r="T1489" s="361">
        <v>233</v>
      </c>
    </row>
    <row r="1490" spans="1:20" x14ac:dyDescent="0.25">
      <c r="A1490" s="364" t="s">
        <v>4120</v>
      </c>
      <c r="B1490" s="361" t="s">
        <v>4121</v>
      </c>
      <c r="C1490" t="s">
        <v>1920</v>
      </c>
      <c r="D1490" s="361">
        <v>16</v>
      </c>
      <c r="E1490" s="364"/>
      <c r="F1490" s="361" t="s">
        <v>1917</v>
      </c>
      <c r="T1490" s="361">
        <v>20</v>
      </c>
    </row>
    <row r="1491" spans="1:20" x14ac:dyDescent="0.25">
      <c r="A1491" s="364" t="s">
        <v>4122</v>
      </c>
      <c r="B1491" s="361" t="s">
        <v>4123</v>
      </c>
      <c r="C1491" t="s">
        <v>1920</v>
      </c>
      <c r="D1491" s="361">
        <v>15</v>
      </c>
      <c r="E1491" s="364"/>
      <c r="F1491" s="361" t="s">
        <v>1917</v>
      </c>
      <c r="T1491" s="361">
        <v>49.6</v>
      </c>
    </row>
    <row r="1492" spans="1:20" x14ac:dyDescent="0.25">
      <c r="A1492" s="364" t="s">
        <v>4124</v>
      </c>
      <c r="B1492" s="361" t="s">
        <v>4125</v>
      </c>
      <c r="C1492" t="s">
        <v>1920</v>
      </c>
      <c r="D1492" s="361">
        <v>15</v>
      </c>
      <c r="E1492" s="364"/>
      <c r="F1492" s="361" t="s">
        <v>1917</v>
      </c>
      <c r="T1492" s="361">
        <v>26.8</v>
      </c>
    </row>
    <row r="1493" spans="1:20" x14ac:dyDescent="0.25">
      <c r="A1493" s="364" t="s">
        <v>4126</v>
      </c>
      <c r="B1493" s="361" t="s">
        <v>4127</v>
      </c>
      <c r="C1493" t="s">
        <v>1920</v>
      </c>
      <c r="D1493" s="361">
        <v>15</v>
      </c>
      <c r="E1493" s="364"/>
      <c r="F1493" s="361" t="s">
        <v>1917</v>
      </c>
      <c r="T1493" s="361">
        <v>49.6</v>
      </c>
    </row>
    <row r="1494" spans="1:20" x14ac:dyDescent="0.25">
      <c r="A1494" s="364" t="s">
        <v>4128</v>
      </c>
      <c r="B1494" s="361" t="s">
        <v>4129</v>
      </c>
      <c r="C1494" t="s">
        <v>1920</v>
      </c>
      <c r="D1494" s="361">
        <v>15</v>
      </c>
      <c r="E1494" s="364"/>
      <c r="F1494" s="361" t="s">
        <v>1917</v>
      </c>
      <c r="T1494" s="361">
        <v>34.799999999999997</v>
      </c>
    </row>
    <row r="1495" spans="1:20" x14ac:dyDescent="0.25">
      <c r="A1495" s="364" t="s">
        <v>4130</v>
      </c>
      <c r="B1495" s="361" t="s">
        <v>4131</v>
      </c>
      <c r="C1495" t="s">
        <v>1920</v>
      </c>
      <c r="D1495" s="361">
        <v>24</v>
      </c>
      <c r="E1495" s="364"/>
      <c r="F1495" s="361" t="s">
        <v>1921</v>
      </c>
      <c r="T1495" s="361">
        <v>0.1245</v>
      </c>
    </row>
    <row r="1496" spans="1:20" x14ac:dyDescent="0.25">
      <c r="A1496" s="364" t="s">
        <v>4132</v>
      </c>
      <c r="B1496" s="361" t="s">
        <v>4133</v>
      </c>
      <c r="C1496" t="s">
        <v>1920</v>
      </c>
      <c r="D1496" s="361">
        <v>24</v>
      </c>
      <c r="E1496" s="364"/>
      <c r="F1496" s="361" t="s">
        <v>1921</v>
      </c>
      <c r="T1496" s="361">
        <v>0.1245</v>
      </c>
    </row>
    <row r="1497" spans="1:20" x14ac:dyDescent="0.25">
      <c r="A1497" s="364" t="s">
        <v>4134</v>
      </c>
      <c r="B1497" s="361" t="s">
        <v>4135</v>
      </c>
      <c r="C1497" t="s">
        <v>1920</v>
      </c>
      <c r="D1497" s="361">
        <v>24</v>
      </c>
      <c r="E1497" s="364"/>
      <c r="F1497" s="361" t="s">
        <v>1921</v>
      </c>
      <c r="T1497" s="361">
        <v>0.20899999999999999</v>
      </c>
    </row>
    <row r="1498" spans="1:20" x14ac:dyDescent="0.25">
      <c r="A1498" s="364" t="s">
        <v>4136</v>
      </c>
      <c r="B1498" s="361" t="s">
        <v>4137</v>
      </c>
      <c r="C1498" t="s">
        <v>1920</v>
      </c>
      <c r="D1498" s="361">
        <v>24</v>
      </c>
      <c r="E1498" s="364"/>
      <c r="F1498" s="361" t="s">
        <v>1921</v>
      </c>
      <c r="T1498" s="361">
        <v>0.20899999999999999</v>
      </c>
    </row>
    <row r="1499" spans="1:20" x14ac:dyDescent="0.25">
      <c r="A1499" s="364" t="s">
        <v>4138</v>
      </c>
      <c r="B1499" s="361" t="s">
        <v>4139</v>
      </c>
      <c r="C1499" t="s">
        <v>1920</v>
      </c>
      <c r="D1499" s="361">
        <v>24</v>
      </c>
      <c r="E1499" s="364"/>
      <c r="F1499" s="361" t="s">
        <v>2201</v>
      </c>
      <c r="T1499" s="361">
        <v>49</v>
      </c>
    </row>
    <row r="1500" spans="1:20" x14ac:dyDescent="0.25">
      <c r="A1500" s="364" t="s">
        <v>4140</v>
      </c>
      <c r="B1500" s="361" t="s">
        <v>4141</v>
      </c>
      <c r="C1500" t="s">
        <v>1920</v>
      </c>
      <c r="D1500" s="361">
        <v>24</v>
      </c>
      <c r="E1500" s="364"/>
      <c r="F1500" s="361" t="s">
        <v>2201</v>
      </c>
      <c r="T1500" s="361">
        <v>31.5</v>
      </c>
    </row>
    <row r="1501" spans="1:20" x14ac:dyDescent="0.25">
      <c r="A1501" s="364" t="s">
        <v>4142</v>
      </c>
      <c r="B1501" s="361" t="s">
        <v>4143</v>
      </c>
      <c r="C1501" t="s">
        <v>1920</v>
      </c>
      <c r="D1501" s="361">
        <v>20</v>
      </c>
      <c r="E1501" s="364"/>
      <c r="F1501" s="361" t="s">
        <v>2201</v>
      </c>
      <c r="T1501" s="361">
        <v>57</v>
      </c>
    </row>
    <row r="1502" spans="1:20" x14ac:dyDescent="0.25">
      <c r="A1502" s="364" t="s">
        <v>4144</v>
      </c>
      <c r="B1502" s="361" t="s">
        <v>4145</v>
      </c>
      <c r="C1502" t="s">
        <v>1920</v>
      </c>
      <c r="D1502" s="361">
        <v>20</v>
      </c>
      <c r="E1502" s="364"/>
      <c r="F1502" s="361" t="s">
        <v>2201</v>
      </c>
      <c r="T1502" s="361">
        <v>57</v>
      </c>
    </row>
    <row r="1503" spans="1:20" x14ac:dyDescent="0.25">
      <c r="A1503" s="364" t="s">
        <v>4146</v>
      </c>
      <c r="B1503" s="361" t="s">
        <v>4147</v>
      </c>
      <c r="C1503" t="s">
        <v>1920</v>
      </c>
      <c r="D1503" s="361">
        <v>24</v>
      </c>
      <c r="E1503" s="364"/>
      <c r="F1503" s="361" t="s">
        <v>1921</v>
      </c>
      <c r="T1503" s="361">
        <v>0.22237999999999999</v>
      </c>
    </row>
    <row r="1504" spans="1:20" x14ac:dyDescent="0.25">
      <c r="A1504" s="364" t="s">
        <v>4148</v>
      </c>
      <c r="B1504" s="361" t="s">
        <v>4149</v>
      </c>
      <c r="C1504" t="s">
        <v>1920</v>
      </c>
      <c r="D1504" s="361">
        <v>24</v>
      </c>
      <c r="E1504" s="364"/>
      <c r="F1504" s="361" t="s">
        <v>1921</v>
      </c>
      <c r="T1504" s="361">
        <v>9.4460000000000002E-2</v>
      </c>
    </row>
    <row r="1505" spans="1:20" x14ac:dyDescent="0.25">
      <c r="A1505" s="364" t="s">
        <v>1049</v>
      </c>
      <c r="B1505" s="361" t="s">
        <v>1050</v>
      </c>
      <c r="C1505" t="s">
        <v>1922</v>
      </c>
      <c r="D1505" s="361">
        <v>1</v>
      </c>
      <c r="E1505" s="364"/>
      <c r="F1505" s="361" t="s">
        <v>1917</v>
      </c>
      <c r="T1505" s="361">
        <v>53</v>
      </c>
    </row>
    <row r="1506" spans="1:20" x14ac:dyDescent="0.25">
      <c r="A1506" s="364" t="s">
        <v>4150</v>
      </c>
      <c r="B1506" s="361" t="s">
        <v>4151</v>
      </c>
      <c r="C1506" t="s">
        <v>1920</v>
      </c>
      <c r="D1506" s="361">
        <v>15</v>
      </c>
      <c r="E1506" s="364"/>
      <c r="F1506" s="361" t="s">
        <v>1917</v>
      </c>
      <c r="T1506" s="361">
        <v>33</v>
      </c>
    </row>
    <row r="1507" spans="1:20" x14ac:dyDescent="0.25">
      <c r="A1507" s="364" t="s">
        <v>4152</v>
      </c>
      <c r="B1507" s="361" t="s">
        <v>4153</v>
      </c>
      <c r="C1507" t="s">
        <v>1920</v>
      </c>
      <c r="D1507" s="361">
        <v>15</v>
      </c>
      <c r="E1507" s="364"/>
      <c r="F1507" s="361" t="s">
        <v>1917</v>
      </c>
      <c r="T1507" s="361">
        <v>39.799999999999997</v>
      </c>
    </row>
    <row r="1508" spans="1:20" x14ac:dyDescent="0.25">
      <c r="A1508" s="364" t="s">
        <v>4154</v>
      </c>
      <c r="B1508" s="361" t="s">
        <v>4155</v>
      </c>
      <c r="C1508" t="s">
        <v>1920</v>
      </c>
      <c r="D1508" s="361">
        <v>15</v>
      </c>
      <c r="E1508" s="364"/>
      <c r="F1508" s="361" t="s">
        <v>1917</v>
      </c>
      <c r="T1508" s="361">
        <v>32.5</v>
      </c>
    </row>
    <row r="1509" spans="1:20" x14ac:dyDescent="0.25">
      <c r="A1509" s="364" t="s">
        <v>4156</v>
      </c>
      <c r="B1509" s="361" t="s">
        <v>4157</v>
      </c>
      <c r="C1509" t="s">
        <v>1920</v>
      </c>
      <c r="D1509" s="361">
        <v>20</v>
      </c>
      <c r="E1509" s="364"/>
      <c r="F1509" s="361" t="s">
        <v>1921</v>
      </c>
      <c r="T1509" s="361">
        <v>3.4200000000000001E-2</v>
      </c>
    </row>
    <row r="1510" spans="1:20" x14ac:dyDescent="0.25">
      <c r="A1510" s="364" t="s">
        <v>4158</v>
      </c>
      <c r="B1510" s="361" t="s">
        <v>4159</v>
      </c>
      <c r="C1510" t="s">
        <v>1920</v>
      </c>
      <c r="D1510" s="361">
        <v>24</v>
      </c>
      <c r="E1510" s="364"/>
      <c r="F1510" s="361" t="s">
        <v>1921</v>
      </c>
      <c r="T1510" s="361">
        <v>0.17712</v>
      </c>
    </row>
    <row r="1511" spans="1:20" x14ac:dyDescent="0.25">
      <c r="A1511" s="364" t="s">
        <v>4160</v>
      </c>
      <c r="B1511" s="361" t="s">
        <v>4161</v>
      </c>
      <c r="C1511" t="s">
        <v>1920</v>
      </c>
      <c r="D1511" s="361">
        <v>24</v>
      </c>
      <c r="E1511" s="364"/>
      <c r="F1511" s="361" t="s">
        <v>1921</v>
      </c>
      <c r="T1511" s="361">
        <v>0.2092</v>
      </c>
    </row>
    <row r="1512" spans="1:20" x14ac:dyDescent="0.25">
      <c r="A1512" s="364" t="s">
        <v>4162</v>
      </c>
      <c r="B1512" s="361" t="s">
        <v>4163</v>
      </c>
      <c r="C1512" t="s">
        <v>1920</v>
      </c>
      <c r="D1512" s="361">
        <v>20</v>
      </c>
      <c r="E1512" s="364"/>
      <c r="F1512" s="361" t="s">
        <v>1921</v>
      </c>
      <c r="T1512" s="361">
        <v>3.4200000000000001E-2</v>
      </c>
    </row>
    <row r="1513" spans="1:20" x14ac:dyDescent="0.25">
      <c r="A1513" s="364" t="s">
        <v>1051</v>
      </c>
      <c r="B1513" s="361" t="s">
        <v>1052</v>
      </c>
      <c r="C1513" t="s">
        <v>1922</v>
      </c>
      <c r="D1513" s="361">
        <v>1</v>
      </c>
      <c r="E1513" s="364"/>
      <c r="F1513" s="361" t="s">
        <v>1917</v>
      </c>
      <c r="T1513" s="361">
        <v>31.99</v>
      </c>
    </row>
    <row r="1514" spans="1:20" x14ac:dyDescent="0.25">
      <c r="A1514" s="364" t="s">
        <v>1053</v>
      </c>
      <c r="B1514" s="361" t="s">
        <v>1054</v>
      </c>
      <c r="C1514" t="s">
        <v>1922</v>
      </c>
      <c r="D1514" s="361">
        <v>1</v>
      </c>
      <c r="E1514" s="364"/>
      <c r="F1514" s="361" t="s">
        <v>1917</v>
      </c>
      <c r="T1514" s="361">
        <v>34.14</v>
      </c>
    </row>
    <row r="1515" spans="1:20" x14ac:dyDescent="0.25">
      <c r="A1515" s="364" t="s">
        <v>4164</v>
      </c>
      <c r="B1515" s="361" t="s">
        <v>4165</v>
      </c>
      <c r="C1515" t="s">
        <v>1920</v>
      </c>
      <c r="D1515" s="361">
        <v>20</v>
      </c>
      <c r="E1515" s="364"/>
      <c r="F1515" s="361" t="s">
        <v>1921</v>
      </c>
      <c r="T1515" s="361">
        <v>3.4200000000000001E-2</v>
      </c>
    </row>
    <row r="1516" spans="1:20" x14ac:dyDescent="0.25">
      <c r="A1516" s="364" t="s">
        <v>4166</v>
      </c>
      <c r="B1516" s="361" t="s">
        <v>4167</v>
      </c>
      <c r="C1516" t="s">
        <v>1920</v>
      </c>
      <c r="D1516" s="361">
        <v>20</v>
      </c>
      <c r="E1516" s="364"/>
      <c r="F1516" s="361" t="s">
        <v>1921</v>
      </c>
      <c r="T1516" s="361">
        <v>3.4200000000000001E-2</v>
      </c>
    </row>
    <row r="1517" spans="1:20" x14ac:dyDescent="0.25">
      <c r="A1517" s="364" t="s">
        <v>1055</v>
      </c>
      <c r="B1517" s="361" t="s">
        <v>1056</v>
      </c>
      <c r="C1517" t="s">
        <v>1916</v>
      </c>
      <c r="D1517" s="361">
        <v>2</v>
      </c>
      <c r="E1517" s="364"/>
      <c r="F1517" s="361" t="s">
        <v>1917</v>
      </c>
      <c r="T1517" s="361">
        <v>132</v>
      </c>
    </row>
    <row r="1518" spans="1:20" x14ac:dyDescent="0.25">
      <c r="A1518" s="364" t="s">
        <v>4168</v>
      </c>
      <c r="B1518" s="361" t="s">
        <v>4169</v>
      </c>
      <c r="C1518" t="s">
        <v>1920</v>
      </c>
      <c r="D1518" s="361">
        <v>15</v>
      </c>
      <c r="E1518" s="364"/>
      <c r="F1518" s="361" t="s">
        <v>1917</v>
      </c>
      <c r="T1518" s="361">
        <v>34.799999999999997</v>
      </c>
    </row>
    <row r="1519" spans="1:20" x14ac:dyDescent="0.25">
      <c r="A1519" s="364" t="s">
        <v>4170</v>
      </c>
      <c r="B1519" s="361" t="s">
        <v>4171</v>
      </c>
      <c r="C1519" t="s">
        <v>1920</v>
      </c>
      <c r="D1519" s="361">
        <v>20</v>
      </c>
      <c r="E1519" s="364"/>
      <c r="F1519" s="361" t="s">
        <v>1921</v>
      </c>
      <c r="T1519" s="361">
        <v>3.4200000000000001E-2</v>
      </c>
    </row>
    <row r="1520" spans="1:20" x14ac:dyDescent="0.25">
      <c r="A1520" s="364" t="s">
        <v>4172</v>
      </c>
      <c r="B1520" s="361" t="s">
        <v>4173</v>
      </c>
      <c r="C1520" t="s">
        <v>1920</v>
      </c>
      <c r="D1520" s="361">
        <v>24</v>
      </c>
      <c r="E1520" s="364"/>
      <c r="F1520" s="361" t="s">
        <v>1921</v>
      </c>
      <c r="T1520" s="361">
        <v>0.13547000000000001</v>
      </c>
    </row>
    <row r="1521" spans="1:20" x14ac:dyDescent="0.25">
      <c r="A1521" s="364" t="s">
        <v>4174</v>
      </c>
      <c r="B1521" s="361" t="s">
        <v>4175</v>
      </c>
      <c r="C1521" t="s">
        <v>1920</v>
      </c>
      <c r="D1521" s="361">
        <v>15</v>
      </c>
      <c r="E1521" s="364"/>
      <c r="F1521" s="361" t="s">
        <v>1917</v>
      </c>
      <c r="T1521" s="361">
        <v>24.9</v>
      </c>
    </row>
    <row r="1522" spans="1:20" x14ac:dyDescent="0.25">
      <c r="A1522" s="364" t="s">
        <v>4176</v>
      </c>
      <c r="B1522" s="361" t="s">
        <v>4177</v>
      </c>
      <c r="C1522" t="s">
        <v>1920</v>
      </c>
      <c r="D1522" s="361">
        <v>24</v>
      </c>
      <c r="E1522" s="364"/>
      <c r="F1522" s="361" t="s">
        <v>1921</v>
      </c>
      <c r="T1522" s="361">
        <v>0.13819999999999999</v>
      </c>
    </row>
    <row r="1523" spans="1:20" x14ac:dyDescent="0.25">
      <c r="A1523" s="364" t="s">
        <v>4178</v>
      </c>
      <c r="B1523" s="361" t="s">
        <v>4179</v>
      </c>
      <c r="C1523" t="s">
        <v>1920</v>
      </c>
      <c r="D1523" s="361">
        <v>20</v>
      </c>
      <c r="E1523" s="364"/>
      <c r="F1523" s="361" t="s">
        <v>1921</v>
      </c>
      <c r="T1523" s="361">
        <v>3.4200000000000001E-2</v>
      </c>
    </row>
    <row r="1524" spans="1:20" x14ac:dyDescent="0.25">
      <c r="A1524" s="364" t="s">
        <v>4180</v>
      </c>
      <c r="B1524" s="361" t="s">
        <v>4181</v>
      </c>
      <c r="C1524" t="s">
        <v>1920</v>
      </c>
      <c r="D1524" s="361">
        <v>15</v>
      </c>
      <c r="E1524" s="364"/>
      <c r="F1524" s="361" t="s">
        <v>1917</v>
      </c>
      <c r="T1524" s="361">
        <v>34.799999999999997</v>
      </c>
    </row>
    <row r="1525" spans="1:20" x14ac:dyDescent="0.25">
      <c r="A1525" s="364" t="s">
        <v>4182</v>
      </c>
      <c r="B1525" s="361" t="s">
        <v>4183</v>
      </c>
      <c r="C1525" t="s">
        <v>1920</v>
      </c>
      <c r="D1525" s="361">
        <v>24</v>
      </c>
      <c r="E1525" s="364"/>
      <c r="F1525" s="361" t="s">
        <v>1921</v>
      </c>
      <c r="T1525" s="361">
        <v>8.5900000000000004E-2</v>
      </c>
    </row>
    <row r="1526" spans="1:20" x14ac:dyDescent="0.25">
      <c r="A1526" s="364" t="s">
        <v>4184</v>
      </c>
      <c r="B1526" s="361" t="s">
        <v>4185</v>
      </c>
      <c r="C1526" t="s">
        <v>1920</v>
      </c>
      <c r="D1526" s="361">
        <v>15</v>
      </c>
      <c r="E1526" s="364"/>
      <c r="F1526" s="361" t="s">
        <v>1917</v>
      </c>
      <c r="T1526" s="361">
        <v>25.7</v>
      </c>
    </row>
    <row r="1527" spans="1:20" x14ac:dyDescent="0.25">
      <c r="A1527" s="364" t="s">
        <v>4186</v>
      </c>
      <c r="B1527" s="361" t="s">
        <v>4187</v>
      </c>
      <c r="C1527" t="s">
        <v>1920</v>
      </c>
      <c r="D1527" s="361">
        <v>20</v>
      </c>
      <c r="E1527" s="364"/>
      <c r="F1527" s="361" t="s">
        <v>1921</v>
      </c>
      <c r="T1527" s="361">
        <v>3.4200000000000001E-2</v>
      </c>
    </row>
    <row r="1528" spans="1:20" x14ac:dyDescent="0.25">
      <c r="A1528" s="364" t="s">
        <v>1057</v>
      </c>
      <c r="B1528" s="361" t="s">
        <v>1058</v>
      </c>
      <c r="C1528" t="s">
        <v>1922</v>
      </c>
      <c r="D1528" s="361">
        <v>2</v>
      </c>
      <c r="E1528" s="364"/>
      <c r="F1528" s="361" t="s">
        <v>1917</v>
      </c>
      <c r="T1528" s="361">
        <v>20.75</v>
      </c>
    </row>
    <row r="1529" spans="1:20" x14ac:dyDescent="0.25">
      <c r="A1529" s="364" t="s">
        <v>4188</v>
      </c>
      <c r="B1529" s="361" t="s">
        <v>4189</v>
      </c>
      <c r="C1529" t="s">
        <v>1920</v>
      </c>
      <c r="D1529" s="361">
        <v>24</v>
      </c>
      <c r="E1529" s="364"/>
      <c r="F1529" s="361" t="s">
        <v>1921</v>
      </c>
      <c r="T1529" s="361">
        <v>0.18353</v>
      </c>
    </row>
    <row r="1530" spans="1:20" x14ac:dyDescent="0.25">
      <c r="A1530" s="364" t="s">
        <v>4190</v>
      </c>
      <c r="B1530" s="361" t="s">
        <v>4191</v>
      </c>
      <c r="C1530" t="s">
        <v>1920</v>
      </c>
      <c r="D1530" s="361">
        <v>15</v>
      </c>
      <c r="E1530" s="364"/>
      <c r="F1530" s="361" t="s">
        <v>1917</v>
      </c>
      <c r="T1530" s="361">
        <v>39.4</v>
      </c>
    </row>
    <row r="1531" spans="1:20" x14ac:dyDescent="0.25">
      <c r="A1531" s="364" t="s">
        <v>4192</v>
      </c>
      <c r="B1531" s="361" t="s">
        <v>4193</v>
      </c>
      <c r="C1531" t="s">
        <v>1920</v>
      </c>
      <c r="D1531" s="361">
        <v>24</v>
      </c>
      <c r="E1531" s="364"/>
      <c r="F1531" s="361" t="s">
        <v>1921</v>
      </c>
      <c r="T1531" s="361">
        <v>0.18658</v>
      </c>
    </row>
    <row r="1532" spans="1:20" x14ac:dyDescent="0.25">
      <c r="A1532" s="364" t="s">
        <v>4194</v>
      </c>
      <c r="B1532" s="361" t="s">
        <v>4195</v>
      </c>
      <c r="C1532" t="s">
        <v>1920</v>
      </c>
      <c r="D1532" s="361">
        <v>15</v>
      </c>
      <c r="E1532" s="364"/>
      <c r="F1532" s="361" t="s">
        <v>1917</v>
      </c>
      <c r="T1532" s="361">
        <v>37.299999999999997</v>
      </c>
    </row>
    <row r="1533" spans="1:20" x14ac:dyDescent="0.25">
      <c r="A1533" s="364" t="s">
        <v>4196</v>
      </c>
      <c r="B1533" s="361" t="s">
        <v>4197</v>
      </c>
      <c r="C1533" t="s">
        <v>1920</v>
      </c>
      <c r="D1533" s="361">
        <v>24</v>
      </c>
      <c r="E1533" s="364"/>
      <c r="F1533" s="361" t="s">
        <v>1921</v>
      </c>
      <c r="T1533" s="361">
        <v>0.39173000000000002</v>
      </c>
    </row>
    <row r="1534" spans="1:20" x14ac:dyDescent="0.25">
      <c r="A1534" s="364" t="s">
        <v>4198</v>
      </c>
      <c r="B1534" s="361" t="s">
        <v>4199</v>
      </c>
      <c r="C1534" t="s">
        <v>1920</v>
      </c>
      <c r="D1534" s="361">
        <v>15</v>
      </c>
      <c r="E1534" s="364"/>
      <c r="F1534" s="361" t="s">
        <v>1917</v>
      </c>
      <c r="T1534" s="361">
        <v>49.6</v>
      </c>
    </row>
    <row r="1535" spans="1:20" x14ac:dyDescent="0.25">
      <c r="A1535" s="364" t="s">
        <v>4200</v>
      </c>
      <c r="B1535" s="361" t="s">
        <v>4201</v>
      </c>
      <c r="C1535" t="s">
        <v>1920</v>
      </c>
      <c r="D1535" s="361">
        <v>24</v>
      </c>
      <c r="E1535" s="364"/>
      <c r="F1535" s="361" t="s">
        <v>1921</v>
      </c>
      <c r="T1535" s="361">
        <v>0.14071</v>
      </c>
    </row>
    <row r="1536" spans="1:20" x14ac:dyDescent="0.25">
      <c r="A1536" s="364" t="s">
        <v>4202</v>
      </c>
      <c r="B1536" s="361" t="s">
        <v>4203</v>
      </c>
      <c r="C1536" t="s">
        <v>1920</v>
      </c>
      <c r="D1536" s="361">
        <v>15</v>
      </c>
      <c r="E1536" s="364"/>
      <c r="F1536" s="361" t="s">
        <v>1917</v>
      </c>
      <c r="T1536" s="361">
        <v>49.6</v>
      </c>
    </row>
    <row r="1537" spans="1:20" x14ac:dyDescent="0.25">
      <c r="A1537" s="364" t="s">
        <v>4204</v>
      </c>
      <c r="B1537" s="361" t="s">
        <v>4205</v>
      </c>
      <c r="C1537">
        <v>2</v>
      </c>
      <c r="D1537" s="361">
        <v>97</v>
      </c>
      <c r="E1537" s="364"/>
      <c r="F1537" s="361" t="s">
        <v>1921</v>
      </c>
      <c r="T1537" s="361">
        <v>3.5999999999999997E-2</v>
      </c>
    </row>
    <row r="1538" spans="1:20" x14ac:dyDescent="0.25">
      <c r="A1538" s="364" t="s">
        <v>4206</v>
      </c>
      <c r="B1538" s="361" t="s">
        <v>4207</v>
      </c>
      <c r="C1538">
        <v>2</v>
      </c>
      <c r="D1538" s="361">
        <v>97</v>
      </c>
      <c r="E1538" s="364"/>
      <c r="F1538" s="361" t="s">
        <v>1921</v>
      </c>
      <c r="T1538" s="361">
        <v>3.5999999999999997E-2</v>
      </c>
    </row>
    <row r="1539" spans="1:20" x14ac:dyDescent="0.25">
      <c r="A1539" s="364" t="s">
        <v>4208</v>
      </c>
      <c r="B1539" s="361" t="s">
        <v>4209</v>
      </c>
      <c r="C1539" t="s">
        <v>1920</v>
      </c>
      <c r="D1539" s="361">
        <v>15</v>
      </c>
      <c r="E1539" s="364"/>
      <c r="F1539" s="361" t="s">
        <v>1917</v>
      </c>
      <c r="T1539" s="361">
        <v>24.9</v>
      </c>
    </row>
    <row r="1540" spans="1:20" x14ac:dyDescent="0.25">
      <c r="A1540" s="364" t="s">
        <v>4210</v>
      </c>
      <c r="B1540" s="361" t="s">
        <v>4211</v>
      </c>
      <c r="C1540" t="s">
        <v>1920</v>
      </c>
      <c r="D1540" s="361">
        <v>16</v>
      </c>
      <c r="E1540" s="364"/>
      <c r="F1540" s="361" t="s">
        <v>1917</v>
      </c>
      <c r="T1540" s="361">
        <v>16.5</v>
      </c>
    </row>
    <row r="1541" spans="1:20" x14ac:dyDescent="0.25">
      <c r="A1541" s="364" t="s">
        <v>445</v>
      </c>
      <c r="B1541" s="361" t="s">
        <v>4212</v>
      </c>
      <c r="C1541" t="s">
        <v>1920</v>
      </c>
      <c r="D1541" s="361">
        <v>24</v>
      </c>
      <c r="E1541" s="364"/>
      <c r="F1541" s="361" t="s">
        <v>1921</v>
      </c>
      <c r="T1541" s="361">
        <v>0.20634</v>
      </c>
    </row>
    <row r="1542" spans="1:20" x14ac:dyDescent="0.25">
      <c r="A1542" s="364" t="s">
        <v>446</v>
      </c>
      <c r="B1542" s="361" t="s">
        <v>4213</v>
      </c>
      <c r="C1542" t="s">
        <v>1920</v>
      </c>
      <c r="D1542" s="361">
        <v>27</v>
      </c>
      <c r="E1542" s="364"/>
      <c r="F1542" s="361" t="s">
        <v>1921</v>
      </c>
      <c r="T1542" s="361">
        <v>1.22</v>
      </c>
    </row>
    <row r="1543" spans="1:20" x14ac:dyDescent="0.25">
      <c r="A1543" s="364" t="s">
        <v>4214</v>
      </c>
      <c r="B1543" s="361" t="s">
        <v>4215</v>
      </c>
      <c r="C1543" t="s">
        <v>1920</v>
      </c>
      <c r="D1543" s="361">
        <v>15</v>
      </c>
      <c r="E1543" s="364"/>
      <c r="F1543" s="361" t="s">
        <v>1917</v>
      </c>
      <c r="T1543" s="361">
        <v>24.9</v>
      </c>
    </row>
    <row r="1544" spans="1:20" x14ac:dyDescent="0.25">
      <c r="A1544" s="364" t="s">
        <v>453</v>
      </c>
      <c r="B1544" s="361" t="s">
        <v>4216</v>
      </c>
      <c r="C1544" t="s">
        <v>1920</v>
      </c>
      <c r="D1544" s="361">
        <v>24</v>
      </c>
      <c r="E1544" s="364"/>
      <c r="F1544" s="361" t="s">
        <v>1921</v>
      </c>
      <c r="T1544" s="361">
        <v>0.21342</v>
      </c>
    </row>
    <row r="1545" spans="1:20" x14ac:dyDescent="0.25">
      <c r="A1545" s="364" t="s">
        <v>454</v>
      </c>
      <c r="B1545" s="361" t="s">
        <v>4217</v>
      </c>
      <c r="C1545" t="s">
        <v>1920</v>
      </c>
      <c r="D1545" s="361">
        <v>27</v>
      </c>
      <c r="E1545" s="364"/>
      <c r="F1545" s="361" t="s">
        <v>1921</v>
      </c>
      <c r="T1545" s="361">
        <v>1.409</v>
      </c>
    </row>
    <row r="1546" spans="1:20" x14ac:dyDescent="0.25">
      <c r="A1546" s="364" t="s">
        <v>4218</v>
      </c>
      <c r="B1546" s="361" t="s">
        <v>4219</v>
      </c>
      <c r="C1546" t="s">
        <v>1920</v>
      </c>
      <c r="D1546" s="361">
        <v>54</v>
      </c>
      <c r="E1546" s="364"/>
      <c r="F1546" s="361" t="s">
        <v>1921</v>
      </c>
      <c r="T1546" s="361">
        <v>0.72323999999999999</v>
      </c>
    </row>
    <row r="1547" spans="1:20" x14ac:dyDescent="0.25">
      <c r="A1547" s="364" t="s">
        <v>4220</v>
      </c>
      <c r="B1547" s="361" t="s">
        <v>4221</v>
      </c>
      <c r="C1547" t="s">
        <v>1920</v>
      </c>
      <c r="D1547" s="361">
        <v>24</v>
      </c>
      <c r="E1547" s="364"/>
      <c r="F1547" s="361" t="s">
        <v>1921</v>
      </c>
      <c r="T1547" s="361">
        <v>3.5000000000000003E-2</v>
      </c>
    </row>
    <row r="1548" spans="1:20" x14ac:dyDescent="0.25">
      <c r="A1548" s="364" t="s">
        <v>4222</v>
      </c>
      <c r="B1548" s="361" t="s">
        <v>2539</v>
      </c>
      <c r="C1548" t="s">
        <v>1920</v>
      </c>
      <c r="D1548" s="361">
        <v>15</v>
      </c>
      <c r="E1548" s="364"/>
      <c r="F1548" s="361" t="s">
        <v>1917</v>
      </c>
      <c r="T1548" s="361">
        <v>23.4</v>
      </c>
    </row>
    <row r="1549" spans="1:20" x14ac:dyDescent="0.25">
      <c r="A1549" s="364" t="s">
        <v>4223</v>
      </c>
      <c r="B1549" s="361" t="s">
        <v>4224</v>
      </c>
      <c r="C1549" t="s">
        <v>1920</v>
      </c>
      <c r="D1549" s="361">
        <v>20</v>
      </c>
      <c r="E1549" s="364"/>
      <c r="F1549" s="361" t="s">
        <v>2201</v>
      </c>
      <c r="T1549" s="361">
        <v>48.8</v>
      </c>
    </row>
    <row r="1550" spans="1:20" x14ac:dyDescent="0.25">
      <c r="A1550" s="364" t="s">
        <v>322</v>
      </c>
      <c r="B1550" s="361" t="s">
        <v>1059</v>
      </c>
      <c r="C1550" t="s">
        <v>1922</v>
      </c>
      <c r="D1550" s="361">
        <v>2</v>
      </c>
      <c r="E1550" s="364"/>
      <c r="F1550" s="361" t="s">
        <v>1917</v>
      </c>
      <c r="T1550" s="361">
        <v>575</v>
      </c>
    </row>
    <row r="1551" spans="1:20" x14ac:dyDescent="0.25">
      <c r="A1551" s="364" t="s">
        <v>1060</v>
      </c>
      <c r="B1551" s="361" t="s">
        <v>1061</v>
      </c>
      <c r="C1551" t="s">
        <v>1922</v>
      </c>
      <c r="D1551" s="361">
        <v>1</v>
      </c>
      <c r="E1551" s="364"/>
      <c r="F1551" s="361" t="s">
        <v>1917</v>
      </c>
      <c r="T1551" s="361">
        <v>86.2</v>
      </c>
    </row>
    <row r="1552" spans="1:20" x14ac:dyDescent="0.25">
      <c r="A1552" s="364" t="s">
        <v>240</v>
      </c>
      <c r="B1552" s="361" t="s">
        <v>1062</v>
      </c>
      <c r="C1552" t="s">
        <v>1922</v>
      </c>
      <c r="D1552" s="361">
        <v>1</v>
      </c>
      <c r="E1552" s="364"/>
      <c r="F1552" s="361" t="s">
        <v>1917</v>
      </c>
      <c r="T1552" s="361">
        <v>71.099999999999994</v>
      </c>
    </row>
    <row r="1553" spans="1:20" x14ac:dyDescent="0.25">
      <c r="A1553" s="364" t="s">
        <v>241</v>
      </c>
      <c r="B1553" s="361" t="s">
        <v>1063</v>
      </c>
      <c r="C1553" t="s">
        <v>1922</v>
      </c>
      <c r="D1553" s="361">
        <v>1</v>
      </c>
      <c r="E1553" s="364"/>
      <c r="F1553" s="361" t="s">
        <v>1917</v>
      </c>
      <c r="T1553" s="361">
        <v>69.81</v>
      </c>
    </row>
    <row r="1554" spans="1:20" x14ac:dyDescent="0.25">
      <c r="A1554" s="364" t="s">
        <v>242</v>
      </c>
      <c r="B1554" s="361" t="s">
        <v>1064</v>
      </c>
      <c r="C1554" t="s">
        <v>1922</v>
      </c>
      <c r="D1554" s="361">
        <v>1</v>
      </c>
      <c r="E1554" s="364"/>
      <c r="F1554" s="361" t="s">
        <v>1917</v>
      </c>
      <c r="T1554" s="361">
        <v>78.45</v>
      </c>
    </row>
    <row r="1555" spans="1:20" x14ac:dyDescent="0.25">
      <c r="A1555" s="364" t="s">
        <v>4225</v>
      </c>
      <c r="B1555" s="361" t="s">
        <v>4226</v>
      </c>
      <c r="C1555" t="s">
        <v>1920</v>
      </c>
      <c r="D1555" s="361">
        <v>15</v>
      </c>
      <c r="E1555" s="364"/>
      <c r="F1555" s="361" t="s">
        <v>1917</v>
      </c>
      <c r="T1555" s="361">
        <v>37.299999999999997</v>
      </c>
    </row>
    <row r="1556" spans="1:20" x14ac:dyDescent="0.25">
      <c r="A1556" s="364" t="s">
        <v>4227</v>
      </c>
      <c r="B1556" s="361" t="s">
        <v>4228</v>
      </c>
      <c r="C1556" t="s">
        <v>1920</v>
      </c>
      <c r="D1556" s="361">
        <v>15</v>
      </c>
      <c r="E1556" s="364"/>
      <c r="F1556" s="361" t="s">
        <v>1917</v>
      </c>
      <c r="T1556" s="361">
        <v>39.4</v>
      </c>
    </row>
    <row r="1557" spans="1:20" x14ac:dyDescent="0.25">
      <c r="A1557" s="364" t="s">
        <v>4229</v>
      </c>
      <c r="B1557" s="361" t="s">
        <v>4230</v>
      </c>
      <c r="C1557" t="s">
        <v>1920</v>
      </c>
      <c r="D1557" s="361">
        <v>24</v>
      </c>
      <c r="E1557" s="364"/>
      <c r="F1557" s="361" t="s">
        <v>1921</v>
      </c>
      <c r="T1557" s="361">
        <v>9.4960000000000003E-2</v>
      </c>
    </row>
    <row r="1558" spans="1:20" x14ac:dyDescent="0.25">
      <c r="A1558" s="364" t="s">
        <v>4231</v>
      </c>
      <c r="B1558" s="361" t="s">
        <v>4232</v>
      </c>
      <c r="C1558" t="s">
        <v>1920</v>
      </c>
      <c r="D1558" s="361">
        <v>24</v>
      </c>
      <c r="E1558" s="364"/>
      <c r="F1558" s="361" t="s">
        <v>1921</v>
      </c>
      <c r="T1558" s="361">
        <v>7.4810000000000001E-2</v>
      </c>
    </row>
    <row r="1559" spans="1:20" x14ac:dyDescent="0.25">
      <c r="A1559" s="364" t="s">
        <v>4233</v>
      </c>
      <c r="B1559" s="361" t="s">
        <v>4234</v>
      </c>
      <c r="C1559" t="s">
        <v>1920</v>
      </c>
      <c r="D1559" s="361">
        <v>15</v>
      </c>
      <c r="E1559" s="364"/>
      <c r="F1559" s="361" t="s">
        <v>1917</v>
      </c>
      <c r="T1559" s="361">
        <v>25.9</v>
      </c>
    </row>
    <row r="1560" spans="1:20" x14ac:dyDescent="0.25">
      <c r="A1560" s="364" t="s">
        <v>4235</v>
      </c>
      <c r="B1560" s="361" t="s">
        <v>4236</v>
      </c>
      <c r="C1560" t="s">
        <v>1920</v>
      </c>
      <c r="D1560" s="361">
        <v>15</v>
      </c>
      <c r="E1560" s="364"/>
      <c r="F1560" s="361" t="s">
        <v>1917</v>
      </c>
      <c r="T1560" s="361">
        <v>27.5</v>
      </c>
    </row>
    <row r="1561" spans="1:20" x14ac:dyDescent="0.25">
      <c r="A1561" s="364" t="s">
        <v>4237</v>
      </c>
      <c r="B1561" s="361" t="s">
        <v>4238</v>
      </c>
      <c r="C1561" t="s">
        <v>1920</v>
      </c>
      <c r="D1561" s="361">
        <v>24</v>
      </c>
      <c r="E1561" s="364"/>
      <c r="F1561" s="361" t="s">
        <v>1921</v>
      </c>
      <c r="T1561" s="361">
        <v>0.75924999999999998</v>
      </c>
    </row>
    <row r="1562" spans="1:20" x14ac:dyDescent="0.25">
      <c r="A1562" s="364" t="s">
        <v>4239</v>
      </c>
      <c r="B1562" s="361" t="s">
        <v>4240</v>
      </c>
      <c r="C1562" t="s">
        <v>1920</v>
      </c>
      <c r="D1562" s="361">
        <v>15</v>
      </c>
      <c r="E1562" s="364"/>
      <c r="F1562" s="361" t="s">
        <v>1917</v>
      </c>
      <c r="T1562" s="361">
        <v>49.6</v>
      </c>
    </row>
    <row r="1563" spans="1:20" x14ac:dyDescent="0.25">
      <c r="A1563" s="364" t="s">
        <v>4241</v>
      </c>
      <c r="B1563" s="361" t="s">
        <v>4242</v>
      </c>
      <c r="C1563" t="s">
        <v>1920</v>
      </c>
      <c r="D1563" s="361">
        <v>24</v>
      </c>
      <c r="E1563" s="364"/>
      <c r="F1563" s="361" t="s">
        <v>1921</v>
      </c>
      <c r="T1563" s="361">
        <v>0.74970999999999999</v>
      </c>
    </row>
    <row r="1564" spans="1:20" x14ac:dyDescent="0.25">
      <c r="A1564" s="364" t="s">
        <v>4243</v>
      </c>
      <c r="B1564" s="361" t="s">
        <v>4244</v>
      </c>
      <c r="C1564" t="s">
        <v>1920</v>
      </c>
      <c r="D1564" s="361">
        <v>15</v>
      </c>
      <c r="E1564" s="364"/>
      <c r="F1564" s="361" t="s">
        <v>1917</v>
      </c>
      <c r="T1564" s="361">
        <v>49.6</v>
      </c>
    </row>
    <row r="1565" spans="1:20" x14ac:dyDescent="0.25">
      <c r="A1565" s="364" t="s">
        <v>4245</v>
      </c>
      <c r="B1565" s="361" t="s">
        <v>4246</v>
      </c>
      <c r="C1565" t="s">
        <v>1920</v>
      </c>
      <c r="D1565" s="361">
        <v>24</v>
      </c>
      <c r="E1565" s="364"/>
      <c r="F1565" s="361" t="s">
        <v>1921</v>
      </c>
      <c r="T1565" s="361">
        <v>0.16270000000000001</v>
      </c>
    </row>
    <row r="1566" spans="1:20" x14ac:dyDescent="0.25">
      <c r="A1566" s="364" t="s">
        <v>4247</v>
      </c>
      <c r="B1566" s="361" t="s">
        <v>4248</v>
      </c>
      <c r="C1566" t="s">
        <v>1920</v>
      </c>
      <c r="D1566" s="361">
        <v>15</v>
      </c>
      <c r="E1566" s="364"/>
      <c r="F1566" s="361" t="s">
        <v>1917</v>
      </c>
      <c r="T1566" s="361">
        <v>39.4</v>
      </c>
    </row>
    <row r="1567" spans="1:20" x14ac:dyDescent="0.25">
      <c r="A1567" s="364" t="s">
        <v>4249</v>
      </c>
      <c r="B1567" s="361" t="s">
        <v>4250</v>
      </c>
      <c r="C1567" t="s">
        <v>1920</v>
      </c>
      <c r="D1567" s="361">
        <v>24</v>
      </c>
      <c r="E1567" s="364"/>
      <c r="F1567" s="361" t="s">
        <v>1921</v>
      </c>
      <c r="T1567" s="361">
        <v>0.32377</v>
      </c>
    </row>
    <row r="1568" spans="1:20" x14ac:dyDescent="0.25">
      <c r="A1568" s="364" t="s">
        <v>4251</v>
      </c>
      <c r="B1568" s="361" t="s">
        <v>4252</v>
      </c>
      <c r="C1568" t="s">
        <v>1920</v>
      </c>
      <c r="D1568" s="361">
        <v>15</v>
      </c>
      <c r="E1568" s="364"/>
      <c r="F1568" s="361" t="s">
        <v>1917</v>
      </c>
      <c r="T1568" s="361">
        <v>49.6</v>
      </c>
    </row>
    <row r="1569" spans="1:20" x14ac:dyDescent="0.25">
      <c r="A1569" s="364" t="s">
        <v>4253</v>
      </c>
      <c r="B1569" s="361" t="s">
        <v>4254</v>
      </c>
      <c r="C1569" t="s">
        <v>1920</v>
      </c>
      <c r="D1569" s="361">
        <v>24</v>
      </c>
      <c r="E1569" s="364"/>
      <c r="F1569" s="361" t="s">
        <v>1921</v>
      </c>
      <c r="T1569" s="361">
        <v>0.14760000000000001</v>
      </c>
    </row>
    <row r="1570" spans="1:20" x14ac:dyDescent="0.25">
      <c r="A1570" s="364" t="s">
        <v>4255</v>
      </c>
      <c r="B1570" s="361" t="s">
        <v>4256</v>
      </c>
      <c r="C1570" t="s">
        <v>1920</v>
      </c>
      <c r="D1570" s="361">
        <v>15</v>
      </c>
      <c r="E1570" s="364"/>
      <c r="F1570" s="361" t="s">
        <v>1917</v>
      </c>
      <c r="T1570" s="361">
        <v>49.6</v>
      </c>
    </row>
    <row r="1571" spans="1:20" x14ac:dyDescent="0.25">
      <c r="A1571" s="364" t="s">
        <v>4257</v>
      </c>
      <c r="B1571" s="361" t="s">
        <v>4258</v>
      </c>
      <c r="C1571" t="s">
        <v>1920</v>
      </c>
      <c r="D1571" s="361">
        <v>24</v>
      </c>
      <c r="E1571" s="364"/>
      <c r="F1571" s="361" t="s">
        <v>1921</v>
      </c>
      <c r="T1571" s="361">
        <v>0.14691000000000001</v>
      </c>
    </row>
    <row r="1572" spans="1:20" x14ac:dyDescent="0.25">
      <c r="A1572" s="364" t="s">
        <v>4259</v>
      </c>
      <c r="B1572" s="361" t="s">
        <v>4260</v>
      </c>
      <c r="C1572" t="s">
        <v>1920</v>
      </c>
      <c r="D1572" s="361">
        <v>15</v>
      </c>
      <c r="E1572" s="364"/>
      <c r="F1572" s="361" t="s">
        <v>1917</v>
      </c>
      <c r="T1572" s="361">
        <v>39.4</v>
      </c>
    </row>
    <row r="1573" spans="1:20" x14ac:dyDescent="0.25">
      <c r="A1573" s="364" t="s">
        <v>4261</v>
      </c>
      <c r="B1573" s="361" t="s">
        <v>4262</v>
      </c>
      <c r="C1573" t="s">
        <v>1920</v>
      </c>
      <c r="D1573" s="361">
        <v>20</v>
      </c>
      <c r="E1573" s="364"/>
      <c r="F1573" s="361" t="s">
        <v>1921</v>
      </c>
      <c r="T1573" s="361">
        <v>3.4200000000000001E-2</v>
      </c>
    </row>
    <row r="1574" spans="1:20" x14ac:dyDescent="0.25">
      <c r="A1574" s="364" t="s">
        <v>4263</v>
      </c>
      <c r="B1574" s="361" t="s">
        <v>4264</v>
      </c>
      <c r="C1574" t="s">
        <v>1920</v>
      </c>
      <c r="D1574" s="361">
        <v>15</v>
      </c>
      <c r="E1574" s="364"/>
      <c r="F1574" s="361" t="s">
        <v>1917</v>
      </c>
      <c r="T1574" s="361">
        <v>49.6</v>
      </c>
    </row>
    <row r="1575" spans="1:20" x14ac:dyDescent="0.25">
      <c r="A1575" s="364" t="s">
        <v>4265</v>
      </c>
      <c r="B1575" s="361" t="s">
        <v>4266</v>
      </c>
      <c r="C1575" t="s">
        <v>1920</v>
      </c>
      <c r="D1575" s="361">
        <v>20</v>
      </c>
      <c r="E1575" s="364"/>
      <c r="F1575" s="361" t="s">
        <v>1921</v>
      </c>
      <c r="T1575" s="361">
        <v>8.7400000000000005E-2</v>
      </c>
    </row>
    <row r="1576" spans="1:20" x14ac:dyDescent="0.25">
      <c r="A1576" s="364" t="s">
        <v>4267</v>
      </c>
      <c r="B1576" s="361" t="s">
        <v>4268</v>
      </c>
      <c r="C1576" t="s">
        <v>1920</v>
      </c>
      <c r="D1576" s="361">
        <v>20</v>
      </c>
      <c r="E1576" s="364"/>
      <c r="F1576" s="361" t="s">
        <v>1921</v>
      </c>
      <c r="T1576" s="361">
        <v>4.8800000000000003E-2</v>
      </c>
    </row>
    <row r="1577" spans="1:20" x14ac:dyDescent="0.25">
      <c r="A1577" s="364" t="s">
        <v>4269</v>
      </c>
      <c r="B1577" s="361" t="s">
        <v>4270</v>
      </c>
      <c r="C1577" t="s">
        <v>1920</v>
      </c>
      <c r="D1577" s="361">
        <v>20</v>
      </c>
      <c r="E1577" s="364"/>
      <c r="F1577" s="361" t="s">
        <v>1921</v>
      </c>
      <c r="T1577" s="361">
        <v>5.7000000000000002E-2</v>
      </c>
    </row>
    <row r="1578" spans="1:20" x14ac:dyDescent="0.25">
      <c r="A1578" s="364" t="s">
        <v>4271</v>
      </c>
      <c r="B1578" s="361" t="s">
        <v>4272</v>
      </c>
      <c r="C1578" t="s">
        <v>1920</v>
      </c>
      <c r="D1578" s="361">
        <v>20</v>
      </c>
      <c r="E1578" s="364"/>
      <c r="F1578" s="361" t="s">
        <v>1921</v>
      </c>
      <c r="T1578" s="361">
        <v>5.7000000000000002E-2</v>
      </c>
    </row>
    <row r="1579" spans="1:20" x14ac:dyDescent="0.25">
      <c r="A1579" s="364" t="s">
        <v>4273</v>
      </c>
      <c r="B1579" s="361" t="s">
        <v>4274</v>
      </c>
      <c r="C1579" t="s">
        <v>1920</v>
      </c>
      <c r="D1579" s="361">
        <v>24</v>
      </c>
      <c r="E1579" s="364"/>
      <c r="F1579" s="361" t="s">
        <v>1921</v>
      </c>
      <c r="T1579" s="361">
        <v>0.3493</v>
      </c>
    </row>
    <row r="1580" spans="1:20" x14ac:dyDescent="0.25">
      <c r="A1580" s="364" t="s">
        <v>4275</v>
      </c>
      <c r="B1580" s="361" t="s">
        <v>4276</v>
      </c>
      <c r="C1580" t="s">
        <v>1920</v>
      </c>
      <c r="D1580" s="361">
        <v>24</v>
      </c>
      <c r="E1580" s="364"/>
      <c r="F1580" s="361" t="s">
        <v>1921</v>
      </c>
      <c r="T1580" s="361">
        <v>0.41327999999999998</v>
      </c>
    </row>
    <row r="1581" spans="1:20" x14ac:dyDescent="0.25">
      <c r="A1581" s="364" t="s">
        <v>4277</v>
      </c>
      <c r="B1581" s="361" t="s">
        <v>4278</v>
      </c>
      <c r="C1581" t="s">
        <v>1920</v>
      </c>
      <c r="D1581" s="361">
        <v>24</v>
      </c>
      <c r="E1581" s="364"/>
      <c r="F1581" s="361" t="s">
        <v>1921</v>
      </c>
      <c r="T1581" s="361">
        <v>0.50971</v>
      </c>
    </row>
    <row r="1582" spans="1:20" x14ac:dyDescent="0.25">
      <c r="A1582" s="364" t="s">
        <v>4279</v>
      </c>
      <c r="B1582" s="361" t="s">
        <v>4280</v>
      </c>
      <c r="C1582" t="s">
        <v>1920</v>
      </c>
      <c r="D1582" s="361">
        <v>24</v>
      </c>
      <c r="E1582" s="364"/>
      <c r="F1582" s="361" t="s">
        <v>1921</v>
      </c>
      <c r="T1582" s="361">
        <v>0.32472000000000001</v>
      </c>
    </row>
    <row r="1583" spans="1:20" x14ac:dyDescent="0.25">
      <c r="A1583" s="364" t="s">
        <v>4281</v>
      </c>
      <c r="B1583" s="361" t="s">
        <v>4282</v>
      </c>
      <c r="C1583" t="s">
        <v>1920</v>
      </c>
      <c r="D1583" s="361">
        <v>20</v>
      </c>
      <c r="E1583" s="364"/>
      <c r="F1583" s="361" t="s">
        <v>1921</v>
      </c>
      <c r="T1583" s="361">
        <v>8.7400000000000005E-2</v>
      </c>
    </row>
    <row r="1584" spans="1:20" x14ac:dyDescent="0.25">
      <c r="A1584" s="364" t="s">
        <v>4283</v>
      </c>
      <c r="B1584" s="361" t="s">
        <v>4284</v>
      </c>
      <c r="C1584" t="s">
        <v>1920</v>
      </c>
      <c r="D1584" s="361">
        <v>24</v>
      </c>
      <c r="E1584" s="364"/>
      <c r="F1584" s="361" t="s">
        <v>1921</v>
      </c>
      <c r="T1584" s="361">
        <v>0.56383000000000005</v>
      </c>
    </row>
    <row r="1585" spans="1:20" x14ac:dyDescent="0.25">
      <c r="A1585" s="364" t="s">
        <v>4285</v>
      </c>
      <c r="B1585" s="361" t="s">
        <v>4286</v>
      </c>
      <c r="C1585" t="s">
        <v>1920</v>
      </c>
      <c r="D1585" s="361">
        <v>20</v>
      </c>
      <c r="E1585" s="364"/>
      <c r="F1585" s="361" t="s">
        <v>2201</v>
      </c>
      <c r="T1585" s="361">
        <v>52.2</v>
      </c>
    </row>
    <row r="1586" spans="1:20" x14ac:dyDescent="0.25">
      <c r="A1586" s="364" t="s">
        <v>4287</v>
      </c>
      <c r="B1586" s="361" t="s">
        <v>4288</v>
      </c>
      <c r="C1586" t="s">
        <v>1920</v>
      </c>
      <c r="D1586" s="361">
        <v>20</v>
      </c>
      <c r="E1586" s="364"/>
      <c r="F1586" s="361" t="s">
        <v>2201</v>
      </c>
      <c r="T1586" s="361">
        <v>229.6</v>
      </c>
    </row>
    <row r="1587" spans="1:20" x14ac:dyDescent="0.25">
      <c r="A1587" s="364" t="s">
        <v>4289</v>
      </c>
      <c r="B1587" s="361" t="s">
        <v>4290</v>
      </c>
      <c r="C1587" t="s">
        <v>1920</v>
      </c>
      <c r="D1587" s="361">
        <v>20</v>
      </c>
      <c r="E1587" s="364"/>
      <c r="F1587" s="361" t="s">
        <v>2201</v>
      </c>
      <c r="T1587" s="361">
        <v>57</v>
      </c>
    </row>
    <row r="1588" spans="1:20" x14ac:dyDescent="0.25">
      <c r="A1588" s="364" t="s">
        <v>4291</v>
      </c>
      <c r="B1588" s="361" t="s">
        <v>4292</v>
      </c>
      <c r="C1588" t="s">
        <v>1920</v>
      </c>
      <c r="D1588" s="361">
        <v>20</v>
      </c>
      <c r="E1588" s="364"/>
      <c r="F1588" s="361" t="s">
        <v>2201</v>
      </c>
      <c r="T1588" s="361">
        <v>57</v>
      </c>
    </row>
    <row r="1589" spans="1:20" x14ac:dyDescent="0.25">
      <c r="A1589" s="364" t="s">
        <v>4293</v>
      </c>
      <c r="B1589" s="361" t="s">
        <v>4294</v>
      </c>
      <c r="C1589" t="s">
        <v>1920</v>
      </c>
      <c r="D1589" s="361">
        <v>20</v>
      </c>
      <c r="E1589" s="364"/>
      <c r="F1589" s="361" t="s">
        <v>2201</v>
      </c>
      <c r="T1589" s="361">
        <v>48.8</v>
      </c>
    </row>
    <row r="1590" spans="1:20" x14ac:dyDescent="0.25">
      <c r="A1590" s="364" t="s">
        <v>4295</v>
      </c>
      <c r="B1590" s="361" t="s">
        <v>4296</v>
      </c>
      <c r="C1590" t="s">
        <v>1920</v>
      </c>
      <c r="D1590" s="361">
        <v>20</v>
      </c>
      <c r="E1590" s="364"/>
      <c r="F1590" s="361" t="s">
        <v>2201</v>
      </c>
      <c r="T1590" s="361">
        <v>52.2</v>
      </c>
    </row>
    <row r="1591" spans="1:20" x14ac:dyDescent="0.25">
      <c r="A1591" s="364" t="s">
        <v>4297</v>
      </c>
      <c r="B1591" s="361" t="s">
        <v>4298</v>
      </c>
      <c r="C1591" t="s">
        <v>1920</v>
      </c>
      <c r="D1591" s="361">
        <v>20</v>
      </c>
      <c r="E1591" s="364"/>
      <c r="F1591" s="361" t="s">
        <v>1921</v>
      </c>
      <c r="T1591" s="361">
        <v>3.2300000000000002E-2</v>
      </c>
    </row>
    <row r="1592" spans="1:20" x14ac:dyDescent="0.25">
      <c r="A1592" s="364" t="s">
        <v>4299</v>
      </c>
      <c r="B1592" s="361" t="s">
        <v>4300</v>
      </c>
      <c r="C1592" t="s">
        <v>1920</v>
      </c>
      <c r="D1592" s="361">
        <v>20</v>
      </c>
      <c r="E1592" s="364"/>
      <c r="F1592" s="361" t="s">
        <v>1921</v>
      </c>
      <c r="T1592" s="361">
        <v>3.2300000000000002E-2</v>
      </c>
    </row>
    <row r="1593" spans="1:20" x14ac:dyDescent="0.25">
      <c r="A1593" s="364" t="s">
        <v>4301</v>
      </c>
      <c r="B1593" s="361" t="s">
        <v>4302</v>
      </c>
      <c r="C1593" t="s">
        <v>1920</v>
      </c>
      <c r="D1593" s="361">
        <v>20</v>
      </c>
      <c r="E1593" s="364"/>
      <c r="F1593" s="361" t="s">
        <v>1921</v>
      </c>
      <c r="T1593" s="361">
        <v>3.2300000000000002E-2</v>
      </c>
    </row>
    <row r="1594" spans="1:20" x14ac:dyDescent="0.25">
      <c r="A1594" s="364" t="s">
        <v>4303</v>
      </c>
      <c r="B1594" s="361" t="s">
        <v>4304</v>
      </c>
      <c r="C1594" t="s">
        <v>1920</v>
      </c>
      <c r="D1594" s="361">
        <v>24</v>
      </c>
      <c r="E1594" s="364"/>
      <c r="F1594" s="361" t="s">
        <v>1921</v>
      </c>
      <c r="T1594" s="361">
        <v>0.18493999999999999</v>
      </c>
    </row>
    <row r="1595" spans="1:20" x14ac:dyDescent="0.25">
      <c r="A1595" s="364" t="s">
        <v>4305</v>
      </c>
      <c r="B1595" s="361" t="s">
        <v>4306</v>
      </c>
      <c r="C1595" t="s">
        <v>1920</v>
      </c>
      <c r="D1595" s="361">
        <v>15</v>
      </c>
      <c r="E1595" s="364"/>
      <c r="F1595" s="361" t="s">
        <v>1917</v>
      </c>
      <c r="T1595" s="361">
        <v>39.4</v>
      </c>
    </row>
    <row r="1596" spans="1:20" x14ac:dyDescent="0.25">
      <c r="A1596" s="364" t="s">
        <v>4307</v>
      </c>
      <c r="B1596" s="361" t="s">
        <v>4308</v>
      </c>
      <c r="C1596" t="s">
        <v>1920</v>
      </c>
      <c r="D1596" s="361">
        <v>24</v>
      </c>
      <c r="E1596" s="364"/>
      <c r="F1596" s="361" t="s">
        <v>1921</v>
      </c>
      <c r="T1596" s="361">
        <v>0.12801999999999999</v>
      </c>
    </row>
    <row r="1597" spans="1:20" x14ac:dyDescent="0.25">
      <c r="A1597" s="364" t="s">
        <v>4309</v>
      </c>
      <c r="B1597" s="361" t="s">
        <v>4310</v>
      </c>
      <c r="C1597" t="s">
        <v>1920</v>
      </c>
      <c r="D1597" s="361">
        <v>15</v>
      </c>
      <c r="E1597" s="364"/>
      <c r="F1597" s="361" t="s">
        <v>1917</v>
      </c>
      <c r="T1597" s="361">
        <v>33.799999999999997</v>
      </c>
    </row>
    <row r="1598" spans="1:20" x14ac:dyDescent="0.25">
      <c r="A1598" s="364" t="s">
        <v>4311</v>
      </c>
      <c r="B1598" s="361" t="s">
        <v>4312</v>
      </c>
      <c r="C1598" t="s">
        <v>1920</v>
      </c>
      <c r="D1598" s="361">
        <v>24</v>
      </c>
      <c r="E1598" s="364"/>
      <c r="F1598" s="361" t="s">
        <v>1921</v>
      </c>
      <c r="T1598" s="361">
        <v>2.0437699999999999</v>
      </c>
    </row>
    <row r="1599" spans="1:20" x14ac:dyDescent="0.25">
      <c r="A1599" s="364" t="s">
        <v>4313</v>
      </c>
      <c r="B1599" s="361" t="s">
        <v>4314</v>
      </c>
      <c r="C1599" t="s">
        <v>1920</v>
      </c>
      <c r="D1599" s="361">
        <v>15</v>
      </c>
      <c r="E1599" s="364"/>
      <c r="F1599" s="361" t="s">
        <v>1917</v>
      </c>
      <c r="T1599" s="361">
        <v>49.6</v>
      </c>
    </row>
    <row r="1600" spans="1:20" x14ac:dyDescent="0.25">
      <c r="A1600" s="364" t="s">
        <v>4315</v>
      </c>
      <c r="B1600" s="361" t="s">
        <v>4316</v>
      </c>
      <c r="C1600" t="s">
        <v>1920</v>
      </c>
      <c r="D1600" s="361">
        <v>24</v>
      </c>
      <c r="E1600" s="364"/>
      <c r="F1600" s="361" t="s">
        <v>1921</v>
      </c>
      <c r="T1600" s="361">
        <v>0.43885999999999997</v>
      </c>
    </row>
    <row r="1601" spans="1:20" x14ac:dyDescent="0.25">
      <c r="A1601" s="364" t="s">
        <v>4317</v>
      </c>
      <c r="B1601" s="361" t="s">
        <v>4318</v>
      </c>
      <c r="C1601" t="s">
        <v>1920</v>
      </c>
      <c r="D1601" s="361">
        <v>15</v>
      </c>
      <c r="E1601" s="364"/>
      <c r="F1601" s="361" t="s">
        <v>1917</v>
      </c>
      <c r="T1601" s="361">
        <v>49.6</v>
      </c>
    </row>
    <row r="1602" spans="1:20" x14ac:dyDescent="0.25">
      <c r="A1602" s="364" t="s">
        <v>4319</v>
      </c>
      <c r="B1602" s="361" t="s">
        <v>4320</v>
      </c>
      <c r="C1602" t="s">
        <v>1920</v>
      </c>
      <c r="D1602" s="361">
        <v>24</v>
      </c>
      <c r="E1602" s="364"/>
      <c r="F1602" s="361" t="s">
        <v>1921</v>
      </c>
      <c r="T1602" s="361">
        <v>0.15856999999999999</v>
      </c>
    </row>
    <row r="1603" spans="1:20" x14ac:dyDescent="0.25">
      <c r="A1603" s="364" t="s">
        <v>4321</v>
      </c>
      <c r="B1603" s="361" t="s">
        <v>4322</v>
      </c>
      <c r="C1603" t="s">
        <v>1920</v>
      </c>
      <c r="D1603" s="361">
        <v>15</v>
      </c>
      <c r="E1603" s="364"/>
      <c r="F1603" s="361" t="s">
        <v>1917</v>
      </c>
      <c r="T1603" s="361">
        <v>39.4</v>
      </c>
    </row>
    <row r="1604" spans="1:20" x14ac:dyDescent="0.25">
      <c r="A1604" s="364" t="s">
        <v>4323</v>
      </c>
      <c r="B1604" s="361" t="s">
        <v>4324</v>
      </c>
      <c r="C1604" t="s">
        <v>1920</v>
      </c>
      <c r="D1604" s="361">
        <v>24</v>
      </c>
      <c r="E1604" s="364"/>
      <c r="F1604" s="361" t="s">
        <v>1921</v>
      </c>
      <c r="T1604" s="361">
        <v>0.16270000000000001</v>
      </c>
    </row>
    <row r="1605" spans="1:20" x14ac:dyDescent="0.25">
      <c r="A1605" s="364" t="s">
        <v>4325</v>
      </c>
      <c r="B1605" s="361" t="s">
        <v>4326</v>
      </c>
      <c r="C1605" t="s">
        <v>1920</v>
      </c>
      <c r="D1605" s="361">
        <v>15</v>
      </c>
      <c r="E1605" s="364"/>
      <c r="F1605" s="361" t="s">
        <v>1917</v>
      </c>
      <c r="T1605" s="361">
        <v>49.6</v>
      </c>
    </row>
    <row r="1606" spans="1:20" x14ac:dyDescent="0.25">
      <c r="A1606" s="364" t="s">
        <v>4327</v>
      </c>
      <c r="B1606" s="361" t="s">
        <v>4328</v>
      </c>
      <c r="C1606" t="s">
        <v>1920</v>
      </c>
      <c r="D1606" s="361">
        <v>24</v>
      </c>
      <c r="E1606" s="364"/>
      <c r="F1606" s="361" t="s">
        <v>1921</v>
      </c>
      <c r="T1606" s="361">
        <v>0.26538</v>
      </c>
    </row>
    <row r="1607" spans="1:20" x14ac:dyDescent="0.25">
      <c r="A1607" s="364" t="s">
        <v>4329</v>
      </c>
      <c r="B1607" s="361" t="s">
        <v>4330</v>
      </c>
      <c r="C1607" t="s">
        <v>1920</v>
      </c>
      <c r="D1607" s="361">
        <v>24</v>
      </c>
      <c r="E1607" s="364"/>
      <c r="F1607" s="361" t="s">
        <v>1921</v>
      </c>
      <c r="T1607" s="361">
        <v>0.64088000000000001</v>
      </c>
    </row>
    <row r="1608" spans="1:20" x14ac:dyDescent="0.25">
      <c r="A1608" s="364" t="s">
        <v>4331</v>
      </c>
      <c r="B1608" s="361" t="s">
        <v>4332</v>
      </c>
      <c r="C1608" t="s">
        <v>1920</v>
      </c>
      <c r="D1608" s="361">
        <v>15</v>
      </c>
      <c r="E1608" s="364"/>
      <c r="F1608" s="361" t="s">
        <v>1917</v>
      </c>
      <c r="T1608" s="361">
        <v>49.6</v>
      </c>
    </row>
    <row r="1609" spans="1:20" x14ac:dyDescent="0.25">
      <c r="A1609" s="364" t="s">
        <v>4333</v>
      </c>
      <c r="B1609" s="361" t="s">
        <v>4334</v>
      </c>
      <c r="C1609" t="s">
        <v>1920</v>
      </c>
      <c r="D1609" s="361">
        <v>11</v>
      </c>
      <c r="E1609" s="364"/>
      <c r="F1609" s="361" t="s">
        <v>1921</v>
      </c>
      <c r="T1609" s="361">
        <v>0.36</v>
      </c>
    </row>
    <row r="1610" spans="1:20" x14ac:dyDescent="0.25">
      <c r="A1610" s="364" t="s">
        <v>4335</v>
      </c>
      <c r="B1610" s="361" t="s">
        <v>4336</v>
      </c>
      <c r="C1610" t="s">
        <v>1920</v>
      </c>
      <c r="D1610" s="361">
        <v>24</v>
      </c>
      <c r="E1610" s="364"/>
      <c r="F1610" s="361" t="s">
        <v>1921</v>
      </c>
      <c r="T1610" s="361">
        <v>0.31536999999999998</v>
      </c>
    </row>
    <row r="1611" spans="1:20" x14ac:dyDescent="0.25">
      <c r="A1611" s="364" t="s">
        <v>4337</v>
      </c>
      <c r="B1611" s="361" t="s">
        <v>4338</v>
      </c>
      <c r="C1611" t="s">
        <v>1920</v>
      </c>
      <c r="D1611" s="361">
        <v>15</v>
      </c>
      <c r="E1611" s="364"/>
      <c r="F1611" s="361" t="s">
        <v>1917</v>
      </c>
      <c r="T1611" s="361">
        <v>39.4</v>
      </c>
    </row>
    <row r="1612" spans="1:20" x14ac:dyDescent="0.25">
      <c r="A1612" s="364" t="s">
        <v>4339</v>
      </c>
      <c r="B1612" s="361" t="s">
        <v>4340</v>
      </c>
      <c r="C1612" t="s">
        <v>1920</v>
      </c>
      <c r="D1612" s="361">
        <v>24</v>
      </c>
      <c r="E1612" s="364"/>
      <c r="F1612" s="361" t="s">
        <v>1921</v>
      </c>
      <c r="T1612" s="361">
        <v>0.47448000000000001</v>
      </c>
    </row>
    <row r="1613" spans="1:20" x14ac:dyDescent="0.25">
      <c r="A1613" s="364" t="s">
        <v>4341</v>
      </c>
      <c r="B1613" s="361" t="s">
        <v>4342</v>
      </c>
      <c r="C1613" t="s">
        <v>1920</v>
      </c>
      <c r="D1613" s="361">
        <v>15</v>
      </c>
      <c r="E1613" s="364"/>
      <c r="F1613" s="361" t="s">
        <v>1917</v>
      </c>
      <c r="T1613" s="361">
        <v>49.6</v>
      </c>
    </row>
    <row r="1614" spans="1:20" x14ac:dyDescent="0.25">
      <c r="A1614" s="364" t="s">
        <v>4343</v>
      </c>
      <c r="B1614" s="361" t="s">
        <v>4344</v>
      </c>
      <c r="C1614" t="s">
        <v>1920</v>
      </c>
      <c r="D1614" s="361">
        <v>24</v>
      </c>
      <c r="E1614" s="364"/>
      <c r="F1614" s="361" t="s">
        <v>1921</v>
      </c>
      <c r="T1614" s="361">
        <v>0.28771999999999998</v>
      </c>
    </row>
    <row r="1615" spans="1:20" x14ac:dyDescent="0.25">
      <c r="A1615" s="364" t="s">
        <v>4345</v>
      </c>
      <c r="B1615" s="361" t="s">
        <v>4346</v>
      </c>
      <c r="C1615" t="s">
        <v>1920</v>
      </c>
      <c r="D1615" s="361">
        <v>15</v>
      </c>
      <c r="E1615" s="364"/>
      <c r="F1615" s="361" t="s">
        <v>1917</v>
      </c>
      <c r="T1615" s="361">
        <v>49.6</v>
      </c>
    </row>
    <row r="1616" spans="1:20" x14ac:dyDescent="0.25">
      <c r="A1616" s="364" t="s">
        <v>4347</v>
      </c>
      <c r="B1616" s="361" t="s">
        <v>4348</v>
      </c>
      <c r="C1616" t="s">
        <v>1920</v>
      </c>
      <c r="D1616" s="361">
        <v>24</v>
      </c>
      <c r="E1616" s="364"/>
      <c r="F1616" s="361" t="s">
        <v>1921</v>
      </c>
      <c r="T1616" s="361">
        <v>0.29499999999999998</v>
      </c>
    </row>
    <row r="1617" spans="1:20" x14ac:dyDescent="0.25">
      <c r="A1617" s="364" t="s">
        <v>4349</v>
      </c>
      <c r="B1617" s="361" t="s">
        <v>4350</v>
      </c>
      <c r="C1617" t="s">
        <v>1920</v>
      </c>
      <c r="D1617" s="361">
        <v>15</v>
      </c>
      <c r="E1617" s="364"/>
      <c r="F1617" s="361" t="s">
        <v>1917</v>
      </c>
      <c r="T1617" s="361">
        <v>49.6</v>
      </c>
    </row>
    <row r="1618" spans="1:20" x14ac:dyDescent="0.25">
      <c r="A1618" s="364" t="s">
        <v>4351</v>
      </c>
      <c r="B1618" s="361" t="s">
        <v>4352</v>
      </c>
      <c r="C1618" t="s">
        <v>1920</v>
      </c>
      <c r="D1618" s="361">
        <v>24</v>
      </c>
      <c r="E1618" s="364"/>
      <c r="F1618" s="361" t="s">
        <v>1921</v>
      </c>
      <c r="T1618" s="361">
        <v>0.22509000000000001</v>
      </c>
    </row>
    <row r="1619" spans="1:20" x14ac:dyDescent="0.25">
      <c r="A1619" s="364" t="s">
        <v>4353</v>
      </c>
      <c r="B1619" s="361" t="s">
        <v>4354</v>
      </c>
      <c r="C1619" t="s">
        <v>1920</v>
      </c>
      <c r="D1619" s="361">
        <v>15</v>
      </c>
      <c r="E1619" s="364"/>
      <c r="F1619" s="361" t="s">
        <v>1917</v>
      </c>
      <c r="T1619" s="361">
        <v>52.08</v>
      </c>
    </row>
    <row r="1620" spans="1:20" x14ac:dyDescent="0.25">
      <c r="A1620" s="364" t="s">
        <v>4355</v>
      </c>
      <c r="B1620" s="361" t="s">
        <v>4356</v>
      </c>
      <c r="C1620" t="s">
        <v>1920</v>
      </c>
      <c r="D1620" s="361">
        <v>24</v>
      </c>
      <c r="E1620" s="364"/>
      <c r="F1620" s="361" t="s">
        <v>1921</v>
      </c>
      <c r="T1620" s="361">
        <v>0.23064999999999999</v>
      </c>
    </row>
    <row r="1621" spans="1:20" x14ac:dyDescent="0.25">
      <c r="A1621" s="364" t="s">
        <v>4357</v>
      </c>
      <c r="B1621" s="361" t="s">
        <v>4358</v>
      </c>
      <c r="C1621" t="s">
        <v>1920</v>
      </c>
      <c r="D1621" s="361">
        <v>15</v>
      </c>
      <c r="E1621" s="364"/>
      <c r="F1621" s="361" t="s">
        <v>1917</v>
      </c>
      <c r="T1621" s="361">
        <v>49.6</v>
      </c>
    </row>
    <row r="1622" spans="1:20" x14ac:dyDescent="0.25">
      <c r="A1622" s="364" t="s">
        <v>4359</v>
      </c>
      <c r="B1622" s="361" t="s">
        <v>4360</v>
      </c>
      <c r="C1622" t="s">
        <v>1920</v>
      </c>
      <c r="D1622" s="361">
        <v>24</v>
      </c>
      <c r="E1622" s="364"/>
      <c r="F1622" s="361" t="s">
        <v>1921</v>
      </c>
      <c r="T1622" s="361">
        <v>0.17544999999999999</v>
      </c>
    </row>
    <row r="1623" spans="1:20" x14ac:dyDescent="0.25">
      <c r="A1623" s="364" t="s">
        <v>4361</v>
      </c>
      <c r="B1623" s="361" t="s">
        <v>4362</v>
      </c>
      <c r="C1623" t="s">
        <v>1920</v>
      </c>
      <c r="D1623" s="361">
        <v>24</v>
      </c>
      <c r="E1623" s="364"/>
      <c r="F1623" s="361" t="s">
        <v>1921</v>
      </c>
      <c r="T1623" s="361">
        <v>6.4000000000000001E-2</v>
      </c>
    </row>
    <row r="1624" spans="1:20" x14ac:dyDescent="0.25">
      <c r="A1624" s="364" t="s">
        <v>4363</v>
      </c>
      <c r="B1624" s="361" t="s">
        <v>4364</v>
      </c>
      <c r="C1624" t="s">
        <v>1920</v>
      </c>
      <c r="D1624" s="361">
        <v>15</v>
      </c>
      <c r="E1624" s="364"/>
      <c r="F1624" s="361" t="s">
        <v>1917</v>
      </c>
      <c r="T1624" s="361">
        <v>49.6</v>
      </c>
    </row>
    <row r="1625" spans="1:20" x14ac:dyDescent="0.25">
      <c r="A1625" s="364" t="s">
        <v>4365</v>
      </c>
      <c r="B1625" s="361" t="s">
        <v>4366</v>
      </c>
      <c r="C1625" t="s">
        <v>1920</v>
      </c>
      <c r="D1625" s="361">
        <v>50</v>
      </c>
      <c r="E1625" s="364"/>
      <c r="F1625" s="361" t="s">
        <v>1921</v>
      </c>
      <c r="T1625" s="361">
        <v>0.70830000000000004</v>
      </c>
    </row>
    <row r="1626" spans="1:20" x14ac:dyDescent="0.25">
      <c r="A1626" s="364" t="s">
        <v>4367</v>
      </c>
      <c r="B1626" s="361" t="s">
        <v>4368</v>
      </c>
      <c r="C1626" t="s">
        <v>1920</v>
      </c>
      <c r="D1626" s="361">
        <v>24</v>
      </c>
      <c r="E1626" s="364"/>
      <c r="F1626" s="361" t="s">
        <v>1921</v>
      </c>
      <c r="T1626" s="361">
        <v>6.0019999999999997E-2</v>
      </c>
    </row>
    <row r="1627" spans="1:20" x14ac:dyDescent="0.25">
      <c r="A1627" s="364" t="s">
        <v>4369</v>
      </c>
      <c r="B1627" s="361" t="s">
        <v>4370</v>
      </c>
      <c r="C1627" t="s">
        <v>1920</v>
      </c>
      <c r="D1627" s="361">
        <v>15</v>
      </c>
      <c r="E1627" s="364"/>
      <c r="F1627" s="361" t="s">
        <v>1917</v>
      </c>
      <c r="T1627" s="361">
        <v>37.299999999999997</v>
      </c>
    </row>
    <row r="1628" spans="1:20" x14ac:dyDescent="0.25">
      <c r="A1628" s="364" t="s">
        <v>4371</v>
      </c>
      <c r="B1628" s="361" t="s">
        <v>4372</v>
      </c>
      <c r="C1628" t="s">
        <v>1920</v>
      </c>
      <c r="D1628" s="361">
        <v>24</v>
      </c>
      <c r="E1628" s="364"/>
      <c r="F1628" s="361" t="s">
        <v>1921</v>
      </c>
      <c r="T1628" s="361">
        <v>6.5530000000000005E-2</v>
      </c>
    </row>
    <row r="1629" spans="1:20" x14ac:dyDescent="0.25">
      <c r="A1629" s="364" t="s">
        <v>4373</v>
      </c>
      <c r="B1629" s="361" t="s">
        <v>4374</v>
      </c>
      <c r="C1629" t="s">
        <v>1920</v>
      </c>
      <c r="D1629" s="361">
        <v>15</v>
      </c>
      <c r="E1629" s="364"/>
      <c r="F1629" s="361" t="s">
        <v>1917</v>
      </c>
      <c r="T1629" s="361">
        <v>37.299999999999997</v>
      </c>
    </row>
    <row r="1630" spans="1:20" x14ac:dyDescent="0.25">
      <c r="A1630" s="364" t="s">
        <v>4375</v>
      </c>
      <c r="B1630" s="361" t="s">
        <v>4376</v>
      </c>
      <c r="C1630" t="s">
        <v>1920</v>
      </c>
      <c r="D1630" s="361">
        <v>15</v>
      </c>
      <c r="E1630" s="364"/>
      <c r="F1630" s="361" t="s">
        <v>1917</v>
      </c>
      <c r="T1630" s="361">
        <v>49.6</v>
      </c>
    </row>
    <row r="1631" spans="1:20" x14ac:dyDescent="0.25">
      <c r="A1631" s="364" t="s">
        <v>4377</v>
      </c>
      <c r="B1631" s="361" t="s">
        <v>4378</v>
      </c>
      <c r="C1631" t="s">
        <v>1920</v>
      </c>
      <c r="D1631" s="361">
        <v>24</v>
      </c>
      <c r="E1631" s="364"/>
      <c r="F1631" s="361" t="s">
        <v>1921</v>
      </c>
      <c r="T1631" s="361">
        <v>0.10588</v>
      </c>
    </row>
    <row r="1632" spans="1:20" x14ac:dyDescent="0.25">
      <c r="A1632" s="364" t="s">
        <v>4379</v>
      </c>
      <c r="B1632" s="361" t="s">
        <v>4380</v>
      </c>
      <c r="C1632" t="s">
        <v>1920</v>
      </c>
      <c r="D1632" s="361">
        <v>24</v>
      </c>
      <c r="E1632" s="364"/>
      <c r="F1632" s="361" t="s">
        <v>1921</v>
      </c>
      <c r="T1632" s="361">
        <v>9.9379999999999996E-2</v>
      </c>
    </row>
    <row r="1633" spans="1:20" x14ac:dyDescent="0.25">
      <c r="A1633" s="364" t="s">
        <v>4381</v>
      </c>
      <c r="B1633" s="361" t="s">
        <v>4382</v>
      </c>
      <c r="C1633" t="s">
        <v>1920</v>
      </c>
      <c r="D1633" s="361">
        <v>15</v>
      </c>
      <c r="E1633" s="364"/>
      <c r="F1633" s="361" t="s">
        <v>1917</v>
      </c>
      <c r="T1633" s="361">
        <v>26.4</v>
      </c>
    </row>
    <row r="1634" spans="1:20" x14ac:dyDescent="0.25">
      <c r="A1634" s="364" t="s">
        <v>4383</v>
      </c>
      <c r="B1634" s="361" t="s">
        <v>4384</v>
      </c>
      <c r="C1634" t="s">
        <v>1920</v>
      </c>
      <c r="D1634" s="361">
        <v>24</v>
      </c>
      <c r="E1634" s="364"/>
      <c r="F1634" s="361" t="s">
        <v>1921</v>
      </c>
      <c r="T1634" s="361">
        <v>0.14857999999999999</v>
      </c>
    </row>
    <row r="1635" spans="1:20" x14ac:dyDescent="0.25">
      <c r="A1635" s="364" t="s">
        <v>4385</v>
      </c>
      <c r="B1635" s="361" t="s">
        <v>4386</v>
      </c>
      <c r="C1635" t="s">
        <v>1920</v>
      </c>
      <c r="D1635" s="361">
        <v>15</v>
      </c>
      <c r="E1635" s="364"/>
      <c r="F1635" s="361" t="s">
        <v>1917</v>
      </c>
      <c r="T1635" s="361">
        <v>49.6</v>
      </c>
    </row>
    <row r="1636" spans="1:20" x14ac:dyDescent="0.25">
      <c r="A1636" s="364" t="s">
        <v>4387</v>
      </c>
      <c r="B1636" s="361" t="s">
        <v>4388</v>
      </c>
      <c r="C1636" t="s">
        <v>1920</v>
      </c>
      <c r="D1636" s="361">
        <v>24</v>
      </c>
      <c r="E1636" s="364"/>
      <c r="F1636" s="361" t="s">
        <v>1921</v>
      </c>
      <c r="T1636" s="361">
        <v>0.16925000000000001</v>
      </c>
    </row>
    <row r="1637" spans="1:20" x14ac:dyDescent="0.25">
      <c r="A1637" s="364" t="s">
        <v>4389</v>
      </c>
      <c r="B1637" s="361" t="s">
        <v>4390</v>
      </c>
      <c r="C1637" t="s">
        <v>1920</v>
      </c>
      <c r="D1637" s="361">
        <v>15</v>
      </c>
      <c r="E1637" s="364"/>
      <c r="F1637" s="361" t="s">
        <v>1917</v>
      </c>
      <c r="T1637" s="361">
        <v>39.4</v>
      </c>
    </row>
    <row r="1638" spans="1:20" x14ac:dyDescent="0.25">
      <c r="A1638" s="364" t="s">
        <v>4391</v>
      </c>
      <c r="B1638" s="361" t="s">
        <v>4392</v>
      </c>
      <c r="C1638" t="s">
        <v>1920</v>
      </c>
      <c r="D1638" s="361">
        <v>24</v>
      </c>
      <c r="E1638" s="364"/>
      <c r="F1638" s="361" t="s">
        <v>1921</v>
      </c>
      <c r="T1638" s="361">
        <v>0.20221</v>
      </c>
    </row>
    <row r="1639" spans="1:20" x14ac:dyDescent="0.25">
      <c r="A1639" s="364" t="s">
        <v>4393</v>
      </c>
      <c r="B1639" s="361" t="s">
        <v>4394</v>
      </c>
      <c r="C1639" t="s">
        <v>1920</v>
      </c>
      <c r="D1639" s="361">
        <v>15</v>
      </c>
      <c r="E1639" s="364"/>
      <c r="F1639" s="361" t="s">
        <v>1917</v>
      </c>
      <c r="T1639" s="361">
        <v>49.6</v>
      </c>
    </row>
    <row r="1640" spans="1:20" x14ac:dyDescent="0.25">
      <c r="A1640" s="364" t="s">
        <v>4395</v>
      </c>
      <c r="B1640" s="361" t="s">
        <v>4396</v>
      </c>
      <c r="C1640" t="s">
        <v>1920</v>
      </c>
      <c r="D1640" s="361">
        <v>24</v>
      </c>
      <c r="E1640" s="364"/>
      <c r="F1640" s="361" t="s">
        <v>1921</v>
      </c>
      <c r="T1640" s="361">
        <v>0.13553999999999999</v>
      </c>
    </row>
    <row r="1641" spans="1:20" x14ac:dyDescent="0.25">
      <c r="A1641" s="364" t="s">
        <v>4397</v>
      </c>
      <c r="B1641" s="361" t="s">
        <v>4398</v>
      </c>
      <c r="C1641" t="s">
        <v>1920</v>
      </c>
      <c r="D1641" s="361">
        <v>15</v>
      </c>
      <c r="E1641" s="364"/>
      <c r="F1641" s="361" t="s">
        <v>1917</v>
      </c>
      <c r="T1641" s="361">
        <v>39.4</v>
      </c>
    </row>
    <row r="1642" spans="1:20" x14ac:dyDescent="0.25">
      <c r="A1642" s="364" t="s">
        <v>4399</v>
      </c>
      <c r="B1642" s="361" t="s">
        <v>4400</v>
      </c>
      <c r="C1642" t="s">
        <v>1920</v>
      </c>
      <c r="D1642" s="361">
        <v>24</v>
      </c>
      <c r="E1642" s="364"/>
      <c r="F1642" s="361" t="s">
        <v>1921</v>
      </c>
      <c r="T1642" s="361">
        <v>0.39123999999999998</v>
      </c>
    </row>
    <row r="1643" spans="1:20" x14ac:dyDescent="0.25">
      <c r="A1643" s="364" t="s">
        <v>4401</v>
      </c>
      <c r="B1643" s="361" t="s">
        <v>4402</v>
      </c>
      <c r="C1643" t="s">
        <v>1920</v>
      </c>
      <c r="D1643" s="361">
        <v>15</v>
      </c>
      <c r="E1643" s="364"/>
      <c r="F1643" s="361" t="s">
        <v>1917</v>
      </c>
      <c r="T1643" s="361">
        <v>49.6</v>
      </c>
    </row>
    <row r="1644" spans="1:20" x14ac:dyDescent="0.25">
      <c r="A1644" s="364" t="s">
        <v>4403</v>
      </c>
      <c r="B1644" s="361" t="s">
        <v>4404</v>
      </c>
      <c r="C1644" t="s">
        <v>1920</v>
      </c>
      <c r="D1644" s="361">
        <v>24</v>
      </c>
      <c r="E1644" s="364"/>
      <c r="F1644" s="361" t="s">
        <v>1921</v>
      </c>
      <c r="T1644" s="361">
        <v>0.11638999999999999</v>
      </c>
    </row>
    <row r="1645" spans="1:20" x14ac:dyDescent="0.25">
      <c r="A1645" s="364" t="s">
        <v>4405</v>
      </c>
      <c r="B1645" s="361" t="s">
        <v>4406</v>
      </c>
      <c r="C1645" t="s">
        <v>1920</v>
      </c>
      <c r="D1645" s="361">
        <v>59</v>
      </c>
      <c r="E1645" s="364"/>
      <c r="F1645" s="361" t="s">
        <v>1917</v>
      </c>
      <c r="T1645" s="361">
        <v>5.64</v>
      </c>
    </row>
    <row r="1646" spans="1:20" x14ac:dyDescent="0.25">
      <c r="A1646" s="364" t="s">
        <v>4407</v>
      </c>
      <c r="B1646" s="361" t="s">
        <v>4408</v>
      </c>
      <c r="C1646" t="s">
        <v>1920</v>
      </c>
      <c r="D1646" s="361">
        <v>59</v>
      </c>
      <c r="E1646" s="364"/>
      <c r="F1646" s="361" t="s">
        <v>1917</v>
      </c>
      <c r="T1646" s="361">
        <v>5.64</v>
      </c>
    </row>
    <row r="1647" spans="1:20" x14ac:dyDescent="0.25">
      <c r="A1647" s="364" t="s">
        <v>4409</v>
      </c>
      <c r="B1647" s="361" t="s">
        <v>4410</v>
      </c>
      <c r="C1647" t="s">
        <v>1920</v>
      </c>
      <c r="D1647" s="361">
        <v>59</v>
      </c>
      <c r="E1647" s="364"/>
      <c r="F1647" s="361" t="s">
        <v>1917</v>
      </c>
      <c r="T1647" s="361">
        <v>5.64</v>
      </c>
    </row>
    <row r="1648" spans="1:20" x14ac:dyDescent="0.25">
      <c r="A1648" s="364" t="s">
        <v>1065</v>
      </c>
      <c r="B1648" s="361" t="s">
        <v>1066</v>
      </c>
      <c r="C1648" t="s">
        <v>1916</v>
      </c>
      <c r="D1648" s="361">
        <v>2</v>
      </c>
      <c r="E1648" s="364"/>
      <c r="F1648" s="361" t="s">
        <v>1917</v>
      </c>
      <c r="T1648" s="361">
        <v>535</v>
      </c>
    </row>
    <row r="1649" spans="1:20" x14ac:dyDescent="0.25">
      <c r="A1649" s="364" t="s">
        <v>1067</v>
      </c>
      <c r="B1649" s="361" t="s">
        <v>1068</v>
      </c>
      <c r="C1649" t="s">
        <v>1916</v>
      </c>
      <c r="D1649" s="361">
        <v>2</v>
      </c>
      <c r="E1649" s="364"/>
      <c r="F1649" s="361" t="s">
        <v>1917</v>
      </c>
      <c r="T1649" s="361">
        <v>2415</v>
      </c>
    </row>
    <row r="1650" spans="1:20" x14ac:dyDescent="0.25">
      <c r="A1650" s="364" t="s">
        <v>4411</v>
      </c>
      <c r="B1650" s="361" t="s">
        <v>4412</v>
      </c>
      <c r="C1650" t="s">
        <v>1920</v>
      </c>
      <c r="D1650" s="361">
        <v>20</v>
      </c>
      <c r="E1650" s="364"/>
      <c r="F1650" s="361" t="s">
        <v>2201</v>
      </c>
      <c r="T1650" s="361">
        <v>57</v>
      </c>
    </row>
    <row r="1651" spans="1:20" x14ac:dyDescent="0.25">
      <c r="A1651" s="364" t="s">
        <v>4413</v>
      </c>
      <c r="B1651" s="361" t="s">
        <v>3555</v>
      </c>
      <c r="C1651" t="s">
        <v>1920</v>
      </c>
      <c r="D1651" s="361">
        <v>20</v>
      </c>
      <c r="E1651" s="364"/>
      <c r="F1651" s="361" t="s">
        <v>2201</v>
      </c>
      <c r="T1651" s="361">
        <v>57</v>
      </c>
    </row>
    <row r="1652" spans="1:20" x14ac:dyDescent="0.25">
      <c r="A1652" s="364" t="s">
        <v>4414</v>
      </c>
      <c r="B1652" s="361" t="s">
        <v>4415</v>
      </c>
      <c r="C1652" t="s">
        <v>1920</v>
      </c>
      <c r="D1652" s="361">
        <v>20</v>
      </c>
      <c r="E1652" s="364"/>
      <c r="F1652" s="361" t="s">
        <v>2201</v>
      </c>
      <c r="T1652" s="361">
        <v>57</v>
      </c>
    </row>
    <row r="1653" spans="1:20" x14ac:dyDescent="0.25">
      <c r="A1653" s="364" t="s">
        <v>4416</v>
      </c>
      <c r="B1653" s="361" t="s">
        <v>3397</v>
      </c>
      <c r="C1653" t="s">
        <v>1920</v>
      </c>
      <c r="D1653" s="361">
        <v>20</v>
      </c>
      <c r="E1653" s="364"/>
      <c r="F1653" s="361" t="s">
        <v>2201</v>
      </c>
      <c r="T1653" s="361">
        <v>57</v>
      </c>
    </row>
    <row r="1654" spans="1:20" x14ac:dyDescent="0.25">
      <c r="A1654" s="364" t="s">
        <v>4417</v>
      </c>
      <c r="B1654" s="361" t="s">
        <v>4418</v>
      </c>
      <c r="C1654" t="s">
        <v>1920</v>
      </c>
      <c r="D1654" s="361">
        <v>20</v>
      </c>
      <c r="E1654" s="364"/>
      <c r="F1654" s="361" t="s">
        <v>2201</v>
      </c>
      <c r="T1654" s="361">
        <v>52.2</v>
      </c>
    </row>
    <row r="1655" spans="1:20" x14ac:dyDescent="0.25">
      <c r="A1655" s="364" t="s">
        <v>4419</v>
      </c>
      <c r="B1655" s="361" t="s">
        <v>4420</v>
      </c>
      <c r="C1655" t="s">
        <v>1920</v>
      </c>
      <c r="D1655" s="361">
        <v>20</v>
      </c>
      <c r="E1655" s="364"/>
      <c r="F1655" s="361" t="s">
        <v>2201</v>
      </c>
      <c r="T1655" s="361">
        <v>52.2</v>
      </c>
    </row>
    <row r="1656" spans="1:20" x14ac:dyDescent="0.25">
      <c r="A1656" s="364" t="s">
        <v>4421</v>
      </c>
      <c r="B1656" s="361" t="s">
        <v>4422</v>
      </c>
      <c r="C1656" t="s">
        <v>1920</v>
      </c>
      <c r="D1656" s="361">
        <v>20</v>
      </c>
      <c r="E1656" s="364"/>
      <c r="F1656" s="361" t="s">
        <v>2201</v>
      </c>
      <c r="T1656" s="361">
        <v>52.2</v>
      </c>
    </row>
    <row r="1657" spans="1:20" x14ac:dyDescent="0.25">
      <c r="A1657" s="364" t="s">
        <v>4423</v>
      </c>
      <c r="B1657" s="361" t="s">
        <v>4424</v>
      </c>
      <c r="C1657" t="s">
        <v>1920</v>
      </c>
      <c r="D1657" s="361">
        <v>15</v>
      </c>
      <c r="E1657" s="364"/>
      <c r="F1657" s="361" t="s">
        <v>1917</v>
      </c>
      <c r="T1657" s="361">
        <v>16.45</v>
      </c>
    </row>
    <row r="1658" spans="1:20" x14ac:dyDescent="0.25">
      <c r="A1658" s="364" t="s">
        <v>4425</v>
      </c>
      <c r="B1658" s="361" t="s">
        <v>4426</v>
      </c>
      <c r="C1658" t="s">
        <v>1920</v>
      </c>
      <c r="D1658" s="361">
        <v>24</v>
      </c>
      <c r="E1658" s="364"/>
      <c r="F1658" s="361" t="s">
        <v>1921</v>
      </c>
      <c r="T1658" s="361">
        <v>0.19877</v>
      </c>
    </row>
    <row r="1659" spans="1:20" x14ac:dyDescent="0.25">
      <c r="A1659" s="364" t="s">
        <v>4427</v>
      </c>
      <c r="B1659" s="361" t="s">
        <v>4428</v>
      </c>
      <c r="C1659" t="s">
        <v>1920</v>
      </c>
      <c r="D1659" s="361">
        <v>20</v>
      </c>
      <c r="E1659" s="364"/>
      <c r="F1659" s="361" t="s">
        <v>2201</v>
      </c>
      <c r="T1659" s="361">
        <v>48.8</v>
      </c>
    </row>
    <row r="1660" spans="1:20" x14ac:dyDescent="0.25">
      <c r="A1660" s="364" t="s">
        <v>4429</v>
      </c>
      <c r="B1660" s="361" t="s">
        <v>4430</v>
      </c>
      <c r="C1660" t="s">
        <v>1920</v>
      </c>
      <c r="D1660" s="361">
        <v>20</v>
      </c>
      <c r="E1660" s="364"/>
      <c r="F1660" s="361" t="s">
        <v>2201</v>
      </c>
      <c r="T1660" s="361">
        <v>52.2</v>
      </c>
    </row>
    <row r="1661" spans="1:20" x14ac:dyDescent="0.25">
      <c r="A1661" s="364" t="s">
        <v>4431</v>
      </c>
      <c r="B1661" s="361" t="s">
        <v>4432</v>
      </c>
      <c r="C1661" t="s">
        <v>1920</v>
      </c>
      <c r="D1661" s="361">
        <v>20</v>
      </c>
      <c r="E1661" s="364"/>
      <c r="F1661" s="361" t="s">
        <v>2201</v>
      </c>
      <c r="T1661" s="361">
        <v>229.6</v>
      </c>
    </row>
    <row r="1662" spans="1:20" x14ac:dyDescent="0.25">
      <c r="A1662" s="364" t="s">
        <v>4433</v>
      </c>
      <c r="B1662" s="361" t="s">
        <v>4434</v>
      </c>
      <c r="C1662" t="s">
        <v>1920</v>
      </c>
      <c r="D1662" s="361">
        <v>20</v>
      </c>
      <c r="E1662" s="364"/>
      <c r="F1662" s="361" t="s">
        <v>2201</v>
      </c>
      <c r="T1662" s="361">
        <v>52.2</v>
      </c>
    </row>
    <row r="1663" spans="1:20" x14ac:dyDescent="0.25">
      <c r="A1663" s="364" t="s">
        <v>4435</v>
      </c>
      <c r="B1663" s="361" t="s">
        <v>4436</v>
      </c>
      <c r="C1663" t="s">
        <v>1920</v>
      </c>
      <c r="D1663" s="361">
        <v>20</v>
      </c>
      <c r="E1663" s="364"/>
      <c r="F1663" s="361" t="s">
        <v>2201</v>
      </c>
      <c r="T1663" s="361">
        <v>52.2</v>
      </c>
    </row>
    <row r="1664" spans="1:20" x14ac:dyDescent="0.25">
      <c r="A1664" s="364" t="s">
        <v>4437</v>
      </c>
      <c r="B1664" s="361" t="s">
        <v>4438</v>
      </c>
      <c r="C1664" t="s">
        <v>1920</v>
      </c>
      <c r="D1664" s="361">
        <v>20</v>
      </c>
      <c r="E1664" s="364"/>
      <c r="F1664" s="361" t="s">
        <v>2201</v>
      </c>
      <c r="T1664" s="361">
        <v>428.33</v>
      </c>
    </row>
    <row r="1665" spans="1:20" x14ac:dyDescent="0.25">
      <c r="A1665" s="364" t="s">
        <v>4439</v>
      </c>
      <c r="B1665" s="361" t="s">
        <v>4440</v>
      </c>
      <c r="C1665" t="s">
        <v>1920</v>
      </c>
      <c r="D1665" s="361">
        <v>20</v>
      </c>
      <c r="E1665" s="364"/>
      <c r="F1665" s="361" t="s">
        <v>1921</v>
      </c>
      <c r="T1665" s="361">
        <v>3.2300000000000002E-2</v>
      </c>
    </row>
    <row r="1666" spans="1:20" x14ac:dyDescent="0.25">
      <c r="A1666" s="364" t="s">
        <v>4441</v>
      </c>
      <c r="B1666" s="361" t="s">
        <v>4442</v>
      </c>
      <c r="C1666" t="s">
        <v>1920</v>
      </c>
      <c r="D1666" s="361">
        <v>20</v>
      </c>
      <c r="E1666" s="364"/>
      <c r="F1666" s="361" t="s">
        <v>1921</v>
      </c>
      <c r="T1666" s="361">
        <v>3.2300000000000002E-2</v>
      </c>
    </row>
    <row r="1667" spans="1:20" x14ac:dyDescent="0.25">
      <c r="A1667" s="364" t="s">
        <v>4443</v>
      </c>
      <c r="B1667" s="361" t="s">
        <v>4444</v>
      </c>
      <c r="C1667" t="s">
        <v>1920</v>
      </c>
      <c r="D1667" s="361">
        <v>20</v>
      </c>
      <c r="E1667" s="364"/>
      <c r="F1667" s="361" t="s">
        <v>1921</v>
      </c>
      <c r="T1667" s="361">
        <v>3.2300000000000002E-2</v>
      </c>
    </row>
    <row r="1668" spans="1:20" x14ac:dyDescent="0.25">
      <c r="A1668" s="364" t="s">
        <v>4445</v>
      </c>
      <c r="B1668" s="361" t="s">
        <v>4446</v>
      </c>
      <c r="C1668" t="s">
        <v>1920</v>
      </c>
      <c r="D1668" s="361">
        <v>24</v>
      </c>
      <c r="E1668" s="364"/>
      <c r="F1668" s="361" t="s">
        <v>1921</v>
      </c>
      <c r="T1668" s="361">
        <v>0.11070000000000001</v>
      </c>
    </row>
    <row r="1669" spans="1:20" x14ac:dyDescent="0.25">
      <c r="A1669" s="364" t="s">
        <v>4447</v>
      </c>
      <c r="B1669" s="361" t="s">
        <v>4448</v>
      </c>
      <c r="C1669" t="s">
        <v>1920</v>
      </c>
      <c r="D1669" s="361">
        <v>24</v>
      </c>
      <c r="E1669" s="364"/>
      <c r="F1669" s="361" t="s">
        <v>1921</v>
      </c>
      <c r="T1669" s="361">
        <v>0.13555</v>
      </c>
    </row>
    <row r="1670" spans="1:20" x14ac:dyDescent="0.25">
      <c r="A1670" s="364" t="s">
        <v>4449</v>
      </c>
      <c r="B1670" s="361" t="s">
        <v>4450</v>
      </c>
      <c r="C1670" t="s">
        <v>1920</v>
      </c>
      <c r="D1670" s="361">
        <v>20</v>
      </c>
      <c r="E1670" s="364"/>
      <c r="F1670" s="361" t="s">
        <v>2201</v>
      </c>
      <c r="T1670" s="361">
        <v>48.8</v>
      </c>
    </row>
    <row r="1671" spans="1:20" x14ac:dyDescent="0.25">
      <c r="A1671" s="364" t="s">
        <v>4451</v>
      </c>
      <c r="B1671" s="361" t="s">
        <v>4452</v>
      </c>
      <c r="C1671" t="s">
        <v>1920</v>
      </c>
      <c r="D1671" s="361">
        <v>20</v>
      </c>
      <c r="E1671" s="364"/>
      <c r="F1671" s="361" t="s">
        <v>2201</v>
      </c>
      <c r="T1671" s="361">
        <v>52.2</v>
      </c>
    </row>
    <row r="1672" spans="1:20" x14ac:dyDescent="0.25">
      <c r="A1672" s="364" t="s">
        <v>4453</v>
      </c>
      <c r="B1672" s="361" t="s">
        <v>4454</v>
      </c>
      <c r="C1672" t="s">
        <v>1920</v>
      </c>
      <c r="D1672" s="361">
        <v>20</v>
      </c>
      <c r="E1672" s="364"/>
      <c r="F1672" s="361" t="s">
        <v>1921</v>
      </c>
      <c r="T1672" s="361">
        <v>8.7400000000000005E-2</v>
      </c>
    </row>
    <row r="1673" spans="1:20" x14ac:dyDescent="0.25">
      <c r="A1673" s="364" t="s">
        <v>4455</v>
      </c>
      <c r="B1673" s="361" t="s">
        <v>4456</v>
      </c>
      <c r="C1673" t="s">
        <v>1920</v>
      </c>
      <c r="D1673" s="361">
        <v>20</v>
      </c>
      <c r="E1673" s="364"/>
      <c r="F1673" s="361" t="s">
        <v>1921</v>
      </c>
      <c r="T1673" s="361">
        <v>5.1180000000000003E-2</v>
      </c>
    </row>
    <row r="1674" spans="1:20" x14ac:dyDescent="0.25">
      <c r="A1674" s="364" t="s">
        <v>4457</v>
      </c>
      <c r="B1674" s="361" t="s">
        <v>4458</v>
      </c>
      <c r="C1674" t="s">
        <v>1920</v>
      </c>
      <c r="D1674" s="361">
        <v>20</v>
      </c>
      <c r="E1674" s="364"/>
      <c r="F1674" s="361" t="s">
        <v>1921</v>
      </c>
      <c r="T1674" s="361">
        <v>5.1180000000000003E-2</v>
      </c>
    </row>
    <row r="1675" spans="1:20" x14ac:dyDescent="0.25">
      <c r="A1675" s="364" t="s">
        <v>4459</v>
      </c>
      <c r="B1675" s="361" t="s">
        <v>4460</v>
      </c>
      <c r="C1675">
        <v>2</v>
      </c>
      <c r="D1675" s="361">
        <v>97</v>
      </c>
      <c r="E1675" s="364"/>
      <c r="F1675" s="361" t="s">
        <v>1921</v>
      </c>
      <c r="T1675" s="361">
        <v>96</v>
      </c>
    </row>
    <row r="1676" spans="1:20" x14ac:dyDescent="0.25">
      <c r="A1676" s="364" t="s">
        <v>1069</v>
      </c>
      <c r="B1676" s="361" t="s">
        <v>1070</v>
      </c>
      <c r="C1676" t="s">
        <v>1916</v>
      </c>
      <c r="D1676" s="361">
        <v>2</v>
      </c>
      <c r="E1676" s="364"/>
      <c r="F1676" s="361" t="s">
        <v>1917</v>
      </c>
      <c r="T1676" s="361">
        <v>507.5</v>
      </c>
    </row>
    <row r="1677" spans="1:20" x14ac:dyDescent="0.25">
      <c r="A1677" s="364" t="s">
        <v>1071</v>
      </c>
      <c r="B1677" s="361" t="s">
        <v>1072</v>
      </c>
      <c r="C1677" t="s">
        <v>1922</v>
      </c>
      <c r="D1677" s="361">
        <v>1</v>
      </c>
      <c r="E1677" s="364"/>
      <c r="F1677" s="361" t="s">
        <v>1917</v>
      </c>
      <c r="T1677" s="361">
        <v>94.6</v>
      </c>
    </row>
    <row r="1678" spans="1:20" x14ac:dyDescent="0.25">
      <c r="A1678" s="364" t="s">
        <v>4461</v>
      </c>
      <c r="B1678" s="361" t="s">
        <v>4462</v>
      </c>
      <c r="C1678" t="s">
        <v>1920</v>
      </c>
      <c r="D1678" s="361">
        <v>20</v>
      </c>
      <c r="E1678" s="364"/>
      <c r="F1678" s="361" t="s">
        <v>2201</v>
      </c>
      <c r="T1678" s="361">
        <v>503.71</v>
      </c>
    </row>
    <row r="1679" spans="1:20" x14ac:dyDescent="0.25">
      <c r="A1679" s="364" t="s">
        <v>4463</v>
      </c>
      <c r="B1679" s="361" t="s">
        <v>4464</v>
      </c>
      <c r="C1679" t="s">
        <v>1920</v>
      </c>
      <c r="D1679" s="361">
        <v>20</v>
      </c>
      <c r="E1679" s="364"/>
      <c r="F1679" s="361" t="s">
        <v>2201</v>
      </c>
      <c r="T1679" s="361">
        <v>357.31</v>
      </c>
    </row>
    <row r="1680" spans="1:20" x14ac:dyDescent="0.25">
      <c r="A1680" s="364" t="s">
        <v>4465</v>
      </c>
      <c r="B1680" s="361" t="s">
        <v>4466</v>
      </c>
      <c r="C1680" t="s">
        <v>1920</v>
      </c>
      <c r="D1680" s="361">
        <v>50</v>
      </c>
      <c r="E1680" s="364"/>
      <c r="F1680" s="361" t="s">
        <v>2201</v>
      </c>
      <c r="T1680" s="361">
        <v>490.33</v>
      </c>
    </row>
    <row r="1681" spans="1:20" x14ac:dyDescent="0.25">
      <c r="A1681" s="364" t="s">
        <v>4467</v>
      </c>
      <c r="B1681" s="361" t="s">
        <v>4468</v>
      </c>
      <c r="C1681" t="s">
        <v>1920</v>
      </c>
      <c r="D1681" s="361">
        <v>16</v>
      </c>
      <c r="E1681" s="364"/>
      <c r="F1681" s="361" t="s">
        <v>1917</v>
      </c>
      <c r="T1681" s="361">
        <v>5.6</v>
      </c>
    </row>
    <row r="1682" spans="1:20" x14ac:dyDescent="0.25">
      <c r="A1682" s="364" t="s">
        <v>4469</v>
      </c>
      <c r="B1682" s="361" t="s">
        <v>4470</v>
      </c>
      <c r="C1682">
        <v>2</v>
      </c>
      <c r="D1682" s="361">
        <v>97</v>
      </c>
      <c r="E1682" s="364"/>
      <c r="F1682" s="361" t="s">
        <v>1921</v>
      </c>
      <c r="T1682" s="361">
        <v>3.4000000000000002E-2</v>
      </c>
    </row>
    <row r="1683" spans="1:20" x14ac:dyDescent="0.25">
      <c r="A1683" s="364" t="s">
        <v>4471</v>
      </c>
      <c r="B1683" s="361" t="s">
        <v>4472</v>
      </c>
      <c r="C1683">
        <v>2</v>
      </c>
      <c r="D1683" s="361">
        <v>97</v>
      </c>
      <c r="E1683" s="364"/>
      <c r="F1683" s="361" t="s">
        <v>1921</v>
      </c>
      <c r="T1683" s="361">
        <v>3.4000000000000002E-2</v>
      </c>
    </row>
    <row r="1684" spans="1:20" x14ac:dyDescent="0.25">
      <c r="A1684" s="364" t="s">
        <v>4473</v>
      </c>
      <c r="B1684" s="361" t="s">
        <v>4474</v>
      </c>
      <c r="C1684">
        <v>2</v>
      </c>
      <c r="D1684" s="361">
        <v>97</v>
      </c>
      <c r="E1684" s="364"/>
      <c r="F1684" s="361" t="s">
        <v>1921</v>
      </c>
      <c r="T1684" s="361">
        <v>3.4000000000000002E-2</v>
      </c>
    </row>
    <row r="1685" spans="1:20" x14ac:dyDescent="0.25">
      <c r="A1685" s="364" t="s">
        <v>4475</v>
      </c>
      <c r="B1685" s="361" t="s">
        <v>4476</v>
      </c>
      <c r="C1685" t="s">
        <v>1920</v>
      </c>
      <c r="D1685" s="361">
        <v>27</v>
      </c>
      <c r="E1685" s="364"/>
      <c r="F1685" s="361" t="s">
        <v>1921</v>
      </c>
      <c r="T1685" s="361">
        <v>0.66500000000000004</v>
      </c>
    </row>
    <row r="1686" spans="1:20" x14ac:dyDescent="0.25">
      <c r="A1686" s="364" t="s">
        <v>296</v>
      </c>
      <c r="B1686" s="361" t="s">
        <v>1073</v>
      </c>
      <c r="C1686" t="s">
        <v>1922</v>
      </c>
      <c r="D1686" s="361">
        <v>5</v>
      </c>
      <c r="E1686" s="364"/>
      <c r="F1686" s="361" t="s">
        <v>1921</v>
      </c>
      <c r="T1686" s="361">
        <v>2.5080000000000002E-2</v>
      </c>
    </row>
    <row r="1687" spans="1:20" x14ac:dyDescent="0.25">
      <c r="A1687" s="364" t="s">
        <v>4477</v>
      </c>
      <c r="B1687" s="361" t="s">
        <v>4478</v>
      </c>
      <c r="C1687" t="s">
        <v>2419</v>
      </c>
      <c r="D1687" s="361" t="s">
        <v>4479</v>
      </c>
      <c r="E1687" s="364"/>
      <c r="F1687" s="361" t="s">
        <v>1921</v>
      </c>
      <c r="T1687" s="361">
        <v>0.74</v>
      </c>
    </row>
    <row r="1688" spans="1:20" x14ac:dyDescent="0.25">
      <c r="A1688" s="364" t="s">
        <v>4480</v>
      </c>
      <c r="B1688" s="361" t="s">
        <v>4481</v>
      </c>
      <c r="C1688" t="s">
        <v>1920</v>
      </c>
      <c r="D1688" s="361">
        <v>24</v>
      </c>
      <c r="E1688" s="364"/>
      <c r="F1688" s="361" t="s">
        <v>1921</v>
      </c>
      <c r="T1688" s="361">
        <v>0.17910000000000001</v>
      </c>
    </row>
    <row r="1689" spans="1:20" x14ac:dyDescent="0.25">
      <c r="A1689" s="364" t="s">
        <v>4482</v>
      </c>
      <c r="B1689" s="361" t="s">
        <v>4483</v>
      </c>
      <c r="C1689" t="s">
        <v>1920</v>
      </c>
      <c r="D1689" s="361">
        <v>54</v>
      </c>
      <c r="E1689" s="364"/>
      <c r="F1689" s="361" t="s">
        <v>1921</v>
      </c>
      <c r="T1689" s="361">
        <v>0.19828000000000001</v>
      </c>
    </row>
    <row r="1690" spans="1:20" x14ac:dyDescent="0.25">
      <c r="A1690" s="364" t="s">
        <v>4484</v>
      </c>
      <c r="B1690" s="361" t="s">
        <v>4485</v>
      </c>
      <c r="C1690" t="s">
        <v>1920</v>
      </c>
      <c r="D1690" s="361">
        <v>41</v>
      </c>
      <c r="E1690" s="364"/>
      <c r="F1690" s="361" t="s">
        <v>1921</v>
      </c>
      <c r="T1690" s="361">
        <v>0.15359999999999999</v>
      </c>
    </row>
    <row r="1691" spans="1:20" x14ac:dyDescent="0.25">
      <c r="A1691" s="364" t="s">
        <v>4486</v>
      </c>
      <c r="B1691" s="361" t="s">
        <v>4487</v>
      </c>
      <c r="C1691" t="s">
        <v>1920</v>
      </c>
      <c r="D1691" s="361">
        <v>20</v>
      </c>
      <c r="E1691" s="364"/>
      <c r="F1691" s="361" t="s">
        <v>2201</v>
      </c>
      <c r="T1691" s="361">
        <v>87.4</v>
      </c>
    </row>
    <row r="1692" spans="1:20" x14ac:dyDescent="0.25">
      <c r="A1692" s="364" t="s">
        <v>1074</v>
      </c>
      <c r="B1692" s="361" t="s">
        <v>1075</v>
      </c>
      <c r="C1692" t="s">
        <v>1922</v>
      </c>
      <c r="D1692" s="361">
        <v>1</v>
      </c>
      <c r="E1692" s="364"/>
      <c r="F1692" s="361" t="s">
        <v>1917</v>
      </c>
      <c r="T1692" s="361">
        <v>64.42</v>
      </c>
    </row>
    <row r="1693" spans="1:20" x14ac:dyDescent="0.25">
      <c r="A1693" s="364" t="s">
        <v>4488</v>
      </c>
      <c r="B1693" s="361" t="s">
        <v>4489</v>
      </c>
      <c r="C1693" t="s">
        <v>1920</v>
      </c>
      <c r="D1693" s="361">
        <v>50</v>
      </c>
      <c r="E1693" s="364"/>
      <c r="F1693" s="361" t="s">
        <v>2201</v>
      </c>
      <c r="T1693" s="361">
        <v>48.8</v>
      </c>
    </row>
    <row r="1694" spans="1:20" x14ac:dyDescent="0.25">
      <c r="A1694" s="364" t="s">
        <v>4490</v>
      </c>
      <c r="B1694" s="361" t="s">
        <v>2729</v>
      </c>
      <c r="C1694" t="s">
        <v>1920</v>
      </c>
      <c r="D1694" s="361">
        <v>27</v>
      </c>
      <c r="E1694" s="364"/>
      <c r="F1694" s="361" t="s">
        <v>1921</v>
      </c>
      <c r="T1694" s="361">
        <v>0.85499999999999998</v>
      </c>
    </row>
    <row r="1695" spans="1:20" x14ac:dyDescent="0.25">
      <c r="A1695" s="364" t="s">
        <v>4491</v>
      </c>
      <c r="B1695" s="361" t="s">
        <v>4492</v>
      </c>
      <c r="C1695" t="s">
        <v>1920</v>
      </c>
      <c r="D1695" s="361">
        <v>50</v>
      </c>
      <c r="E1695" s="364"/>
      <c r="F1695" s="361" t="s">
        <v>2201</v>
      </c>
      <c r="T1695" s="361">
        <v>208.43</v>
      </c>
    </row>
    <row r="1696" spans="1:20" x14ac:dyDescent="0.25">
      <c r="A1696" s="364" t="s">
        <v>4493</v>
      </c>
      <c r="B1696" s="361" t="s">
        <v>4494</v>
      </c>
      <c r="C1696" t="s">
        <v>1920</v>
      </c>
      <c r="D1696" s="361">
        <v>24</v>
      </c>
      <c r="E1696" s="364"/>
      <c r="F1696" s="361" t="s">
        <v>1921</v>
      </c>
      <c r="T1696" s="361">
        <v>0.14299000000000001</v>
      </c>
    </row>
    <row r="1697" spans="1:20" x14ac:dyDescent="0.25">
      <c r="A1697" s="364" t="s">
        <v>4495</v>
      </c>
      <c r="B1697" s="361" t="s">
        <v>4496</v>
      </c>
      <c r="C1697" t="s">
        <v>1920</v>
      </c>
      <c r="D1697" s="361">
        <v>24</v>
      </c>
      <c r="E1697" s="364"/>
      <c r="F1697" s="361" t="s">
        <v>1921</v>
      </c>
      <c r="T1697" s="361">
        <v>0.19581999999999999</v>
      </c>
    </row>
    <row r="1698" spans="1:20" x14ac:dyDescent="0.25">
      <c r="A1698" s="364" t="s">
        <v>4497</v>
      </c>
      <c r="B1698" s="361" t="s">
        <v>4498</v>
      </c>
      <c r="C1698" t="s">
        <v>1920</v>
      </c>
      <c r="D1698" s="361">
        <v>20</v>
      </c>
      <c r="E1698" s="364"/>
      <c r="F1698" s="361" t="s">
        <v>1921</v>
      </c>
      <c r="T1698" s="361">
        <v>5.2200000000000003E-2</v>
      </c>
    </row>
    <row r="1699" spans="1:20" x14ac:dyDescent="0.25">
      <c r="A1699" s="364" t="s">
        <v>4499</v>
      </c>
      <c r="B1699" s="361" t="s">
        <v>4500</v>
      </c>
      <c r="C1699" t="s">
        <v>1920</v>
      </c>
      <c r="D1699" s="361">
        <v>24</v>
      </c>
      <c r="E1699" s="364"/>
      <c r="F1699" s="361" t="s">
        <v>1921</v>
      </c>
      <c r="T1699" s="361">
        <v>0.14760000000000001</v>
      </c>
    </row>
    <row r="1700" spans="1:20" x14ac:dyDescent="0.25">
      <c r="A1700" s="364" t="s">
        <v>4501</v>
      </c>
      <c r="B1700" s="361" t="s">
        <v>4502</v>
      </c>
      <c r="C1700" t="s">
        <v>1920</v>
      </c>
      <c r="D1700" s="361">
        <v>24</v>
      </c>
      <c r="E1700" s="364"/>
      <c r="F1700" s="361" t="s">
        <v>1921</v>
      </c>
      <c r="T1700" s="361">
        <v>0.22631999999999999</v>
      </c>
    </row>
    <row r="1701" spans="1:20" x14ac:dyDescent="0.25">
      <c r="A1701" s="364" t="s">
        <v>4503</v>
      </c>
      <c r="B1701" s="361" t="s">
        <v>4504</v>
      </c>
      <c r="C1701" t="s">
        <v>1920</v>
      </c>
      <c r="D1701" s="361">
        <v>12</v>
      </c>
      <c r="E1701" s="364"/>
      <c r="F1701" s="361" t="s">
        <v>2201</v>
      </c>
      <c r="T1701" s="361">
        <v>83.03</v>
      </c>
    </row>
    <row r="1702" spans="1:20" x14ac:dyDescent="0.25">
      <c r="A1702" s="364" t="s">
        <v>4505</v>
      </c>
      <c r="B1702" s="361" t="s">
        <v>4506</v>
      </c>
      <c r="C1702" t="s">
        <v>1920</v>
      </c>
      <c r="D1702" s="361">
        <v>11</v>
      </c>
      <c r="E1702" s="364"/>
      <c r="F1702" s="361" t="s">
        <v>2201</v>
      </c>
      <c r="T1702" s="361">
        <v>279</v>
      </c>
    </row>
    <row r="1703" spans="1:20" x14ac:dyDescent="0.25">
      <c r="A1703" s="364" t="s">
        <v>4507</v>
      </c>
      <c r="B1703" s="361" t="s">
        <v>4508</v>
      </c>
      <c r="C1703" t="s">
        <v>1920</v>
      </c>
      <c r="D1703" s="361">
        <v>12</v>
      </c>
      <c r="E1703" s="364"/>
      <c r="F1703" s="361" t="s">
        <v>2201</v>
      </c>
      <c r="T1703" s="361">
        <v>190</v>
      </c>
    </row>
    <row r="1704" spans="1:20" x14ac:dyDescent="0.25">
      <c r="A1704" s="364" t="s">
        <v>4509</v>
      </c>
      <c r="B1704" s="361" t="s">
        <v>4510</v>
      </c>
      <c r="C1704" t="s">
        <v>1920</v>
      </c>
      <c r="D1704" s="361">
        <v>20</v>
      </c>
      <c r="E1704" s="364"/>
      <c r="F1704" s="361" t="s">
        <v>2201</v>
      </c>
      <c r="T1704" s="361">
        <v>52.2</v>
      </c>
    </row>
    <row r="1705" spans="1:20" x14ac:dyDescent="0.25">
      <c r="A1705" s="364" t="s">
        <v>4511</v>
      </c>
      <c r="B1705" s="361" t="s">
        <v>4512</v>
      </c>
      <c r="C1705" t="s">
        <v>1920</v>
      </c>
      <c r="D1705" s="361">
        <v>20</v>
      </c>
      <c r="E1705" s="364"/>
      <c r="F1705" s="361" t="s">
        <v>2201</v>
      </c>
      <c r="T1705" s="361">
        <v>229.6</v>
      </c>
    </row>
    <row r="1706" spans="1:20" x14ac:dyDescent="0.25">
      <c r="A1706" s="364" t="s">
        <v>4513</v>
      </c>
      <c r="B1706" s="361" t="s">
        <v>4514</v>
      </c>
      <c r="C1706" t="s">
        <v>1920</v>
      </c>
      <c r="D1706" s="361">
        <v>20</v>
      </c>
      <c r="E1706" s="364"/>
      <c r="F1706" s="361" t="s">
        <v>2201</v>
      </c>
      <c r="T1706" s="361">
        <v>48.8</v>
      </c>
    </row>
    <row r="1707" spans="1:20" x14ac:dyDescent="0.25">
      <c r="A1707" s="364" t="s">
        <v>4515</v>
      </c>
      <c r="B1707" s="361" t="s">
        <v>4516</v>
      </c>
      <c r="C1707" t="s">
        <v>1920</v>
      </c>
      <c r="D1707" s="361">
        <v>20</v>
      </c>
      <c r="E1707" s="364"/>
      <c r="F1707" s="361" t="s">
        <v>2201</v>
      </c>
      <c r="T1707" s="361">
        <v>52.2</v>
      </c>
    </row>
    <row r="1708" spans="1:20" x14ac:dyDescent="0.25">
      <c r="A1708" s="364" t="s">
        <v>4517</v>
      </c>
      <c r="B1708" s="361" t="s">
        <v>4518</v>
      </c>
      <c r="C1708" t="s">
        <v>1920</v>
      </c>
      <c r="D1708" s="361">
        <v>20</v>
      </c>
      <c r="E1708" s="364"/>
      <c r="F1708" s="361" t="s">
        <v>2201</v>
      </c>
      <c r="T1708" s="361">
        <v>5.2200000000000003E-2</v>
      </c>
    </row>
    <row r="1709" spans="1:20" x14ac:dyDescent="0.25">
      <c r="A1709" s="364" t="s">
        <v>4519</v>
      </c>
      <c r="B1709" s="361" t="s">
        <v>4520</v>
      </c>
      <c r="C1709" t="s">
        <v>1920</v>
      </c>
      <c r="D1709" s="361">
        <v>20</v>
      </c>
      <c r="E1709" s="364"/>
      <c r="F1709" s="361" t="s">
        <v>2201</v>
      </c>
      <c r="T1709" s="361">
        <v>52</v>
      </c>
    </row>
    <row r="1710" spans="1:20" x14ac:dyDescent="0.25">
      <c r="A1710" s="364" t="s">
        <v>4521</v>
      </c>
      <c r="B1710" s="361" t="s">
        <v>4522</v>
      </c>
      <c r="C1710" t="s">
        <v>1920</v>
      </c>
      <c r="D1710" s="361">
        <v>20</v>
      </c>
      <c r="E1710" s="364"/>
      <c r="F1710" s="361" t="s">
        <v>2201</v>
      </c>
      <c r="T1710" s="361">
        <v>229.6</v>
      </c>
    </row>
    <row r="1711" spans="1:20" x14ac:dyDescent="0.25">
      <c r="A1711" s="364" t="s">
        <v>4523</v>
      </c>
      <c r="B1711" s="361" t="s">
        <v>4476</v>
      </c>
      <c r="C1711" t="s">
        <v>1920</v>
      </c>
      <c r="D1711" s="361">
        <v>27</v>
      </c>
      <c r="E1711" s="364"/>
      <c r="F1711" s="361" t="s">
        <v>1921</v>
      </c>
      <c r="T1711" s="361">
        <v>0.60499999999999998</v>
      </c>
    </row>
    <row r="1712" spans="1:20" x14ac:dyDescent="0.25">
      <c r="A1712" s="364" t="s">
        <v>4524</v>
      </c>
      <c r="B1712" s="361" t="s">
        <v>4525</v>
      </c>
      <c r="C1712" t="s">
        <v>1920</v>
      </c>
      <c r="D1712" s="361">
        <v>24</v>
      </c>
      <c r="E1712" s="364"/>
      <c r="F1712" s="361" t="s">
        <v>1921</v>
      </c>
      <c r="T1712" s="361">
        <v>0.12275</v>
      </c>
    </row>
    <row r="1713" spans="1:20" x14ac:dyDescent="0.25">
      <c r="A1713" s="364" t="s">
        <v>4526</v>
      </c>
      <c r="B1713" s="361" t="s">
        <v>4527</v>
      </c>
      <c r="C1713" t="s">
        <v>1920</v>
      </c>
      <c r="D1713" s="361">
        <v>24</v>
      </c>
      <c r="E1713" s="364"/>
      <c r="F1713" s="361" t="s">
        <v>1921</v>
      </c>
      <c r="T1713" s="361">
        <v>0.14071</v>
      </c>
    </row>
    <row r="1714" spans="1:20" x14ac:dyDescent="0.25">
      <c r="A1714" s="364" t="s">
        <v>4528</v>
      </c>
      <c r="B1714" s="361" t="s">
        <v>2368</v>
      </c>
      <c r="C1714" t="s">
        <v>1920</v>
      </c>
      <c r="D1714" s="361">
        <v>24</v>
      </c>
      <c r="E1714" s="364"/>
      <c r="F1714" s="361" t="s">
        <v>1921</v>
      </c>
      <c r="T1714" s="361">
        <v>0.42675999999999997</v>
      </c>
    </row>
    <row r="1715" spans="1:20" x14ac:dyDescent="0.25">
      <c r="A1715" s="364" t="s">
        <v>4529</v>
      </c>
      <c r="B1715" s="361" t="s">
        <v>4530</v>
      </c>
      <c r="C1715" t="s">
        <v>1920</v>
      </c>
      <c r="D1715" s="361">
        <v>20</v>
      </c>
      <c r="E1715" s="364"/>
      <c r="F1715" s="361" t="s">
        <v>1921</v>
      </c>
      <c r="T1715" s="361">
        <v>8.7400000000000005E-2</v>
      </c>
    </row>
    <row r="1716" spans="1:20" x14ac:dyDescent="0.25">
      <c r="A1716" s="364" t="s">
        <v>4531</v>
      </c>
      <c r="B1716" s="361" t="s">
        <v>4532</v>
      </c>
      <c r="C1716" t="s">
        <v>1920</v>
      </c>
      <c r="D1716" s="361">
        <v>24</v>
      </c>
      <c r="E1716" s="364"/>
      <c r="F1716" s="361" t="s">
        <v>1921</v>
      </c>
      <c r="T1716" s="361">
        <v>0.22140000000000001</v>
      </c>
    </row>
    <row r="1717" spans="1:20" x14ac:dyDescent="0.25">
      <c r="A1717" s="364" t="s">
        <v>4533</v>
      </c>
      <c r="B1717" s="361" t="s">
        <v>4534</v>
      </c>
      <c r="C1717" t="s">
        <v>1920</v>
      </c>
      <c r="D1717" s="361">
        <v>18</v>
      </c>
      <c r="E1717" s="364"/>
      <c r="F1717" s="361" t="s">
        <v>1921</v>
      </c>
      <c r="T1717" s="361">
        <v>0.27039999999999997</v>
      </c>
    </row>
    <row r="1718" spans="1:20" x14ac:dyDescent="0.25">
      <c r="A1718" s="364" t="s">
        <v>4535</v>
      </c>
      <c r="B1718" s="361" t="s">
        <v>4536</v>
      </c>
      <c r="C1718" t="s">
        <v>1920</v>
      </c>
      <c r="D1718" s="361">
        <v>24</v>
      </c>
      <c r="E1718" s="364"/>
      <c r="F1718" s="361" t="s">
        <v>1921</v>
      </c>
      <c r="T1718" s="361">
        <v>0.14662</v>
      </c>
    </row>
    <row r="1719" spans="1:20" x14ac:dyDescent="0.25">
      <c r="A1719" s="364" t="s">
        <v>4537</v>
      </c>
      <c r="B1719" s="361" t="s">
        <v>4538</v>
      </c>
      <c r="C1719" t="s">
        <v>1920</v>
      </c>
      <c r="D1719" s="361">
        <v>18</v>
      </c>
      <c r="E1719" s="364"/>
      <c r="F1719" s="361" t="s">
        <v>1921</v>
      </c>
      <c r="T1719" s="361">
        <v>0.28153</v>
      </c>
    </row>
    <row r="1720" spans="1:20" x14ac:dyDescent="0.25">
      <c r="A1720" s="364" t="s">
        <v>4539</v>
      </c>
      <c r="B1720" s="361" t="s">
        <v>4540</v>
      </c>
      <c r="C1720" t="s">
        <v>1920</v>
      </c>
      <c r="D1720" s="361">
        <v>20</v>
      </c>
      <c r="E1720" s="364"/>
      <c r="F1720" s="361" t="s">
        <v>1921</v>
      </c>
      <c r="T1720" s="361">
        <v>8.7400000000000005E-2</v>
      </c>
    </row>
    <row r="1721" spans="1:20" x14ac:dyDescent="0.25">
      <c r="A1721" s="364" t="s">
        <v>4541</v>
      </c>
      <c r="B1721" s="361" t="s">
        <v>4542</v>
      </c>
      <c r="C1721" t="s">
        <v>1920</v>
      </c>
      <c r="D1721" s="361">
        <v>24</v>
      </c>
      <c r="E1721" s="364"/>
      <c r="F1721" s="361" t="s">
        <v>1921</v>
      </c>
      <c r="T1721" s="361">
        <v>0.11906</v>
      </c>
    </row>
    <row r="1722" spans="1:20" x14ac:dyDescent="0.25">
      <c r="A1722" s="364" t="s">
        <v>4543</v>
      </c>
      <c r="B1722" s="361" t="s">
        <v>4544</v>
      </c>
      <c r="C1722" t="s">
        <v>1920</v>
      </c>
      <c r="D1722" s="361">
        <v>24</v>
      </c>
      <c r="E1722" s="364"/>
      <c r="F1722" s="361" t="s">
        <v>1921</v>
      </c>
      <c r="T1722" s="361">
        <v>0.10825</v>
      </c>
    </row>
    <row r="1723" spans="1:20" x14ac:dyDescent="0.25">
      <c r="A1723" s="364" t="s">
        <v>4545</v>
      </c>
      <c r="B1723" s="361" t="s">
        <v>4546</v>
      </c>
      <c r="C1723" t="s">
        <v>1920</v>
      </c>
      <c r="D1723" s="361">
        <v>24</v>
      </c>
      <c r="E1723" s="364"/>
      <c r="F1723" s="361" t="s">
        <v>1921</v>
      </c>
      <c r="T1723" s="361">
        <v>0.23124</v>
      </c>
    </row>
    <row r="1724" spans="1:20" x14ac:dyDescent="0.25">
      <c r="A1724" s="364" t="s">
        <v>4547</v>
      </c>
      <c r="B1724" s="361" t="s">
        <v>4548</v>
      </c>
      <c r="C1724" t="s">
        <v>1920</v>
      </c>
      <c r="D1724" s="361">
        <v>24</v>
      </c>
      <c r="E1724" s="364"/>
      <c r="F1724" s="361" t="s">
        <v>1921</v>
      </c>
      <c r="T1724" s="361">
        <v>0.14599999999999999</v>
      </c>
    </row>
    <row r="1725" spans="1:20" x14ac:dyDescent="0.25">
      <c r="A1725" s="364" t="s">
        <v>4549</v>
      </c>
      <c r="B1725" s="361" t="s">
        <v>4550</v>
      </c>
      <c r="C1725" t="s">
        <v>1920</v>
      </c>
      <c r="D1725" s="361">
        <v>24</v>
      </c>
      <c r="E1725" s="364"/>
      <c r="F1725" s="361" t="s">
        <v>2201</v>
      </c>
      <c r="T1725" s="361">
        <v>182.04</v>
      </c>
    </row>
    <row r="1726" spans="1:20" x14ac:dyDescent="0.25">
      <c r="A1726" s="364" t="s">
        <v>4551</v>
      </c>
      <c r="B1726" s="361" t="s">
        <v>4552</v>
      </c>
      <c r="C1726" t="s">
        <v>1920</v>
      </c>
      <c r="D1726" s="361">
        <v>24</v>
      </c>
      <c r="E1726" s="364"/>
      <c r="F1726" s="361" t="s">
        <v>1921</v>
      </c>
      <c r="T1726" s="361">
        <v>0.24501999999999999</v>
      </c>
    </row>
    <row r="1727" spans="1:20" x14ac:dyDescent="0.25">
      <c r="A1727" s="364" t="s">
        <v>4553</v>
      </c>
      <c r="B1727" s="361" t="s">
        <v>4554</v>
      </c>
      <c r="C1727" t="s">
        <v>1920</v>
      </c>
      <c r="D1727" s="361">
        <v>24</v>
      </c>
      <c r="E1727" s="364"/>
      <c r="F1727" s="361" t="s">
        <v>2201</v>
      </c>
      <c r="T1727" s="361">
        <v>133.82400000000001</v>
      </c>
    </row>
    <row r="1728" spans="1:20" x14ac:dyDescent="0.25">
      <c r="A1728" s="364" t="s">
        <v>4555</v>
      </c>
      <c r="B1728" s="361" t="s">
        <v>4556</v>
      </c>
      <c r="C1728" t="s">
        <v>1920</v>
      </c>
      <c r="D1728" s="361">
        <v>24</v>
      </c>
      <c r="E1728" s="364"/>
      <c r="F1728" s="361" t="s">
        <v>1921</v>
      </c>
      <c r="T1728" s="361">
        <v>0.34473999999999999</v>
      </c>
    </row>
    <row r="1729" spans="1:20" x14ac:dyDescent="0.25">
      <c r="A1729" s="364" t="s">
        <v>4557</v>
      </c>
      <c r="B1729" s="361" t="s">
        <v>4558</v>
      </c>
      <c r="C1729" t="s">
        <v>1920</v>
      </c>
      <c r="D1729" s="361">
        <v>24</v>
      </c>
      <c r="E1729" s="364"/>
      <c r="F1729" s="361" t="s">
        <v>1921</v>
      </c>
      <c r="T1729" s="361">
        <v>0.25850000000000001</v>
      </c>
    </row>
    <row r="1730" spans="1:20" x14ac:dyDescent="0.25">
      <c r="A1730" s="364" t="s">
        <v>4559</v>
      </c>
      <c r="B1730" s="361" t="s">
        <v>4560</v>
      </c>
      <c r="C1730" t="s">
        <v>1920</v>
      </c>
      <c r="D1730" s="361">
        <v>24</v>
      </c>
      <c r="E1730" s="364"/>
      <c r="F1730" s="361" t="s">
        <v>1921</v>
      </c>
      <c r="T1730" s="361">
        <v>0.42803999999999998</v>
      </c>
    </row>
    <row r="1731" spans="1:20" x14ac:dyDescent="0.25">
      <c r="A1731" s="364" t="s">
        <v>4561</v>
      </c>
      <c r="B1731" s="361" t="s">
        <v>4562</v>
      </c>
      <c r="C1731" t="s">
        <v>1920</v>
      </c>
      <c r="D1731" s="361">
        <v>24</v>
      </c>
      <c r="E1731" s="364"/>
      <c r="F1731" s="361" t="s">
        <v>1921</v>
      </c>
      <c r="T1731" s="361">
        <v>0.15054999999999999</v>
      </c>
    </row>
    <row r="1732" spans="1:20" x14ac:dyDescent="0.25">
      <c r="A1732" s="364" t="s">
        <v>4563</v>
      </c>
      <c r="B1732" s="361" t="s">
        <v>4564</v>
      </c>
      <c r="C1732" t="s">
        <v>1920</v>
      </c>
      <c r="D1732" s="361">
        <v>24</v>
      </c>
      <c r="E1732" s="364"/>
      <c r="F1732" s="361" t="s">
        <v>1921</v>
      </c>
      <c r="T1732" s="361">
        <v>0.34637000000000001</v>
      </c>
    </row>
    <row r="1733" spans="1:20" x14ac:dyDescent="0.25">
      <c r="A1733" s="364" t="s">
        <v>4565</v>
      </c>
      <c r="B1733" s="361" t="s">
        <v>4566</v>
      </c>
      <c r="C1733" t="s">
        <v>1920</v>
      </c>
      <c r="D1733" s="361">
        <v>24</v>
      </c>
      <c r="E1733" s="364"/>
      <c r="F1733" s="361" t="s">
        <v>1921</v>
      </c>
      <c r="T1733" s="361">
        <v>0.24157000000000001</v>
      </c>
    </row>
    <row r="1734" spans="1:20" x14ac:dyDescent="0.25">
      <c r="A1734" s="364" t="s">
        <v>4567</v>
      </c>
      <c r="B1734" s="361" t="s">
        <v>4568</v>
      </c>
      <c r="C1734" t="s">
        <v>1920</v>
      </c>
      <c r="D1734" s="361">
        <v>24</v>
      </c>
      <c r="E1734" s="364"/>
      <c r="F1734" s="361" t="s">
        <v>1921</v>
      </c>
      <c r="T1734" s="361">
        <v>0.2331</v>
      </c>
    </row>
    <row r="1735" spans="1:20" x14ac:dyDescent="0.25">
      <c r="A1735" s="364" t="s">
        <v>4569</v>
      </c>
      <c r="B1735" s="361" t="s">
        <v>4570</v>
      </c>
      <c r="C1735" t="s">
        <v>1920</v>
      </c>
      <c r="D1735" s="361">
        <v>24</v>
      </c>
      <c r="E1735" s="364"/>
      <c r="F1735" s="361" t="s">
        <v>1921</v>
      </c>
      <c r="T1735" s="361">
        <v>0.29199999999999998</v>
      </c>
    </row>
    <row r="1736" spans="1:20" x14ac:dyDescent="0.25">
      <c r="A1736" s="364" t="s">
        <v>4571</v>
      </c>
      <c r="B1736" s="361" t="s">
        <v>4572</v>
      </c>
      <c r="C1736" t="s">
        <v>1920</v>
      </c>
      <c r="D1736" s="361">
        <v>24</v>
      </c>
      <c r="E1736" s="364"/>
      <c r="F1736" s="361" t="s">
        <v>1921</v>
      </c>
      <c r="T1736" s="361">
        <v>0.1663</v>
      </c>
    </row>
    <row r="1737" spans="1:20" x14ac:dyDescent="0.25">
      <c r="A1737" s="364" t="s">
        <v>4573</v>
      </c>
      <c r="B1737" s="361" t="s">
        <v>4574</v>
      </c>
      <c r="C1737" t="s">
        <v>1920</v>
      </c>
      <c r="D1737" s="361">
        <v>24</v>
      </c>
      <c r="E1737" s="364"/>
      <c r="F1737" s="361" t="s">
        <v>1921</v>
      </c>
      <c r="T1737" s="361">
        <v>0.24403</v>
      </c>
    </row>
    <row r="1738" spans="1:20" x14ac:dyDescent="0.25">
      <c r="A1738" s="364" t="s">
        <v>4575</v>
      </c>
      <c r="B1738" s="361" t="s">
        <v>4576</v>
      </c>
      <c r="C1738" t="s">
        <v>1920</v>
      </c>
      <c r="D1738" s="361">
        <v>24</v>
      </c>
      <c r="E1738" s="364"/>
      <c r="F1738" s="361" t="s">
        <v>1921</v>
      </c>
      <c r="T1738" s="361">
        <v>0.34194000000000002</v>
      </c>
    </row>
    <row r="1739" spans="1:20" x14ac:dyDescent="0.25">
      <c r="A1739" s="364" t="s">
        <v>4577</v>
      </c>
      <c r="B1739" s="361" t="s">
        <v>4578</v>
      </c>
      <c r="C1739" t="s">
        <v>1920</v>
      </c>
      <c r="D1739" s="361">
        <v>24</v>
      </c>
      <c r="E1739" s="364"/>
      <c r="F1739" s="361" t="s">
        <v>1921</v>
      </c>
      <c r="T1739" s="361">
        <v>0.24501999999999999</v>
      </c>
    </row>
    <row r="1740" spans="1:20" x14ac:dyDescent="0.25">
      <c r="A1740" s="364" t="s">
        <v>4579</v>
      </c>
      <c r="B1740" s="361" t="s">
        <v>4580</v>
      </c>
      <c r="C1740" t="s">
        <v>1920</v>
      </c>
      <c r="D1740" s="361">
        <v>20</v>
      </c>
      <c r="E1740" s="364"/>
      <c r="F1740" s="361" t="s">
        <v>1921</v>
      </c>
      <c r="T1740" s="361">
        <v>3.2300000000000002E-2</v>
      </c>
    </row>
    <row r="1741" spans="1:20" x14ac:dyDescent="0.25">
      <c r="A1741" s="364" t="s">
        <v>4581</v>
      </c>
      <c r="B1741" s="361" t="s">
        <v>4582</v>
      </c>
      <c r="C1741" t="s">
        <v>1920</v>
      </c>
      <c r="D1741" s="361">
        <v>24</v>
      </c>
      <c r="E1741" s="364"/>
      <c r="F1741" s="361" t="s">
        <v>2201</v>
      </c>
      <c r="T1741" s="361">
        <v>392.61599999999999</v>
      </c>
    </row>
    <row r="1742" spans="1:20" x14ac:dyDescent="0.25">
      <c r="A1742" s="364" t="s">
        <v>1076</v>
      </c>
      <c r="B1742" s="361" t="s">
        <v>1077</v>
      </c>
      <c r="C1742" t="s">
        <v>1922</v>
      </c>
      <c r="D1742" s="361">
        <v>1</v>
      </c>
      <c r="E1742" s="364"/>
      <c r="F1742" s="361" t="s">
        <v>1917</v>
      </c>
      <c r="T1742" s="361">
        <v>66.400000000000006</v>
      </c>
    </row>
    <row r="1743" spans="1:20" x14ac:dyDescent="0.25">
      <c r="A1743" s="364" t="s">
        <v>4583</v>
      </c>
      <c r="B1743" s="361" t="s">
        <v>4584</v>
      </c>
      <c r="C1743" t="s">
        <v>1920</v>
      </c>
      <c r="D1743" s="361">
        <v>15</v>
      </c>
      <c r="E1743" s="364"/>
      <c r="F1743" s="361" t="s">
        <v>1917</v>
      </c>
      <c r="T1743" s="361">
        <v>24.8</v>
      </c>
    </row>
    <row r="1744" spans="1:20" x14ac:dyDescent="0.25">
      <c r="A1744" s="364" t="s">
        <v>1078</v>
      </c>
      <c r="B1744" s="361" t="s">
        <v>1079</v>
      </c>
      <c r="C1744" t="s">
        <v>1916</v>
      </c>
      <c r="D1744" s="361">
        <v>2</v>
      </c>
      <c r="E1744" s="364"/>
      <c r="F1744" s="361" t="s">
        <v>1917</v>
      </c>
      <c r="T1744" s="361">
        <v>5650</v>
      </c>
    </row>
    <row r="1745" spans="1:20" x14ac:dyDescent="0.25">
      <c r="A1745" s="364" t="s">
        <v>1080</v>
      </c>
      <c r="B1745" s="361" t="s">
        <v>1081</v>
      </c>
      <c r="C1745" t="s">
        <v>1922</v>
      </c>
      <c r="D1745" s="361">
        <v>1</v>
      </c>
      <c r="E1745" s="364"/>
      <c r="F1745" s="361" t="s">
        <v>1917</v>
      </c>
      <c r="T1745" s="361">
        <v>91.48</v>
      </c>
    </row>
    <row r="1746" spans="1:20" x14ac:dyDescent="0.25">
      <c r="A1746" s="364" t="s">
        <v>4585</v>
      </c>
      <c r="B1746" s="361" t="s">
        <v>4586</v>
      </c>
      <c r="C1746" t="s">
        <v>1920</v>
      </c>
      <c r="D1746" s="361">
        <v>24</v>
      </c>
      <c r="E1746" s="364"/>
      <c r="F1746" s="361" t="s">
        <v>1921</v>
      </c>
      <c r="T1746" s="361">
        <v>5.3920000000000003E-2</v>
      </c>
    </row>
    <row r="1747" spans="1:20" x14ac:dyDescent="0.25">
      <c r="A1747" s="364" t="s">
        <v>4587</v>
      </c>
      <c r="B1747" s="361" t="s">
        <v>4588</v>
      </c>
      <c r="C1747" t="s">
        <v>1920</v>
      </c>
      <c r="D1747" s="361">
        <v>20</v>
      </c>
      <c r="E1747" s="364"/>
      <c r="F1747" s="361" t="s">
        <v>1921</v>
      </c>
      <c r="T1747" s="361">
        <v>3.4200000000000001E-2</v>
      </c>
    </row>
    <row r="1748" spans="1:20" x14ac:dyDescent="0.25">
      <c r="A1748" s="364" t="s">
        <v>4589</v>
      </c>
      <c r="B1748" s="361" t="s">
        <v>4590</v>
      </c>
      <c r="C1748" t="s">
        <v>1920</v>
      </c>
      <c r="D1748" s="361">
        <v>54</v>
      </c>
      <c r="E1748" s="364"/>
      <c r="F1748" s="361" t="s">
        <v>1921</v>
      </c>
      <c r="T1748" s="361">
        <v>0.16603000000000001</v>
      </c>
    </row>
    <row r="1749" spans="1:20" x14ac:dyDescent="0.25">
      <c r="A1749" s="364" t="s">
        <v>4591</v>
      </c>
      <c r="B1749" s="361" t="s">
        <v>4592</v>
      </c>
      <c r="C1749" t="s">
        <v>1920</v>
      </c>
      <c r="D1749" s="361">
        <v>52</v>
      </c>
      <c r="E1749" s="364"/>
      <c r="F1749" s="361" t="s">
        <v>1921</v>
      </c>
      <c r="T1749" s="361">
        <v>0.11210000000000001</v>
      </c>
    </row>
    <row r="1750" spans="1:20" x14ac:dyDescent="0.25">
      <c r="A1750" s="364" t="s">
        <v>4593</v>
      </c>
      <c r="B1750" s="361" t="s">
        <v>4594</v>
      </c>
      <c r="C1750" t="s">
        <v>1920</v>
      </c>
      <c r="D1750" s="361">
        <v>54</v>
      </c>
      <c r="E1750" s="364"/>
      <c r="F1750" s="361" t="s">
        <v>1921</v>
      </c>
      <c r="T1750" s="361">
        <v>0.16602</v>
      </c>
    </row>
    <row r="1751" spans="1:20" x14ac:dyDescent="0.25">
      <c r="A1751" s="364" t="s">
        <v>4595</v>
      </c>
      <c r="B1751" s="361" t="s">
        <v>4596</v>
      </c>
      <c r="C1751" t="s">
        <v>1920</v>
      </c>
      <c r="D1751" s="361">
        <v>52</v>
      </c>
      <c r="E1751" s="364"/>
      <c r="F1751" s="361" t="s">
        <v>1921</v>
      </c>
      <c r="T1751" s="361">
        <v>9.1300000000000006E-2</v>
      </c>
    </row>
    <row r="1752" spans="1:20" x14ac:dyDescent="0.25">
      <c r="A1752" s="364" t="s">
        <v>4597</v>
      </c>
      <c r="B1752" s="361" t="s">
        <v>4598</v>
      </c>
      <c r="C1752" t="s">
        <v>1920</v>
      </c>
      <c r="D1752" s="361">
        <v>11</v>
      </c>
      <c r="E1752" s="364"/>
      <c r="F1752" s="361" t="s">
        <v>2201</v>
      </c>
      <c r="T1752" s="361">
        <v>290</v>
      </c>
    </row>
    <row r="1753" spans="1:20" x14ac:dyDescent="0.25">
      <c r="A1753" s="364" t="s">
        <v>4599</v>
      </c>
      <c r="B1753" s="361" t="s">
        <v>4600</v>
      </c>
      <c r="C1753" t="s">
        <v>1920</v>
      </c>
      <c r="D1753" s="361">
        <v>11</v>
      </c>
      <c r="E1753" s="364"/>
      <c r="F1753" s="361" t="s">
        <v>2201</v>
      </c>
      <c r="T1753" s="361">
        <v>368</v>
      </c>
    </row>
    <row r="1754" spans="1:20" x14ac:dyDescent="0.25">
      <c r="A1754" s="364" t="s">
        <v>4601</v>
      </c>
      <c r="B1754" s="361" t="s">
        <v>4602</v>
      </c>
      <c r="C1754" t="s">
        <v>1920</v>
      </c>
      <c r="D1754" s="361">
        <v>12</v>
      </c>
      <c r="E1754" s="364"/>
      <c r="F1754" s="361" t="s">
        <v>2201</v>
      </c>
      <c r="T1754" s="361">
        <v>263</v>
      </c>
    </row>
    <row r="1755" spans="1:20" x14ac:dyDescent="0.25">
      <c r="A1755" s="364" t="s">
        <v>4603</v>
      </c>
      <c r="B1755" s="361" t="s">
        <v>4604</v>
      </c>
      <c r="C1755">
        <v>2</v>
      </c>
      <c r="D1755" s="361">
        <v>97</v>
      </c>
      <c r="E1755" s="364"/>
      <c r="F1755" s="361" t="s">
        <v>1917</v>
      </c>
      <c r="T1755" s="361">
        <v>29.071999999999999</v>
      </c>
    </row>
    <row r="1756" spans="1:20" x14ac:dyDescent="0.25">
      <c r="A1756" s="364" t="s">
        <v>4605</v>
      </c>
      <c r="B1756" s="361" t="s">
        <v>4606</v>
      </c>
      <c r="C1756">
        <v>2</v>
      </c>
      <c r="D1756" s="361">
        <v>97</v>
      </c>
      <c r="E1756" s="364"/>
      <c r="F1756" s="361" t="s">
        <v>1917</v>
      </c>
      <c r="T1756" s="361">
        <v>18.7</v>
      </c>
    </row>
    <row r="1757" spans="1:20" x14ac:dyDescent="0.25">
      <c r="A1757" s="364" t="s">
        <v>4607</v>
      </c>
      <c r="B1757" s="361" t="s">
        <v>4608</v>
      </c>
      <c r="C1757">
        <v>2</v>
      </c>
      <c r="D1757" s="361">
        <v>97</v>
      </c>
      <c r="E1757" s="364"/>
      <c r="F1757" s="361" t="s">
        <v>2022</v>
      </c>
      <c r="T1757" s="361">
        <v>53.2</v>
      </c>
    </row>
    <row r="1758" spans="1:20" x14ac:dyDescent="0.25">
      <c r="A1758" s="364" t="s">
        <v>4609</v>
      </c>
      <c r="B1758" s="361" t="s">
        <v>4610</v>
      </c>
      <c r="C1758">
        <v>2</v>
      </c>
      <c r="D1758" s="361">
        <v>97</v>
      </c>
      <c r="E1758" s="364"/>
      <c r="F1758" s="361" t="s">
        <v>2022</v>
      </c>
      <c r="T1758" s="361">
        <v>30</v>
      </c>
    </row>
    <row r="1759" spans="1:20" x14ac:dyDescent="0.25">
      <c r="A1759" s="364" t="s">
        <v>4611</v>
      </c>
      <c r="B1759" s="361" t="s">
        <v>4612</v>
      </c>
      <c r="C1759">
        <v>2</v>
      </c>
      <c r="D1759" s="361">
        <v>97</v>
      </c>
      <c r="E1759" s="364"/>
      <c r="F1759" s="361" t="s">
        <v>2022</v>
      </c>
      <c r="T1759" s="361">
        <v>30</v>
      </c>
    </row>
    <row r="1760" spans="1:20" x14ac:dyDescent="0.25">
      <c r="A1760" s="364" t="s">
        <v>4613</v>
      </c>
      <c r="B1760" s="361" t="s">
        <v>4614</v>
      </c>
      <c r="C1760" t="s">
        <v>1920</v>
      </c>
      <c r="D1760" s="361">
        <v>45</v>
      </c>
      <c r="E1760" s="364"/>
      <c r="F1760" s="361" t="s">
        <v>1917</v>
      </c>
      <c r="T1760" s="361">
        <v>49.6</v>
      </c>
    </row>
    <row r="1761" spans="1:20" x14ac:dyDescent="0.25">
      <c r="A1761" s="364" t="s">
        <v>4615</v>
      </c>
      <c r="B1761" s="361" t="s">
        <v>4616</v>
      </c>
      <c r="C1761" t="s">
        <v>1920</v>
      </c>
      <c r="D1761" s="361">
        <v>54</v>
      </c>
      <c r="E1761" s="364"/>
      <c r="F1761" s="361" t="s">
        <v>1921</v>
      </c>
      <c r="T1761" s="361">
        <v>0.28200999999999998</v>
      </c>
    </row>
    <row r="1762" spans="1:20" x14ac:dyDescent="0.25">
      <c r="A1762" s="364" t="s">
        <v>4617</v>
      </c>
      <c r="B1762" s="361" t="s">
        <v>4618</v>
      </c>
      <c r="C1762" t="s">
        <v>1920</v>
      </c>
      <c r="D1762" s="361">
        <v>45</v>
      </c>
      <c r="E1762" s="364"/>
      <c r="F1762" s="361" t="s">
        <v>1917</v>
      </c>
      <c r="T1762" s="361">
        <v>49.6</v>
      </c>
    </row>
    <row r="1763" spans="1:20" x14ac:dyDescent="0.25">
      <c r="A1763" s="364" t="s">
        <v>4619</v>
      </c>
      <c r="B1763" s="361" t="s">
        <v>4620</v>
      </c>
      <c r="C1763" t="s">
        <v>1920</v>
      </c>
      <c r="D1763" s="361">
        <v>54</v>
      </c>
      <c r="E1763" s="364"/>
      <c r="F1763" s="361" t="s">
        <v>1921</v>
      </c>
      <c r="T1763" s="361">
        <v>0.24501000000000001</v>
      </c>
    </row>
    <row r="1764" spans="1:20" x14ac:dyDescent="0.25">
      <c r="A1764" s="364" t="s">
        <v>4621</v>
      </c>
      <c r="B1764" s="361" t="s">
        <v>4622</v>
      </c>
      <c r="C1764" t="s">
        <v>1920</v>
      </c>
      <c r="D1764" s="361">
        <v>45</v>
      </c>
      <c r="E1764" s="364"/>
      <c r="F1764" s="361" t="s">
        <v>1917</v>
      </c>
      <c r="T1764" s="361">
        <v>39.4</v>
      </c>
    </row>
    <row r="1765" spans="1:20" x14ac:dyDescent="0.25">
      <c r="A1765" s="364" t="s">
        <v>4623</v>
      </c>
      <c r="B1765" s="361" t="s">
        <v>4624</v>
      </c>
      <c r="C1765" t="s">
        <v>1920</v>
      </c>
      <c r="D1765" s="361">
        <v>54</v>
      </c>
      <c r="E1765" s="364"/>
      <c r="F1765" s="361" t="s">
        <v>1921</v>
      </c>
      <c r="T1765" s="361">
        <v>0.28200999999999998</v>
      </c>
    </row>
    <row r="1766" spans="1:20" x14ac:dyDescent="0.25">
      <c r="A1766" s="364" t="s">
        <v>4625</v>
      </c>
      <c r="B1766" s="361" t="s">
        <v>4626</v>
      </c>
      <c r="C1766" t="s">
        <v>1920</v>
      </c>
      <c r="D1766" s="361">
        <v>20</v>
      </c>
      <c r="E1766" s="364"/>
      <c r="F1766" s="361" t="s">
        <v>1921</v>
      </c>
      <c r="T1766" s="361">
        <v>3.3099999999999997E-2</v>
      </c>
    </row>
    <row r="1767" spans="1:20" x14ac:dyDescent="0.25">
      <c r="A1767" s="364" t="s">
        <v>4627</v>
      </c>
      <c r="B1767" s="361" t="s">
        <v>4628</v>
      </c>
      <c r="C1767" t="s">
        <v>1920</v>
      </c>
      <c r="D1767" s="361">
        <v>24</v>
      </c>
      <c r="E1767" s="364"/>
      <c r="F1767" s="361" t="s">
        <v>1921</v>
      </c>
      <c r="T1767" s="361">
        <v>0.20369000000000001</v>
      </c>
    </row>
    <row r="1768" spans="1:20" x14ac:dyDescent="0.25">
      <c r="A1768" s="364" t="s">
        <v>4629</v>
      </c>
      <c r="B1768" s="361" t="s">
        <v>4630</v>
      </c>
      <c r="C1768" t="s">
        <v>1920</v>
      </c>
      <c r="D1768" s="361">
        <v>24</v>
      </c>
      <c r="E1768" s="364"/>
      <c r="F1768" s="361" t="s">
        <v>1921</v>
      </c>
      <c r="T1768" s="361">
        <v>0.47982000000000002</v>
      </c>
    </row>
    <row r="1769" spans="1:20" x14ac:dyDescent="0.25">
      <c r="A1769" s="364" t="s">
        <v>4631</v>
      </c>
      <c r="B1769" s="361" t="s">
        <v>4632</v>
      </c>
      <c r="C1769" t="s">
        <v>1920</v>
      </c>
      <c r="D1769" s="361">
        <v>24</v>
      </c>
      <c r="E1769" s="364"/>
      <c r="F1769" s="361" t="s">
        <v>1921</v>
      </c>
      <c r="T1769" s="361">
        <v>0.34499999999999997</v>
      </c>
    </row>
    <row r="1770" spans="1:20" x14ac:dyDescent="0.25">
      <c r="A1770" s="364" t="s">
        <v>4633</v>
      </c>
      <c r="B1770" s="361" t="s">
        <v>4634</v>
      </c>
      <c r="C1770" t="s">
        <v>1920</v>
      </c>
      <c r="D1770" s="361">
        <v>20</v>
      </c>
      <c r="E1770" s="364"/>
      <c r="F1770" s="361" t="s">
        <v>2201</v>
      </c>
      <c r="T1770" s="361">
        <v>149.84</v>
      </c>
    </row>
    <row r="1771" spans="1:20" x14ac:dyDescent="0.25">
      <c r="A1771" s="364" t="s">
        <v>4635</v>
      </c>
      <c r="B1771" s="361" t="s">
        <v>4636</v>
      </c>
      <c r="C1771" t="s">
        <v>1920</v>
      </c>
      <c r="D1771" s="361">
        <v>20</v>
      </c>
      <c r="E1771" s="364"/>
      <c r="F1771" s="361" t="s">
        <v>2201</v>
      </c>
      <c r="T1771" s="361">
        <v>470.3</v>
      </c>
    </row>
    <row r="1772" spans="1:20" x14ac:dyDescent="0.25">
      <c r="A1772" s="364" t="s">
        <v>4637</v>
      </c>
      <c r="B1772" s="361" t="s">
        <v>4638</v>
      </c>
      <c r="C1772" t="s">
        <v>1920</v>
      </c>
      <c r="D1772" s="361">
        <v>20</v>
      </c>
      <c r="E1772" s="364"/>
      <c r="F1772" s="361" t="s">
        <v>2201</v>
      </c>
      <c r="T1772" s="361">
        <v>52.2</v>
      </c>
    </row>
    <row r="1773" spans="1:20" x14ac:dyDescent="0.25">
      <c r="A1773" s="364" t="s">
        <v>4639</v>
      </c>
      <c r="B1773" s="361" t="s">
        <v>4640</v>
      </c>
      <c r="C1773" t="s">
        <v>1920</v>
      </c>
      <c r="D1773" s="361">
        <v>20</v>
      </c>
      <c r="E1773" s="364"/>
      <c r="F1773" s="361" t="s">
        <v>2201</v>
      </c>
      <c r="T1773" s="361">
        <v>87.4</v>
      </c>
    </row>
    <row r="1774" spans="1:20" x14ac:dyDescent="0.25">
      <c r="A1774" s="364" t="s">
        <v>1082</v>
      </c>
      <c r="B1774" s="361" t="s">
        <v>1083</v>
      </c>
      <c r="C1774" t="s">
        <v>1922</v>
      </c>
      <c r="D1774" s="361">
        <v>1</v>
      </c>
      <c r="E1774" s="364"/>
      <c r="F1774" s="361" t="s">
        <v>1917</v>
      </c>
      <c r="T1774" s="361">
        <v>1.8</v>
      </c>
    </row>
    <row r="1775" spans="1:20" x14ac:dyDescent="0.25">
      <c r="A1775" s="364" t="s">
        <v>4641</v>
      </c>
      <c r="B1775" s="361" t="s">
        <v>4642</v>
      </c>
      <c r="C1775" t="s">
        <v>1920</v>
      </c>
      <c r="D1775" s="361">
        <v>27</v>
      </c>
      <c r="E1775" s="364"/>
      <c r="F1775" s="361" t="s">
        <v>1921</v>
      </c>
      <c r="T1775" s="361">
        <v>0.63600000000000001</v>
      </c>
    </row>
    <row r="1776" spans="1:20" x14ac:dyDescent="0.25">
      <c r="A1776" s="364" t="s">
        <v>4643</v>
      </c>
      <c r="B1776" s="361" t="s">
        <v>4644</v>
      </c>
      <c r="C1776" t="s">
        <v>1920</v>
      </c>
      <c r="D1776" s="361">
        <v>27</v>
      </c>
      <c r="E1776" s="364"/>
      <c r="F1776" s="361" t="s">
        <v>1921</v>
      </c>
      <c r="T1776" s="361">
        <v>0.76600000000000001</v>
      </c>
    </row>
    <row r="1777" spans="1:20" x14ac:dyDescent="0.25">
      <c r="A1777" s="364" t="s">
        <v>4645</v>
      </c>
      <c r="B1777" s="361" t="s">
        <v>4646</v>
      </c>
      <c r="C1777" t="s">
        <v>1920</v>
      </c>
      <c r="D1777" s="361">
        <v>22</v>
      </c>
      <c r="E1777" s="364"/>
      <c r="F1777" s="361" t="s">
        <v>1921</v>
      </c>
      <c r="T1777" s="361">
        <v>388.26666999999998</v>
      </c>
    </row>
    <row r="1778" spans="1:20" x14ac:dyDescent="0.25">
      <c r="A1778" s="364" t="s">
        <v>4647</v>
      </c>
      <c r="B1778" s="361" t="s">
        <v>4648</v>
      </c>
      <c r="C1778" t="s">
        <v>1920</v>
      </c>
      <c r="D1778" s="361">
        <v>12</v>
      </c>
      <c r="E1778" s="364"/>
      <c r="F1778" s="361" t="s">
        <v>1921</v>
      </c>
      <c r="T1778" s="361">
        <v>0.26669999999999999</v>
      </c>
    </row>
    <row r="1779" spans="1:20" x14ac:dyDescent="0.25">
      <c r="A1779" s="364" t="s">
        <v>4649</v>
      </c>
      <c r="B1779" s="361" t="s">
        <v>4650</v>
      </c>
      <c r="C1779" t="s">
        <v>1920</v>
      </c>
      <c r="D1779" s="361">
        <v>24</v>
      </c>
      <c r="E1779" s="364"/>
      <c r="F1779" s="361" t="s">
        <v>2201</v>
      </c>
      <c r="T1779" s="361">
        <v>163.49160000000001</v>
      </c>
    </row>
    <row r="1780" spans="1:20" x14ac:dyDescent="0.25">
      <c r="A1780" s="364" t="s">
        <v>4651</v>
      </c>
      <c r="B1780" s="361" t="s">
        <v>4652</v>
      </c>
      <c r="C1780" t="s">
        <v>1920</v>
      </c>
      <c r="D1780" s="361">
        <v>24</v>
      </c>
      <c r="E1780" s="364"/>
      <c r="F1780" s="361" t="s">
        <v>2201</v>
      </c>
      <c r="T1780" s="361">
        <v>181.0068</v>
      </c>
    </row>
    <row r="1781" spans="1:20" x14ac:dyDescent="0.25">
      <c r="A1781" s="364" t="s">
        <v>4653</v>
      </c>
      <c r="B1781" s="361" t="s">
        <v>4654</v>
      </c>
      <c r="C1781" t="s">
        <v>1920</v>
      </c>
      <c r="D1781" s="361">
        <v>24</v>
      </c>
      <c r="E1781" s="364"/>
      <c r="F1781" s="361" t="s">
        <v>2201</v>
      </c>
      <c r="T1781" s="361">
        <v>492</v>
      </c>
    </row>
    <row r="1782" spans="1:20" x14ac:dyDescent="0.25">
      <c r="A1782" s="364" t="s">
        <v>4655</v>
      </c>
      <c r="B1782" s="361" t="s">
        <v>4656</v>
      </c>
      <c r="C1782" t="s">
        <v>1920</v>
      </c>
      <c r="D1782" s="361">
        <v>24</v>
      </c>
      <c r="E1782" s="364"/>
      <c r="F1782" s="361" t="s">
        <v>2201</v>
      </c>
      <c r="T1782" s="361">
        <v>321.96480000000003</v>
      </c>
    </row>
    <row r="1783" spans="1:20" x14ac:dyDescent="0.25">
      <c r="A1783" s="364" t="s">
        <v>4657</v>
      </c>
      <c r="B1783" s="361" t="s">
        <v>4658</v>
      </c>
      <c r="C1783" t="s">
        <v>1920</v>
      </c>
      <c r="D1783" s="361">
        <v>24</v>
      </c>
      <c r="E1783" s="364"/>
      <c r="F1783" s="361" t="s">
        <v>2201</v>
      </c>
      <c r="T1783" s="361">
        <v>503.80799999999999</v>
      </c>
    </row>
    <row r="1784" spans="1:20" x14ac:dyDescent="0.25">
      <c r="A1784" s="364" t="s">
        <v>4659</v>
      </c>
      <c r="B1784" s="361" t="s">
        <v>4660</v>
      </c>
      <c r="C1784" t="s">
        <v>1920</v>
      </c>
      <c r="D1784" s="361">
        <v>24</v>
      </c>
      <c r="E1784" s="364"/>
      <c r="F1784" s="361" t="s">
        <v>2201</v>
      </c>
      <c r="T1784" s="361">
        <v>846</v>
      </c>
    </row>
    <row r="1785" spans="1:20" x14ac:dyDescent="0.25">
      <c r="A1785" s="364" t="s">
        <v>4661</v>
      </c>
      <c r="B1785" s="361" t="s">
        <v>4662</v>
      </c>
      <c r="C1785" t="s">
        <v>1920</v>
      </c>
      <c r="D1785" s="361">
        <v>24</v>
      </c>
      <c r="E1785" s="364"/>
      <c r="F1785" s="361" t="s">
        <v>1921</v>
      </c>
      <c r="T1785" s="361">
        <v>0.12889999999999999</v>
      </c>
    </row>
    <row r="1786" spans="1:20" x14ac:dyDescent="0.25">
      <c r="A1786" s="364" t="s">
        <v>1084</v>
      </c>
      <c r="B1786" s="361" t="s">
        <v>1085</v>
      </c>
      <c r="C1786" t="s">
        <v>1916</v>
      </c>
      <c r="D1786" s="361">
        <v>2</v>
      </c>
      <c r="E1786" s="364"/>
      <c r="F1786" s="361" t="s">
        <v>1917</v>
      </c>
      <c r="T1786" s="361">
        <v>16.5</v>
      </c>
    </row>
    <row r="1787" spans="1:20" x14ac:dyDescent="0.25">
      <c r="A1787" s="364" t="s">
        <v>1086</v>
      </c>
      <c r="B1787" s="361" t="s">
        <v>1087</v>
      </c>
      <c r="C1787" t="s">
        <v>1922</v>
      </c>
      <c r="D1787" s="361">
        <v>1</v>
      </c>
      <c r="E1787" s="364"/>
      <c r="F1787" s="361" t="s">
        <v>1917</v>
      </c>
      <c r="T1787" s="361">
        <v>6.2</v>
      </c>
    </row>
    <row r="1788" spans="1:20" x14ac:dyDescent="0.25">
      <c r="A1788" s="364" t="s">
        <v>1088</v>
      </c>
      <c r="B1788" s="361" t="s">
        <v>1089</v>
      </c>
      <c r="C1788" t="s">
        <v>1922</v>
      </c>
      <c r="D1788" s="361">
        <v>1</v>
      </c>
      <c r="E1788" s="364"/>
      <c r="F1788" s="361" t="s">
        <v>1917</v>
      </c>
      <c r="T1788" s="361">
        <v>2.6</v>
      </c>
    </row>
    <row r="1789" spans="1:20" x14ac:dyDescent="0.25">
      <c r="A1789" s="364" t="s">
        <v>1090</v>
      </c>
      <c r="B1789" s="361" t="s">
        <v>1091</v>
      </c>
      <c r="C1789" t="s">
        <v>1922</v>
      </c>
      <c r="D1789" s="361">
        <v>1</v>
      </c>
      <c r="E1789" s="364"/>
      <c r="F1789" s="361" t="s">
        <v>1917</v>
      </c>
      <c r="T1789" s="361">
        <v>20.5</v>
      </c>
    </row>
    <row r="1790" spans="1:20" x14ac:dyDescent="0.25">
      <c r="A1790" s="364" t="s">
        <v>1092</v>
      </c>
      <c r="B1790" s="361" t="s">
        <v>1093</v>
      </c>
      <c r="C1790" t="s">
        <v>1922</v>
      </c>
      <c r="D1790" s="361">
        <v>1</v>
      </c>
      <c r="E1790" s="364"/>
      <c r="F1790" s="361" t="s">
        <v>1917</v>
      </c>
      <c r="T1790" s="361">
        <v>39.479999999999997</v>
      </c>
    </row>
    <row r="1791" spans="1:20" x14ac:dyDescent="0.25">
      <c r="A1791" s="364" t="s">
        <v>1094</v>
      </c>
      <c r="B1791" s="361" t="s">
        <v>1095</v>
      </c>
      <c r="C1791" t="s">
        <v>1922</v>
      </c>
      <c r="D1791" s="361">
        <v>1</v>
      </c>
      <c r="E1791" s="364"/>
      <c r="F1791" s="361" t="s">
        <v>1917</v>
      </c>
      <c r="T1791" s="361">
        <v>37.380000000000003</v>
      </c>
    </row>
    <row r="1792" spans="1:20" x14ac:dyDescent="0.25">
      <c r="A1792" s="364" t="s">
        <v>1096</v>
      </c>
      <c r="B1792" s="361" t="s">
        <v>1097</v>
      </c>
      <c r="C1792" t="s">
        <v>1922</v>
      </c>
      <c r="D1792" s="361">
        <v>1</v>
      </c>
      <c r="E1792" s="364"/>
      <c r="F1792" s="361" t="s">
        <v>1917</v>
      </c>
      <c r="T1792" s="361">
        <v>69.55</v>
      </c>
    </row>
    <row r="1793" spans="1:20" x14ac:dyDescent="0.25">
      <c r="A1793" s="364" t="s">
        <v>4663</v>
      </c>
      <c r="B1793" s="361" t="s">
        <v>4664</v>
      </c>
      <c r="C1793" t="s">
        <v>1920</v>
      </c>
      <c r="D1793" s="361">
        <v>20</v>
      </c>
      <c r="E1793" s="364"/>
      <c r="F1793" s="361" t="s">
        <v>1921</v>
      </c>
      <c r="T1793" s="361">
        <v>5.7000000000000002E-2</v>
      </c>
    </row>
    <row r="1794" spans="1:20" x14ac:dyDescent="0.25">
      <c r="A1794" s="364" t="s">
        <v>4665</v>
      </c>
      <c r="B1794" s="361" t="s">
        <v>4666</v>
      </c>
      <c r="C1794" t="s">
        <v>1920</v>
      </c>
      <c r="D1794" s="361">
        <v>20</v>
      </c>
      <c r="E1794" s="364"/>
      <c r="F1794" s="361" t="s">
        <v>1921</v>
      </c>
      <c r="T1794" s="361">
        <v>5.7000000000000002E-2</v>
      </c>
    </row>
    <row r="1795" spans="1:20" x14ac:dyDescent="0.25">
      <c r="A1795" s="364" t="s">
        <v>4667</v>
      </c>
      <c r="B1795" s="361" t="s">
        <v>4668</v>
      </c>
      <c r="C1795" t="s">
        <v>1920</v>
      </c>
      <c r="D1795" s="361">
        <v>20</v>
      </c>
      <c r="E1795" s="364"/>
      <c r="F1795" s="361" t="s">
        <v>1921</v>
      </c>
      <c r="T1795" s="361">
        <v>5.7000000000000002E-2</v>
      </c>
    </row>
    <row r="1796" spans="1:20" x14ac:dyDescent="0.25">
      <c r="A1796" s="364" t="s">
        <v>4669</v>
      </c>
      <c r="B1796" s="361" t="s">
        <v>4670</v>
      </c>
      <c r="C1796" t="s">
        <v>1920</v>
      </c>
      <c r="D1796" s="361">
        <v>20</v>
      </c>
      <c r="E1796" s="364"/>
      <c r="F1796" s="361" t="s">
        <v>1921</v>
      </c>
      <c r="T1796" s="361">
        <v>8.7400000000000005E-2</v>
      </c>
    </row>
    <row r="1797" spans="1:20" x14ac:dyDescent="0.25">
      <c r="A1797" s="364" t="s">
        <v>4671</v>
      </c>
      <c r="B1797" s="361" t="s">
        <v>4672</v>
      </c>
      <c r="C1797" t="s">
        <v>1920</v>
      </c>
      <c r="D1797" s="361">
        <v>24</v>
      </c>
      <c r="E1797" s="364"/>
      <c r="F1797" s="361" t="s">
        <v>1921</v>
      </c>
      <c r="T1797" s="361">
        <v>0.11316</v>
      </c>
    </row>
    <row r="1798" spans="1:20" x14ac:dyDescent="0.25">
      <c r="A1798" s="364" t="s">
        <v>4673</v>
      </c>
      <c r="B1798" s="361" t="s">
        <v>4674</v>
      </c>
      <c r="C1798" t="s">
        <v>1920</v>
      </c>
      <c r="D1798" s="361">
        <v>24</v>
      </c>
      <c r="E1798" s="364"/>
      <c r="F1798" s="361" t="s">
        <v>1921</v>
      </c>
      <c r="T1798" s="361">
        <v>0.12005</v>
      </c>
    </row>
    <row r="1799" spans="1:20" x14ac:dyDescent="0.25">
      <c r="A1799" s="364" t="s">
        <v>4675</v>
      </c>
      <c r="B1799" s="361" t="s">
        <v>4676</v>
      </c>
      <c r="C1799" t="s">
        <v>1920</v>
      </c>
      <c r="D1799" s="361">
        <v>24</v>
      </c>
      <c r="E1799" s="364"/>
      <c r="F1799" s="361" t="s">
        <v>1921</v>
      </c>
      <c r="T1799" s="361">
        <v>0.16531000000000001</v>
      </c>
    </row>
    <row r="1800" spans="1:20" x14ac:dyDescent="0.25">
      <c r="A1800" s="364" t="s">
        <v>4677</v>
      </c>
      <c r="B1800" s="361" t="s">
        <v>4678</v>
      </c>
      <c r="C1800" t="s">
        <v>1920</v>
      </c>
      <c r="D1800" s="361">
        <v>24</v>
      </c>
      <c r="E1800" s="364"/>
      <c r="F1800" s="361" t="s">
        <v>1921</v>
      </c>
      <c r="T1800" s="361">
        <v>0.11611</v>
      </c>
    </row>
    <row r="1801" spans="1:20" x14ac:dyDescent="0.25">
      <c r="A1801" s="364" t="s">
        <v>4679</v>
      </c>
      <c r="B1801" s="361" t="s">
        <v>4680</v>
      </c>
      <c r="C1801" t="s">
        <v>2419</v>
      </c>
      <c r="D1801" s="361">
        <v>4</v>
      </c>
      <c r="E1801" s="364"/>
      <c r="F1801" s="361" t="s">
        <v>2201</v>
      </c>
      <c r="T1801" s="361">
        <v>771.93</v>
      </c>
    </row>
    <row r="1802" spans="1:20" x14ac:dyDescent="0.25">
      <c r="A1802" s="364" t="s">
        <v>4681</v>
      </c>
      <c r="B1802" s="361" t="s">
        <v>4682</v>
      </c>
      <c r="C1802" t="s">
        <v>1920</v>
      </c>
      <c r="D1802" s="361">
        <v>20</v>
      </c>
      <c r="E1802" s="364"/>
      <c r="F1802" s="361" t="s">
        <v>2201</v>
      </c>
      <c r="T1802" s="361">
        <v>52.2</v>
      </c>
    </row>
    <row r="1803" spans="1:20" x14ac:dyDescent="0.25">
      <c r="A1803" s="364" t="s">
        <v>4683</v>
      </c>
      <c r="B1803" s="361" t="s">
        <v>4684</v>
      </c>
      <c r="C1803" t="s">
        <v>1920</v>
      </c>
      <c r="D1803" s="361">
        <v>24</v>
      </c>
      <c r="E1803" s="364"/>
      <c r="F1803" s="361" t="s">
        <v>1921</v>
      </c>
      <c r="T1803" s="361">
        <v>0.29322999999999999</v>
      </c>
    </row>
    <row r="1804" spans="1:20" x14ac:dyDescent="0.25">
      <c r="A1804" s="364" t="s">
        <v>4685</v>
      </c>
      <c r="B1804" s="361" t="s">
        <v>4686</v>
      </c>
      <c r="C1804" t="s">
        <v>1920</v>
      </c>
      <c r="D1804" s="361">
        <v>24</v>
      </c>
      <c r="E1804" s="364"/>
      <c r="F1804" s="361" t="s">
        <v>1921</v>
      </c>
      <c r="T1804" s="361">
        <v>0.17909</v>
      </c>
    </row>
    <row r="1805" spans="1:20" x14ac:dyDescent="0.25">
      <c r="A1805" s="364" t="s">
        <v>4687</v>
      </c>
      <c r="B1805" s="361" t="s">
        <v>4688</v>
      </c>
      <c r="C1805" t="s">
        <v>1920</v>
      </c>
      <c r="D1805" s="361">
        <v>24</v>
      </c>
      <c r="E1805" s="364"/>
      <c r="F1805" s="361" t="s">
        <v>2201</v>
      </c>
      <c r="T1805" s="361">
        <v>343.416</v>
      </c>
    </row>
    <row r="1806" spans="1:20" x14ac:dyDescent="0.25">
      <c r="A1806" s="364" t="s">
        <v>4689</v>
      </c>
      <c r="B1806" s="361" t="s">
        <v>4690</v>
      </c>
      <c r="C1806" t="s">
        <v>2419</v>
      </c>
      <c r="D1806" s="361">
        <v>4</v>
      </c>
      <c r="E1806" s="364"/>
      <c r="F1806" s="361" t="s">
        <v>2201</v>
      </c>
      <c r="T1806" s="361">
        <v>384</v>
      </c>
    </row>
    <row r="1807" spans="1:20" x14ac:dyDescent="0.25">
      <c r="A1807" s="364" t="s">
        <v>4691</v>
      </c>
      <c r="B1807" s="361" t="s">
        <v>4692</v>
      </c>
      <c r="C1807" t="s">
        <v>1920</v>
      </c>
      <c r="D1807" s="361">
        <v>15</v>
      </c>
      <c r="E1807" s="364"/>
      <c r="F1807" s="361" t="s">
        <v>1917</v>
      </c>
      <c r="T1807" s="361">
        <v>49.6</v>
      </c>
    </row>
    <row r="1808" spans="1:20" x14ac:dyDescent="0.25">
      <c r="A1808" s="364" t="s">
        <v>4693</v>
      </c>
      <c r="B1808" s="361" t="s">
        <v>4694</v>
      </c>
      <c r="C1808" t="s">
        <v>1920</v>
      </c>
      <c r="D1808" s="361">
        <v>16</v>
      </c>
      <c r="E1808" s="364"/>
      <c r="F1808" s="361" t="s">
        <v>1917</v>
      </c>
      <c r="T1808" s="361">
        <v>4.0999999999999996</v>
      </c>
    </row>
    <row r="1809" spans="1:20" x14ac:dyDescent="0.25">
      <c r="A1809" s="364" t="s">
        <v>4695</v>
      </c>
      <c r="B1809" s="361" t="s">
        <v>4696</v>
      </c>
      <c r="C1809" t="s">
        <v>1920</v>
      </c>
      <c r="D1809" s="361">
        <v>24</v>
      </c>
      <c r="E1809" s="364"/>
      <c r="F1809" s="361" t="s">
        <v>1921</v>
      </c>
      <c r="T1809" s="361">
        <v>0.36456</v>
      </c>
    </row>
    <row r="1810" spans="1:20" x14ac:dyDescent="0.25">
      <c r="A1810" s="364" t="s">
        <v>4697</v>
      </c>
      <c r="B1810" s="361" t="s">
        <v>4698</v>
      </c>
      <c r="C1810" t="s">
        <v>1920</v>
      </c>
      <c r="D1810" s="361">
        <v>24</v>
      </c>
      <c r="E1810" s="364"/>
      <c r="F1810" s="361" t="s">
        <v>1921</v>
      </c>
      <c r="T1810" s="361">
        <v>0.1171</v>
      </c>
    </row>
    <row r="1811" spans="1:20" x14ac:dyDescent="0.25">
      <c r="A1811" s="364" t="s">
        <v>4699</v>
      </c>
      <c r="B1811" s="361" t="s">
        <v>4700</v>
      </c>
      <c r="C1811" t="s">
        <v>1920</v>
      </c>
      <c r="D1811" s="361">
        <v>24</v>
      </c>
      <c r="E1811" s="364"/>
      <c r="F1811" s="361" t="s">
        <v>1921</v>
      </c>
      <c r="T1811" s="361">
        <v>0.1535</v>
      </c>
    </row>
    <row r="1812" spans="1:20" x14ac:dyDescent="0.25">
      <c r="A1812" s="364" t="s">
        <v>4701</v>
      </c>
      <c r="B1812" s="361" t="s">
        <v>4702</v>
      </c>
      <c r="C1812" t="s">
        <v>1920</v>
      </c>
      <c r="D1812" s="361">
        <v>24</v>
      </c>
      <c r="E1812" s="364"/>
      <c r="F1812" s="361" t="s">
        <v>1921</v>
      </c>
      <c r="T1812" s="361">
        <v>0.16236</v>
      </c>
    </row>
    <row r="1813" spans="1:20" x14ac:dyDescent="0.25">
      <c r="A1813" s="364" t="s">
        <v>4703</v>
      </c>
      <c r="B1813" s="361" t="s">
        <v>4704</v>
      </c>
      <c r="C1813" t="s">
        <v>1920</v>
      </c>
      <c r="D1813" s="361">
        <v>24</v>
      </c>
      <c r="E1813" s="364"/>
      <c r="F1813" s="361" t="s">
        <v>1921</v>
      </c>
      <c r="T1813" s="361">
        <v>0.1108</v>
      </c>
    </row>
    <row r="1814" spans="1:20" x14ac:dyDescent="0.25">
      <c r="A1814" s="364" t="s">
        <v>4705</v>
      </c>
      <c r="B1814" s="361" t="s">
        <v>4706</v>
      </c>
      <c r="C1814" t="s">
        <v>1920</v>
      </c>
      <c r="D1814" s="361">
        <v>24</v>
      </c>
      <c r="E1814" s="364"/>
      <c r="F1814" s="361" t="s">
        <v>1921</v>
      </c>
      <c r="T1814" s="361">
        <v>9.1509999999999994E-2</v>
      </c>
    </row>
    <row r="1815" spans="1:20" x14ac:dyDescent="0.25">
      <c r="A1815" s="364" t="s">
        <v>4707</v>
      </c>
      <c r="B1815" s="361" t="s">
        <v>4708</v>
      </c>
      <c r="C1815" t="s">
        <v>1920</v>
      </c>
      <c r="D1815" s="361">
        <v>24</v>
      </c>
      <c r="E1815" s="364"/>
      <c r="F1815" s="361" t="s">
        <v>1921</v>
      </c>
      <c r="T1815" s="361">
        <v>0.12914999999999999</v>
      </c>
    </row>
    <row r="1816" spans="1:20" x14ac:dyDescent="0.25">
      <c r="A1816" s="364" t="s">
        <v>4709</v>
      </c>
      <c r="B1816" s="361" t="s">
        <v>4710</v>
      </c>
      <c r="C1816" t="s">
        <v>1920</v>
      </c>
      <c r="D1816" s="361">
        <v>24</v>
      </c>
      <c r="E1816" s="364"/>
      <c r="F1816" s="361" t="s">
        <v>1921</v>
      </c>
      <c r="T1816" s="361">
        <v>0.29322999999999999</v>
      </c>
    </row>
    <row r="1817" spans="1:20" x14ac:dyDescent="0.25">
      <c r="A1817" s="364" t="s">
        <v>4711</v>
      </c>
      <c r="B1817" s="361" t="s">
        <v>4712</v>
      </c>
      <c r="C1817" t="s">
        <v>1920</v>
      </c>
      <c r="D1817" s="361">
        <v>24</v>
      </c>
      <c r="E1817" s="364"/>
      <c r="F1817" s="361" t="s">
        <v>2201</v>
      </c>
      <c r="T1817" s="361">
        <v>156.45599999999999</v>
      </c>
    </row>
    <row r="1818" spans="1:20" x14ac:dyDescent="0.25">
      <c r="A1818" s="364" t="s">
        <v>4713</v>
      </c>
      <c r="B1818" s="361" t="s">
        <v>4714</v>
      </c>
      <c r="C1818" t="s">
        <v>1920</v>
      </c>
      <c r="D1818" s="361">
        <v>24</v>
      </c>
      <c r="E1818" s="364"/>
      <c r="F1818" s="361" t="s">
        <v>2201</v>
      </c>
      <c r="T1818" s="361">
        <v>89</v>
      </c>
    </row>
    <row r="1819" spans="1:20" x14ac:dyDescent="0.25">
      <c r="A1819" s="364" t="s">
        <v>4715</v>
      </c>
      <c r="B1819" s="361" t="s">
        <v>4716</v>
      </c>
      <c r="C1819" t="s">
        <v>1920</v>
      </c>
      <c r="D1819" s="361">
        <v>15</v>
      </c>
      <c r="E1819" s="364"/>
      <c r="F1819" s="361" t="s">
        <v>1917</v>
      </c>
      <c r="T1819" s="361">
        <v>26.9</v>
      </c>
    </row>
    <row r="1820" spans="1:20" x14ac:dyDescent="0.25">
      <c r="A1820" s="364" t="s">
        <v>4717</v>
      </c>
      <c r="B1820" s="361" t="s">
        <v>4718</v>
      </c>
      <c r="C1820" t="s">
        <v>1920</v>
      </c>
      <c r="D1820" s="361">
        <v>24</v>
      </c>
      <c r="E1820" s="364"/>
      <c r="F1820" s="361" t="s">
        <v>1921</v>
      </c>
      <c r="T1820" s="361">
        <v>5.6090000000000001E-2</v>
      </c>
    </row>
    <row r="1821" spans="1:20" x14ac:dyDescent="0.25">
      <c r="A1821" s="364" t="s">
        <v>1098</v>
      </c>
      <c r="B1821" s="361" t="s">
        <v>1099</v>
      </c>
      <c r="C1821" t="s">
        <v>1916</v>
      </c>
      <c r="D1821" s="361">
        <v>2</v>
      </c>
      <c r="E1821" s="364"/>
      <c r="F1821" s="361" t="s">
        <v>1917</v>
      </c>
      <c r="T1821" s="361">
        <v>2370</v>
      </c>
    </row>
    <row r="1822" spans="1:20" x14ac:dyDescent="0.25">
      <c r="A1822" s="364" t="s">
        <v>4719</v>
      </c>
      <c r="B1822" s="361" t="s">
        <v>4720</v>
      </c>
      <c r="C1822" t="s">
        <v>1920</v>
      </c>
      <c r="D1822" s="361">
        <v>54</v>
      </c>
      <c r="E1822" s="364"/>
      <c r="F1822" s="361" t="s">
        <v>1921</v>
      </c>
      <c r="T1822" s="361">
        <v>5.4120000000000001E-2</v>
      </c>
    </row>
    <row r="1823" spans="1:20" x14ac:dyDescent="0.25">
      <c r="A1823" s="364" t="s">
        <v>4721</v>
      </c>
      <c r="B1823" s="361" t="s">
        <v>4722</v>
      </c>
      <c r="C1823" t="s">
        <v>1920</v>
      </c>
      <c r="D1823" s="361">
        <v>54</v>
      </c>
      <c r="E1823" s="364"/>
      <c r="F1823" s="361" t="s">
        <v>1921</v>
      </c>
      <c r="T1823" s="361">
        <v>6.3960000000000003E-2</v>
      </c>
    </row>
    <row r="1824" spans="1:20" x14ac:dyDescent="0.25">
      <c r="A1824" s="364" t="s">
        <v>1100</v>
      </c>
      <c r="B1824" s="361" t="s">
        <v>1101</v>
      </c>
      <c r="C1824" t="s">
        <v>1922</v>
      </c>
      <c r="D1824" s="361">
        <v>1</v>
      </c>
      <c r="E1824" s="364"/>
      <c r="F1824" s="361" t="s">
        <v>1917</v>
      </c>
      <c r="T1824" s="361">
        <v>174.86571000000001</v>
      </c>
    </row>
    <row r="1825" spans="1:20" x14ac:dyDescent="0.25">
      <c r="A1825" s="364" t="s">
        <v>1102</v>
      </c>
      <c r="B1825" s="361" t="s">
        <v>1103</v>
      </c>
      <c r="C1825" t="s">
        <v>1922</v>
      </c>
      <c r="D1825" s="361">
        <v>1</v>
      </c>
      <c r="E1825" s="364"/>
      <c r="F1825" s="361" t="s">
        <v>1917</v>
      </c>
      <c r="T1825" s="361">
        <v>174.86571000000001</v>
      </c>
    </row>
    <row r="1826" spans="1:20" x14ac:dyDescent="0.25">
      <c r="A1826" s="364" t="s">
        <v>1104</v>
      </c>
      <c r="B1826" s="361" t="s">
        <v>1105</v>
      </c>
      <c r="C1826" t="s">
        <v>1922</v>
      </c>
      <c r="D1826" s="361">
        <v>1</v>
      </c>
      <c r="E1826" s="364"/>
      <c r="F1826" s="361" t="s">
        <v>1921</v>
      </c>
      <c r="T1826" s="361">
        <v>0.09</v>
      </c>
    </row>
    <row r="1827" spans="1:20" x14ac:dyDescent="0.25">
      <c r="A1827" s="364" t="s">
        <v>1106</v>
      </c>
      <c r="B1827" s="361" t="s">
        <v>1107</v>
      </c>
      <c r="C1827" t="s">
        <v>1922</v>
      </c>
      <c r="D1827" s="361">
        <v>1</v>
      </c>
      <c r="E1827" s="364"/>
      <c r="F1827" s="361" t="s">
        <v>1921</v>
      </c>
      <c r="T1827" s="361">
        <v>0.09</v>
      </c>
    </row>
    <row r="1828" spans="1:20" x14ac:dyDescent="0.25">
      <c r="A1828" s="364" t="s">
        <v>1108</v>
      </c>
      <c r="B1828" s="361" t="s">
        <v>1109</v>
      </c>
      <c r="C1828" t="s">
        <v>1922</v>
      </c>
      <c r="D1828" s="361">
        <v>1</v>
      </c>
      <c r="E1828" s="364"/>
      <c r="F1828" s="361" t="s">
        <v>1917</v>
      </c>
      <c r="T1828" s="361">
        <v>20</v>
      </c>
    </row>
    <row r="1829" spans="1:20" x14ac:dyDescent="0.25">
      <c r="A1829" s="364" t="s">
        <v>1110</v>
      </c>
      <c r="B1829" s="361" t="s">
        <v>1111</v>
      </c>
      <c r="C1829" t="s">
        <v>1922</v>
      </c>
      <c r="D1829" s="361">
        <v>1</v>
      </c>
      <c r="E1829" s="364"/>
      <c r="F1829" s="361" t="s">
        <v>1917</v>
      </c>
      <c r="T1829" s="361">
        <v>20</v>
      </c>
    </row>
    <row r="1830" spans="1:20" x14ac:dyDescent="0.25">
      <c r="A1830" s="364" t="s">
        <v>4723</v>
      </c>
      <c r="B1830" s="361" t="s">
        <v>4724</v>
      </c>
      <c r="C1830" t="s">
        <v>1920</v>
      </c>
      <c r="D1830" s="361">
        <v>20</v>
      </c>
      <c r="E1830" s="364"/>
      <c r="F1830" s="361" t="s">
        <v>1921</v>
      </c>
      <c r="T1830" s="361">
        <v>3.5000000000000003E-2</v>
      </c>
    </row>
    <row r="1831" spans="1:20" x14ac:dyDescent="0.25">
      <c r="A1831" s="364" t="s">
        <v>4725</v>
      </c>
      <c r="B1831" s="361" t="s">
        <v>4726</v>
      </c>
      <c r="C1831" t="s">
        <v>1920</v>
      </c>
      <c r="D1831" s="361">
        <v>20</v>
      </c>
      <c r="E1831" s="364"/>
      <c r="F1831" s="361" t="s">
        <v>1921</v>
      </c>
      <c r="T1831" s="361">
        <v>3.5000000000000003E-2</v>
      </c>
    </row>
    <row r="1832" spans="1:20" x14ac:dyDescent="0.25">
      <c r="A1832" s="364" t="s">
        <v>4727</v>
      </c>
      <c r="B1832" s="361" t="s">
        <v>4728</v>
      </c>
      <c r="C1832" t="s">
        <v>1920</v>
      </c>
      <c r="D1832" s="361">
        <v>20</v>
      </c>
      <c r="E1832" s="364"/>
      <c r="F1832" s="361" t="s">
        <v>1921</v>
      </c>
      <c r="T1832" s="361">
        <v>1.308E-2</v>
      </c>
    </row>
    <row r="1833" spans="1:20" x14ac:dyDescent="0.25">
      <c r="A1833" s="364" t="s">
        <v>4729</v>
      </c>
      <c r="B1833" s="361" t="s">
        <v>4730</v>
      </c>
      <c r="C1833" t="s">
        <v>1920</v>
      </c>
      <c r="D1833" s="361">
        <v>20</v>
      </c>
      <c r="E1833" s="364"/>
      <c r="F1833" s="361" t="s">
        <v>1921</v>
      </c>
      <c r="T1833" s="361">
        <v>1.312E-2</v>
      </c>
    </row>
    <row r="1834" spans="1:20" x14ac:dyDescent="0.25">
      <c r="A1834" s="364" t="s">
        <v>4731</v>
      </c>
      <c r="B1834" s="361" t="s">
        <v>4732</v>
      </c>
      <c r="C1834" t="s">
        <v>1920</v>
      </c>
      <c r="D1834" s="361">
        <v>24</v>
      </c>
      <c r="E1834" s="364"/>
      <c r="F1834" s="361" t="s">
        <v>1921</v>
      </c>
      <c r="T1834" s="361">
        <v>7.4999999999999997E-2</v>
      </c>
    </row>
    <row r="1835" spans="1:20" x14ac:dyDescent="0.25">
      <c r="A1835" s="364" t="s">
        <v>4733</v>
      </c>
      <c r="B1835" s="361" t="s">
        <v>4734</v>
      </c>
      <c r="C1835" t="s">
        <v>1920</v>
      </c>
      <c r="D1835" s="361">
        <v>24</v>
      </c>
      <c r="E1835" s="364"/>
      <c r="F1835" s="361" t="s">
        <v>1921</v>
      </c>
      <c r="T1835" s="361">
        <v>7.4999999999999997E-2</v>
      </c>
    </row>
    <row r="1836" spans="1:20" x14ac:dyDescent="0.25">
      <c r="A1836" s="364" t="s">
        <v>4735</v>
      </c>
      <c r="B1836" s="361" t="s">
        <v>4736</v>
      </c>
      <c r="C1836" t="s">
        <v>1920</v>
      </c>
      <c r="D1836" s="361">
        <v>26</v>
      </c>
      <c r="E1836" s="364"/>
      <c r="F1836" s="361" t="s">
        <v>1921</v>
      </c>
      <c r="T1836" s="361">
        <v>0.33</v>
      </c>
    </row>
    <row r="1837" spans="1:20" x14ac:dyDescent="0.25">
      <c r="A1837" s="364" t="s">
        <v>4737</v>
      </c>
      <c r="B1837" s="361" t="s">
        <v>4738</v>
      </c>
      <c r="C1837" t="s">
        <v>1920</v>
      </c>
      <c r="D1837" s="361">
        <v>26</v>
      </c>
      <c r="E1837" s="364"/>
      <c r="F1837" s="361" t="s">
        <v>1921</v>
      </c>
      <c r="T1837" s="361">
        <v>0.33</v>
      </c>
    </row>
    <row r="1838" spans="1:20" x14ac:dyDescent="0.25">
      <c r="A1838" s="364" t="s">
        <v>4739</v>
      </c>
      <c r="B1838" s="361" t="s">
        <v>4740</v>
      </c>
      <c r="C1838" t="s">
        <v>1920</v>
      </c>
      <c r="D1838" s="361">
        <v>20</v>
      </c>
      <c r="E1838" s="364"/>
      <c r="F1838" s="361" t="s">
        <v>1921</v>
      </c>
      <c r="T1838" s="361">
        <v>8.7400000000000005E-2</v>
      </c>
    </row>
    <row r="1839" spans="1:20" x14ac:dyDescent="0.25">
      <c r="A1839" s="364" t="s">
        <v>4741</v>
      </c>
      <c r="B1839" s="361" t="s">
        <v>4742</v>
      </c>
      <c r="C1839" t="s">
        <v>1920</v>
      </c>
      <c r="D1839" s="361">
        <v>20</v>
      </c>
      <c r="E1839" s="364"/>
      <c r="F1839" s="361" t="s">
        <v>2201</v>
      </c>
      <c r="T1839" s="361">
        <v>87.4</v>
      </c>
    </row>
    <row r="1840" spans="1:20" x14ac:dyDescent="0.25">
      <c r="A1840" s="364" t="s">
        <v>4743</v>
      </c>
      <c r="B1840" s="361" t="s">
        <v>4744</v>
      </c>
      <c r="C1840" t="s">
        <v>1920</v>
      </c>
      <c r="D1840" s="361">
        <v>20</v>
      </c>
      <c r="E1840" s="364"/>
      <c r="F1840" s="361" t="s">
        <v>2201</v>
      </c>
      <c r="T1840" s="361">
        <v>87.4</v>
      </c>
    </row>
    <row r="1841" spans="1:20" x14ac:dyDescent="0.25">
      <c r="A1841" s="364" t="s">
        <v>4745</v>
      </c>
      <c r="B1841" s="361" t="s">
        <v>4746</v>
      </c>
      <c r="C1841" t="s">
        <v>1920</v>
      </c>
      <c r="D1841" s="361">
        <v>26</v>
      </c>
      <c r="E1841" s="364"/>
      <c r="F1841" s="361" t="s">
        <v>1921</v>
      </c>
      <c r="T1841" s="361">
        <v>0.95799999999999996</v>
      </c>
    </row>
    <row r="1842" spans="1:20" x14ac:dyDescent="0.25">
      <c r="A1842" s="364" t="s">
        <v>4747</v>
      </c>
      <c r="B1842" s="361" t="s">
        <v>4748</v>
      </c>
      <c r="C1842" t="s">
        <v>1920</v>
      </c>
      <c r="D1842" s="361">
        <v>26</v>
      </c>
      <c r="E1842" s="364"/>
      <c r="F1842" s="361" t="s">
        <v>1921</v>
      </c>
      <c r="T1842" s="361">
        <v>0.77800000000000002</v>
      </c>
    </row>
    <row r="1843" spans="1:20" x14ac:dyDescent="0.25">
      <c r="A1843" s="364" t="s">
        <v>4749</v>
      </c>
      <c r="B1843" s="361" t="s">
        <v>4750</v>
      </c>
      <c r="C1843" t="s">
        <v>1920</v>
      </c>
      <c r="D1843" s="361">
        <v>27</v>
      </c>
      <c r="E1843" s="364"/>
      <c r="F1843" s="361" t="s">
        <v>1921</v>
      </c>
      <c r="T1843" s="361">
        <v>0.97199999999999998</v>
      </c>
    </row>
    <row r="1844" spans="1:20" x14ac:dyDescent="0.25">
      <c r="A1844" s="364" t="s">
        <v>4751</v>
      </c>
      <c r="B1844" s="361" t="s">
        <v>4752</v>
      </c>
      <c r="C1844" t="s">
        <v>1920</v>
      </c>
      <c r="D1844" s="361">
        <v>20</v>
      </c>
      <c r="E1844" s="364"/>
      <c r="F1844" s="361" t="s">
        <v>2201</v>
      </c>
      <c r="T1844" s="361">
        <v>229.6</v>
      </c>
    </row>
    <row r="1845" spans="1:20" x14ac:dyDescent="0.25">
      <c r="A1845" s="364" t="s">
        <v>4753</v>
      </c>
      <c r="B1845" s="361" t="s">
        <v>4754</v>
      </c>
      <c r="C1845" t="s">
        <v>1920</v>
      </c>
      <c r="D1845" s="361">
        <v>20</v>
      </c>
      <c r="E1845" s="364"/>
      <c r="F1845" s="361" t="s">
        <v>2201</v>
      </c>
      <c r="T1845" s="361">
        <v>52.2</v>
      </c>
    </row>
    <row r="1846" spans="1:20" x14ac:dyDescent="0.25">
      <c r="A1846" s="364" t="s">
        <v>4755</v>
      </c>
      <c r="B1846" s="361" t="s">
        <v>4756</v>
      </c>
      <c r="C1846" t="s">
        <v>1920</v>
      </c>
      <c r="D1846" s="361">
        <v>20</v>
      </c>
      <c r="E1846" s="364"/>
      <c r="F1846" s="361" t="s">
        <v>2201</v>
      </c>
      <c r="T1846" s="361">
        <v>229.6</v>
      </c>
    </row>
    <row r="1847" spans="1:20" x14ac:dyDescent="0.25">
      <c r="A1847" s="364" t="s">
        <v>4757</v>
      </c>
      <c r="B1847" s="361" t="s">
        <v>4758</v>
      </c>
      <c r="C1847" t="s">
        <v>1920</v>
      </c>
      <c r="D1847" s="361">
        <v>24</v>
      </c>
      <c r="E1847" s="364"/>
      <c r="F1847" s="361" t="s">
        <v>2201</v>
      </c>
      <c r="T1847" s="361">
        <v>419.67599999999999</v>
      </c>
    </row>
    <row r="1848" spans="1:20" x14ac:dyDescent="0.25">
      <c r="A1848" s="364" t="s">
        <v>4759</v>
      </c>
      <c r="B1848" s="361" t="s">
        <v>4760</v>
      </c>
      <c r="C1848" t="s">
        <v>1920</v>
      </c>
      <c r="D1848" s="361">
        <v>20</v>
      </c>
      <c r="E1848" s="364"/>
      <c r="F1848" s="361" t="s">
        <v>2201</v>
      </c>
      <c r="T1848" s="361">
        <v>52.2</v>
      </c>
    </row>
    <row r="1849" spans="1:20" x14ac:dyDescent="0.25">
      <c r="A1849" s="364" t="s">
        <v>4761</v>
      </c>
      <c r="B1849" s="361" t="s">
        <v>4762</v>
      </c>
      <c r="C1849" t="s">
        <v>1920</v>
      </c>
      <c r="D1849" s="361">
        <v>20</v>
      </c>
      <c r="E1849" s="364"/>
      <c r="F1849" s="361" t="s">
        <v>2201</v>
      </c>
      <c r="T1849" s="361">
        <v>229.6</v>
      </c>
    </row>
    <row r="1850" spans="1:20" x14ac:dyDescent="0.25">
      <c r="A1850" s="364" t="s">
        <v>4763</v>
      </c>
      <c r="B1850" s="361" t="s">
        <v>4014</v>
      </c>
      <c r="C1850" t="s">
        <v>1920</v>
      </c>
      <c r="D1850" s="361">
        <v>20</v>
      </c>
      <c r="E1850" s="364"/>
      <c r="F1850" s="361" t="s">
        <v>2201</v>
      </c>
      <c r="T1850" s="361">
        <v>152.19999999999999</v>
      </c>
    </row>
    <row r="1851" spans="1:20" x14ac:dyDescent="0.25">
      <c r="A1851" s="364" t="s">
        <v>4764</v>
      </c>
      <c r="B1851" s="361" t="s">
        <v>4765</v>
      </c>
      <c r="C1851" t="s">
        <v>1920</v>
      </c>
      <c r="D1851" s="361">
        <v>24</v>
      </c>
      <c r="E1851" s="364"/>
      <c r="F1851" s="361" t="s">
        <v>1921</v>
      </c>
      <c r="T1851" s="361">
        <v>6.9860000000000005E-2</v>
      </c>
    </row>
    <row r="1852" spans="1:20" x14ac:dyDescent="0.25">
      <c r="A1852" s="364" t="s">
        <v>4766</v>
      </c>
      <c r="B1852" s="361" t="s">
        <v>4767</v>
      </c>
      <c r="C1852" t="s">
        <v>1920</v>
      </c>
      <c r="D1852" s="361">
        <v>11</v>
      </c>
      <c r="E1852" s="364"/>
      <c r="F1852" s="361" t="s">
        <v>1921</v>
      </c>
      <c r="T1852" s="361">
        <v>0.42109999999999997</v>
      </c>
    </row>
    <row r="1853" spans="1:20" x14ac:dyDescent="0.25">
      <c r="A1853" s="364" t="s">
        <v>4768</v>
      </c>
      <c r="B1853" s="361" t="s">
        <v>4769</v>
      </c>
      <c r="C1853" t="s">
        <v>1920</v>
      </c>
      <c r="D1853" s="361">
        <v>20</v>
      </c>
      <c r="E1853" s="364"/>
      <c r="F1853" s="361" t="s">
        <v>1921</v>
      </c>
      <c r="T1853" s="361">
        <v>5.1200000000000002E-2</v>
      </c>
    </row>
    <row r="1854" spans="1:20" x14ac:dyDescent="0.25">
      <c r="A1854" s="364" t="s">
        <v>4770</v>
      </c>
      <c r="B1854" s="361" t="s">
        <v>4771</v>
      </c>
      <c r="C1854" t="s">
        <v>1920</v>
      </c>
      <c r="D1854" s="361">
        <v>27</v>
      </c>
      <c r="E1854" s="364"/>
      <c r="F1854" s="361" t="s">
        <v>1921</v>
      </c>
      <c r="T1854" s="361">
        <v>0.79700000000000004</v>
      </c>
    </row>
    <row r="1855" spans="1:20" x14ac:dyDescent="0.25">
      <c r="A1855" s="364" t="s">
        <v>4772</v>
      </c>
      <c r="B1855" s="361" t="s">
        <v>4773</v>
      </c>
      <c r="C1855" t="s">
        <v>1920</v>
      </c>
      <c r="D1855" s="361">
        <v>48</v>
      </c>
      <c r="E1855" s="364"/>
      <c r="F1855" s="361" t="s">
        <v>1921</v>
      </c>
      <c r="T1855" s="361">
        <v>0.24914</v>
      </c>
    </row>
    <row r="1856" spans="1:20" x14ac:dyDescent="0.25">
      <c r="A1856" s="364" t="s">
        <v>4774</v>
      </c>
      <c r="B1856" s="361" t="s">
        <v>4775</v>
      </c>
      <c r="C1856" t="s">
        <v>1920</v>
      </c>
      <c r="D1856" s="361">
        <v>56</v>
      </c>
      <c r="E1856" s="364"/>
      <c r="F1856" s="361" t="s">
        <v>1921</v>
      </c>
      <c r="T1856" s="361">
        <v>15</v>
      </c>
    </row>
    <row r="1857" spans="1:20" x14ac:dyDescent="0.25">
      <c r="A1857" s="364" t="s">
        <v>4776</v>
      </c>
      <c r="B1857" s="361" t="s">
        <v>4777</v>
      </c>
      <c r="C1857" t="s">
        <v>2419</v>
      </c>
      <c r="D1857" s="361">
        <v>4</v>
      </c>
      <c r="E1857" s="364"/>
      <c r="F1857" s="361" t="s">
        <v>1921</v>
      </c>
      <c r="T1857" s="361">
        <v>8.2600000000000007E-2</v>
      </c>
    </row>
    <row r="1858" spans="1:20" x14ac:dyDescent="0.25">
      <c r="A1858" s="364" t="s">
        <v>4778</v>
      </c>
      <c r="B1858" s="361" t="s">
        <v>4779</v>
      </c>
      <c r="C1858" t="s">
        <v>1920</v>
      </c>
      <c r="D1858" s="361">
        <v>15</v>
      </c>
      <c r="E1858" s="364"/>
      <c r="F1858" s="361" t="s">
        <v>1917</v>
      </c>
      <c r="T1858" s="361">
        <v>24.9</v>
      </c>
    </row>
    <row r="1859" spans="1:20" x14ac:dyDescent="0.25">
      <c r="A1859" s="364" t="s">
        <v>4780</v>
      </c>
      <c r="B1859" s="361" t="s">
        <v>4781</v>
      </c>
      <c r="C1859" t="s">
        <v>1920</v>
      </c>
      <c r="D1859" s="361">
        <v>15</v>
      </c>
      <c r="E1859" s="364"/>
      <c r="F1859" s="361" t="s">
        <v>1917</v>
      </c>
      <c r="T1859" s="361">
        <v>49.6</v>
      </c>
    </row>
    <row r="1860" spans="1:20" x14ac:dyDescent="0.25">
      <c r="A1860" s="364" t="s">
        <v>4782</v>
      </c>
      <c r="B1860" s="361" t="s">
        <v>4783</v>
      </c>
      <c r="C1860" t="s">
        <v>1920</v>
      </c>
      <c r="D1860" s="361">
        <v>24</v>
      </c>
      <c r="E1860" s="364"/>
      <c r="F1860" s="361" t="s">
        <v>1921</v>
      </c>
      <c r="T1860" s="361">
        <v>0.37879000000000002</v>
      </c>
    </row>
    <row r="1861" spans="1:20" x14ac:dyDescent="0.25">
      <c r="A1861" s="364" t="s">
        <v>4784</v>
      </c>
      <c r="B1861" s="361" t="s">
        <v>4785</v>
      </c>
      <c r="C1861" t="s">
        <v>1920</v>
      </c>
      <c r="D1861" s="361">
        <v>27</v>
      </c>
      <c r="E1861" s="364"/>
      <c r="F1861" s="361" t="s">
        <v>1921</v>
      </c>
      <c r="T1861" s="361">
        <v>1.4410000000000001</v>
      </c>
    </row>
    <row r="1862" spans="1:20" x14ac:dyDescent="0.25">
      <c r="A1862" s="364" t="s">
        <v>4786</v>
      </c>
      <c r="B1862" s="361" t="s">
        <v>4787</v>
      </c>
      <c r="C1862" t="s">
        <v>1920</v>
      </c>
      <c r="D1862" s="361">
        <v>15</v>
      </c>
      <c r="E1862" s="364"/>
      <c r="F1862" s="361" t="s">
        <v>1917</v>
      </c>
      <c r="T1862" s="361">
        <v>17.95</v>
      </c>
    </row>
    <row r="1863" spans="1:20" x14ac:dyDescent="0.25">
      <c r="A1863" s="364" t="s">
        <v>4788</v>
      </c>
      <c r="B1863" s="361" t="s">
        <v>4789</v>
      </c>
      <c r="C1863" t="s">
        <v>1920</v>
      </c>
      <c r="D1863" s="361">
        <v>24</v>
      </c>
      <c r="E1863" s="364"/>
      <c r="F1863" s="361" t="s">
        <v>1921</v>
      </c>
      <c r="T1863" s="361">
        <v>0.24107999999999999</v>
      </c>
    </row>
    <row r="1864" spans="1:20" x14ac:dyDescent="0.25">
      <c r="A1864" s="364" t="s">
        <v>4790</v>
      </c>
      <c r="B1864" s="361" t="s">
        <v>4740</v>
      </c>
      <c r="C1864" t="s">
        <v>1920</v>
      </c>
      <c r="D1864" s="361">
        <v>20</v>
      </c>
      <c r="E1864" s="364"/>
      <c r="F1864" s="361" t="s">
        <v>1921</v>
      </c>
      <c r="T1864" s="361">
        <v>8.7400000000000005E-2</v>
      </c>
    </row>
    <row r="1865" spans="1:20" x14ac:dyDescent="0.25">
      <c r="A1865" s="364" t="s">
        <v>4791</v>
      </c>
      <c r="B1865" s="361" t="s">
        <v>4532</v>
      </c>
      <c r="C1865" t="s">
        <v>1920</v>
      </c>
      <c r="D1865" s="361">
        <v>24</v>
      </c>
      <c r="E1865" s="364"/>
      <c r="F1865" s="361" t="s">
        <v>1921</v>
      </c>
      <c r="T1865" s="361">
        <v>0.29499999999999998</v>
      </c>
    </row>
    <row r="1866" spans="1:20" x14ac:dyDescent="0.25">
      <c r="A1866" s="364" t="s">
        <v>4792</v>
      </c>
      <c r="B1866" s="361" t="s">
        <v>4793</v>
      </c>
      <c r="C1866" t="s">
        <v>1920</v>
      </c>
      <c r="D1866" s="361">
        <v>15</v>
      </c>
      <c r="E1866" s="364"/>
      <c r="F1866" s="361" t="s">
        <v>1917</v>
      </c>
      <c r="T1866" s="361">
        <v>25.9</v>
      </c>
    </row>
    <row r="1867" spans="1:20" x14ac:dyDescent="0.25">
      <c r="A1867" s="364" t="s">
        <v>4794</v>
      </c>
      <c r="B1867" s="361" t="s">
        <v>4795</v>
      </c>
      <c r="C1867" t="s">
        <v>1920</v>
      </c>
      <c r="D1867" s="361">
        <v>50</v>
      </c>
      <c r="E1867" s="364"/>
      <c r="F1867" s="361" t="s">
        <v>2201</v>
      </c>
      <c r="T1867" s="361">
        <v>229.6</v>
      </c>
    </row>
    <row r="1868" spans="1:20" x14ac:dyDescent="0.25">
      <c r="A1868" s="364" t="s">
        <v>4796</v>
      </c>
      <c r="B1868" s="361" t="s">
        <v>4797</v>
      </c>
      <c r="C1868" t="s">
        <v>1920</v>
      </c>
      <c r="D1868" s="361">
        <v>20</v>
      </c>
      <c r="E1868" s="364"/>
      <c r="F1868" s="361" t="s">
        <v>2201</v>
      </c>
      <c r="T1868" s="361">
        <v>229.6</v>
      </c>
    </row>
    <row r="1869" spans="1:20" x14ac:dyDescent="0.25">
      <c r="A1869" s="364" t="s">
        <v>4798</v>
      </c>
      <c r="B1869" s="361" t="s">
        <v>4799</v>
      </c>
      <c r="C1869" t="s">
        <v>1920</v>
      </c>
      <c r="D1869" s="361">
        <v>50</v>
      </c>
      <c r="E1869" s="364"/>
      <c r="F1869" s="361" t="s">
        <v>2201</v>
      </c>
      <c r="T1869" s="361">
        <v>229.6</v>
      </c>
    </row>
    <row r="1870" spans="1:20" x14ac:dyDescent="0.25">
      <c r="A1870" s="364" t="s">
        <v>4800</v>
      </c>
      <c r="B1870" s="361" t="s">
        <v>4801</v>
      </c>
      <c r="C1870" t="s">
        <v>1920</v>
      </c>
      <c r="D1870" s="361">
        <v>50</v>
      </c>
      <c r="E1870" s="364"/>
      <c r="F1870" s="361" t="s">
        <v>2201</v>
      </c>
      <c r="T1870" s="361">
        <v>229.6</v>
      </c>
    </row>
    <row r="1871" spans="1:20" x14ac:dyDescent="0.25">
      <c r="A1871" s="364" t="s">
        <v>4802</v>
      </c>
      <c r="B1871" s="361" t="s">
        <v>4803</v>
      </c>
      <c r="C1871" t="s">
        <v>1920</v>
      </c>
      <c r="D1871" s="361">
        <v>20</v>
      </c>
      <c r="E1871" s="364"/>
      <c r="F1871" s="361" t="s">
        <v>2201</v>
      </c>
      <c r="T1871" s="361">
        <v>229.6</v>
      </c>
    </row>
    <row r="1872" spans="1:20" x14ac:dyDescent="0.25">
      <c r="A1872" s="364" t="s">
        <v>4804</v>
      </c>
      <c r="B1872" s="361" t="s">
        <v>4805</v>
      </c>
      <c r="C1872" t="s">
        <v>1920</v>
      </c>
      <c r="D1872" s="361">
        <v>20</v>
      </c>
      <c r="E1872" s="364"/>
      <c r="F1872" s="361" t="s">
        <v>2201</v>
      </c>
      <c r="T1872" s="361">
        <v>229.6</v>
      </c>
    </row>
    <row r="1873" spans="1:20" x14ac:dyDescent="0.25">
      <c r="A1873" s="364" t="s">
        <v>4806</v>
      </c>
      <c r="B1873" s="361" t="s">
        <v>4807</v>
      </c>
      <c r="C1873" t="s">
        <v>1920</v>
      </c>
      <c r="D1873" s="361">
        <v>20</v>
      </c>
      <c r="E1873" s="364"/>
      <c r="F1873" s="361" t="s">
        <v>2201</v>
      </c>
      <c r="T1873" s="361">
        <v>229.6</v>
      </c>
    </row>
    <row r="1874" spans="1:20" x14ac:dyDescent="0.25">
      <c r="A1874" s="364" t="s">
        <v>4808</v>
      </c>
      <c r="B1874" s="361" t="s">
        <v>4809</v>
      </c>
      <c r="C1874" t="s">
        <v>1920</v>
      </c>
      <c r="D1874" s="361">
        <v>20</v>
      </c>
      <c r="E1874" s="364"/>
      <c r="F1874" s="361" t="s">
        <v>2201</v>
      </c>
      <c r="T1874" s="361">
        <v>229.6</v>
      </c>
    </row>
    <row r="1875" spans="1:20" x14ac:dyDescent="0.25">
      <c r="A1875" s="364" t="s">
        <v>4810</v>
      </c>
      <c r="B1875" s="361" t="s">
        <v>4811</v>
      </c>
      <c r="C1875" t="s">
        <v>1920</v>
      </c>
      <c r="D1875" s="361">
        <v>20</v>
      </c>
      <c r="E1875" s="364"/>
      <c r="F1875" s="361" t="s">
        <v>2201</v>
      </c>
      <c r="T1875" s="361">
        <v>229.6</v>
      </c>
    </row>
    <row r="1876" spans="1:20" x14ac:dyDescent="0.25">
      <c r="A1876" s="364" t="s">
        <v>4812</v>
      </c>
      <c r="B1876" s="361" t="s">
        <v>4813</v>
      </c>
      <c r="C1876" t="s">
        <v>1920</v>
      </c>
      <c r="D1876" s="361">
        <v>50</v>
      </c>
      <c r="E1876" s="364"/>
      <c r="F1876" s="361" t="s">
        <v>1921</v>
      </c>
      <c r="T1876" s="361">
        <v>3.2300000000000002E-2</v>
      </c>
    </row>
    <row r="1877" spans="1:20" x14ac:dyDescent="0.25">
      <c r="A1877" s="364" t="s">
        <v>4814</v>
      </c>
      <c r="B1877" s="361" t="s">
        <v>4815</v>
      </c>
      <c r="C1877" t="s">
        <v>1920</v>
      </c>
      <c r="D1877" s="361">
        <v>27</v>
      </c>
      <c r="E1877" s="364"/>
      <c r="F1877" s="361" t="s">
        <v>1921</v>
      </c>
      <c r="T1877" s="361">
        <v>0.82299999999999995</v>
      </c>
    </row>
    <row r="1878" spans="1:20" x14ac:dyDescent="0.25">
      <c r="A1878" s="364" t="s">
        <v>4816</v>
      </c>
      <c r="B1878" s="361" t="s">
        <v>4817</v>
      </c>
      <c r="C1878" t="s">
        <v>1920</v>
      </c>
      <c r="D1878" s="361">
        <v>18</v>
      </c>
      <c r="E1878" s="364"/>
      <c r="F1878" s="361" t="s">
        <v>1921</v>
      </c>
      <c r="T1878" s="361">
        <v>0.57999999999999996</v>
      </c>
    </row>
    <row r="1879" spans="1:20" x14ac:dyDescent="0.25">
      <c r="A1879" s="364" t="s">
        <v>4818</v>
      </c>
      <c r="B1879" s="361" t="s">
        <v>4819</v>
      </c>
      <c r="C1879" t="s">
        <v>1920</v>
      </c>
      <c r="D1879" s="361">
        <v>18</v>
      </c>
      <c r="E1879" s="364"/>
      <c r="F1879" s="361" t="s">
        <v>1921</v>
      </c>
      <c r="T1879" s="361">
        <v>0.55800000000000005</v>
      </c>
    </row>
    <row r="1880" spans="1:20" x14ac:dyDescent="0.25">
      <c r="A1880" s="364" t="s">
        <v>4820</v>
      </c>
      <c r="B1880" s="361" t="s">
        <v>4821</v>
      </c>
      <c r="C1880" t="s">
        <v>1920</v>
      </c>
      <c r="D1880" s="361">
        <v>24</v>
      </c>
      <c r="E1880" s="364"/>
      <c r="F1880" s="361" t="s">
        <v>1921</v>
      </c>
      <c r="T1880" s="361">
        <v>0.123</v>
      </c>
    </row>
    <row r="1881" spans="1:20" x14ac:dyDescent="0.25">
      <c r="A1881" s="364" t="s">
        <v>4822</v>
      </c>
      <c r="B1881" s="361" t="s">
        <v>4823</v>
      </c>
      <c r="C1881" t="s">
        <v>1920</v>
      </c>
      <c r="D1881" s="361">
        <v>11</v>
      </c>
      <c r="E1881" s="364"/>
      <c r="F1881" s="361" t="s">
        <v>2201</v>
      </c>
      <c r="T1881" s="361">
        <v>103</v>
      </c>
    </row>
    <row r="1882" spans="1:20" x14ac:dyDescent="0.25">
      <c r="A1882" s="364" t="s">
        <v>4824</v>
      </c>
      <c r="B1882" s="361" t="s">
        <v>4825</v>
      </c>
      <c r="C1882" t="s">
        <v>1920</v>
      </c>
      <c r="D1882" s="361">
        <v>42</v>
      </c>
      <c r="E1882" s="364"/>
      <c r="F1882" s="361" t="s">
        <v>2201</v>
      </c>
      <c r="T1882" s="361">
        <v>115</v>
      </c>
    </row>
    <row r="1883" spans="1:20" x14ac:dyDescent="0.25">
      <c r="A1883" s="364" t="s">
        <v>4826</v>
      </c>
      <c r="B1883" s="361" t="s">
        <v>4827</v>
      </c>
      <c r="C1883" t="s">
        <v>1920</v>
      </c>
      <c r="D1883" s="361">
        <v>33</v>
      </c>
      <c r="E1883" s="364"/>
      <c r="F1883" s="361" t="s">
        <v>2201</v>
      </c>
      <c r="T1883" s="361">
        <v>155</v>
      </c>
    </row>
    <row r="1884" spans="1:20" x14ac:dyDescent="0.25">
      <c r="A1884" s="364" t="s">
        <v>4828</v>
      </c>
      <c r="B1884" s="361" t="s">
        <v>4829</v>
      </c>
      <c r="C1884">
        <v>2</v>
      </c>
      <c r="D1884" s="361">
        <v>97</v>
      </c>
      <c r="E1884" s="364"/>
      <c r="F1884" s="361" t="s">
        <v>1921</v>
      </c>
      <c r="T1884" s="361">
        <v>60.93</v>
      </c>
    </row>
    <row r="1885" spans="1:20" x14ac:dyDescent="0.25">
      <c r="A1885" s="364" t="s">
        <v>4830</v>
      </c>
      <c r="B1885" s="361" t="s">
        <v>4831</v>
      </c>
      <c r="C1885">
        <v>2</v>
      </c>
      <c r="D1885" s="361">
        <v>97</v>
      </c>
      <c r="E1885" s="364"/>
      <c r="F1885" s="361" t="s">
        <v>1917</v>
      </c>
      <c r="T1885" s="361">
        <v>42.7</v>
      </c>
    </row>
    <row r="1886" spans="1:20" x14ac:dyDescent="0.25">
      <c r="A1886" s="364" t="s">
        <v>4832</v>
      </c>
      <c r="B1886" s="361" t="s">
        <v>4833</v>
      </c>
      <c r="C1886">
        <v>2</v>
      </c>
      <c r="D1886" s="361">
        <v>97</v>
      </c>
      <c r="E1886" s="364"/>
      <c r="F1886" s="361" t="s">
        <v>1921</v>
      </c>
      <c r="T1886" s="361">
        <v>3.2</v>
      </c>
    </row>
    <row r="1887" spans="1:20" x14ac:dyDescent="0.25">
      <c r="A1887" s="364" t="s">
        <v>4834</v>
      </c>
      <c r="B1887" s="361" t="s">
        <v>4835</v>
      </c>
      <c r="C1887">
        <v>2</v>
      </c>
      <c r="D1887" s="361">
        <v>97</v>
      </c>
      <c r="E1887" s="364"/>
      <c r="F1887" s="361" t="s">
        <v>1921</v>
      </c>
      <c r="T1887" s="361">
        <v>608.69000000000005</v>
      </c>
    </row>
    <row r="1888" spans="1:20" x14ac:dyDescent="0.25">
      <c r="A1888" s="364" t="s">
        <v>4836</v>
      </c>
      <c r="B1888" s="361" t="s">
        <v>4837</v>
      </c>
      <c r="C1888">
        <v>2</v>
      </c>
      <c r="D1888" s="361">
        <v>97</v>
      </c>
      <c r="E1888" s="364"/>
      <c r="F1888" s="361" t="s">
        <v>1917</v>
      </c>
      <c r="T1888" s="361">
        <v>55.12</v>
      </c>
    </row>
    <row r="1889" spans="1:20" x14ac:dyDescent="0.25">
      <c r="A1889" s="364" t="s">
        <v>4838</v>
      </c>
      <c r="B1889" s="361" t="s">
        <v>4839</v>
      </c>
      <c r="C1889">
        <v>2</v>
      </c>
      <c r="D1889" s="361">
        <v>97</v>
      </c>
      <c r="E1889" s="364"/>
      <c r="F1889" s="361" t="s">
        <v>2022</v>
      </c>
      <c r="T1889" s="361">
        <v>10.45</v>
      </c>
    </row>
    <row r="1890" spans="1:20" x14ac:dyDescent="0.25">
      <c r="A1890" s="364" t="s">
        <v>4840</v>
      </c>
      <c r="B1890" s="361" t="s">
        <v>4841</v>
      </c>
      <c r="C1890" t="s">
        <v>1920</v>
      </c>
      <c r="D1890" s="361">
        <v>42</v>
      </c>
      <c r="E1890" s="364"/>
      <c r="F1890" s="361" t="s">
        <v>2201</v>
      </c>
      <c r="T1890" s="361">
        <v>115</v>
      </c>
    </row>
    <row r="1891" spans="1:20" x14ac:dyDescent="0.25">
      <c r="A1891" s="364" t="s">
        <v>4842</v>
      </c>
      <c r="B1891" s="361" t="s">
        <v>4843</v>
      </c>
      <c r="C1891" t="s">
        <v>1920</v>
      </c>
      <c r="D1891" s="361">
        <v>42</v>
      </c>
      <c r="E1891" s="364"/>
      <c r="F1891" s="361" t="s">
        <v>2201</v>
      </c>
      <c r="T1891" s="361">
        <v>115</v>
      </c>
    </row>
    <row r="1892" spans="1:20" x14ac:dyDescent="0.25">
      <c r="A1892" s="364" t="s">
        <v>4844</v>
      </c>
      <c r="B1892" s="361" t="s">
        <v>4845</v>
      </c>
      <c r="C1892" t="s">
        <v>1920</v>
      </c>
      <c r="D1892" s="361">
        <v>11</v>
      </c>
      <c r="E1892" s="364"/>
      <c r="F1892" s="361" t="s">
        <v>2201</v>
      </c>
      <c r="T1892" s="361">
        <v>115</v>
      </c>
    </row>
    <row r="1893" spans="1:20" x14ac:dyDescent="0.25">
      <c r="A1893" s="364" t="s">
        <v>4846</v>
      </c>
      <c r="B1893" s="361" t="s">
        <v>4847</v>
      </c>
      <c r="C1893" t="s">
        <v>1920</v>
      </c>
      <c r="D1893" s="361">
        <v>11</v>
      </c>
      <c r="E1893" s="364"/>
      <c r="F1893" s="361" t="s">
        <v>2201</v>
      </c>
      <c r="T1893" s="361">
        <v>137</v>
      </c>
    </row>
    <row r="1894" spans="1:20" x14ac:dyDescent="0.25">
      <c r="A1894" s="364" t="s">
        <v>4848</v>
      </c>
      <c r="B1894" s="361" t="s">
        <v>4849</v>
      </c>
      <c r="C1894" t="s">
        <v>1920</v>
      </c>
      <c r="D1894" s="361">
        <v>20</v>
      </c>
      <c r="E1894" s="364"/>
      <c r="F1894" s="361" t="s">
        <v>2201</v>
      </c>
      <c r="T1894" s="361">
        <v>204.17</v>
      </c>
    </row>
    <row r="1895" spans="1:20" x14ac:dyDescent="0.25">
      <c r="A1895" s="364" t="s">
        <v>4850</v>
      </c>
      <c r="B1895" s="361" t="s">
        <v>4851</v>
      </c>
      <c r="C1895" t="s">
        <v>1920</v>
      </c>
      <c r="D1895" s="361">
        <v>20</v>
      </c>
      <c r="E1895" s="364"/>
      <c r="F1895" s="361" t="s">
        <v>2201</v>
      </c>
      <c r="T1895" s="361">
        <v>530.05999999999995</v>
      </c>
    </row>
    <row r="1896" spans="1:20" x14ac:dyDescent="0.25">
      <c r="A1896" s="364" t="s">
        <v>4852</v>
      </c>
      <c r="B1896" s="361" t="s">
        <v>4853</v>
      </c>
      <c r="C1896">
        <v>2</v>
      </c>
      <c r="D1896" s="361">
        <v>97</v>
      </c>
      <c r="E1896" s="364"/>
      <c r="F1896" s="361" t="s">
        <v>1921</v>
      </c>
      <c r="T1896" s="361">
        <v>130.82</v>
      </c>
    </row>
    <row r="1897" spans="1:20" x14ac:dyDescent="0.25">
      <c r="A1897" s="364" t="s">
        <v>4854</v>
      </c>
      <c r="B1897" s="361" t="s">
        <v>4855</v>
      </c>
      <c r="C1897" t="s">
        <v>1920</v>
      </c>
      <c r="D1897" s="361">
        <v>24</v>
      </c>
      <c r="E1897" s="364"/>
      <c r="F1897" s="361" t="s">
        <v>1921</v>
      </c>
      <c r="T1897" s="361">
        <v>0.67610999999999999</v>
      </c>
    </row>
    <row r="1898" spans="1:20" x14ac:dyDescent="0.25">
      <c r="A1898" s="364" t="s">
        <v>4856</v>
      </c>
      <c r="B1898" s="361" t="s">
        <v>4857</v>
      </c>
      <c r="C1898" t="s">
        <v>1920</v>
      </c>
      <c r="D1898" s="361">
        <v>24</v>
      </c>
      <c r="E1898" s="364"/>
      <c r="F1898" s="361" t="s">
        <v>1921</v>
      </c>
      <c r="T1898" s="361">
        <v>0.19064999999999999</v>
      </c>
    </row>
    <row r="1899" spans="1:20" x14ac:dyDescent="0.25">
      <c r="A1899" s="364" t="s">
        <v>4858</v>
      </c>
      <c r="B1899" s="361" t="s">
        <v>4859</v>
      </c>
      <c r="C1899" t="s">
        <v>2419</v>
      </c>
      <c r="D1899" s="361">
        <v>4</v>
      </c>
      <c r="E1899" s="364"/>
      <c r="F1899" s="361" t="s">
        <v>2201</v>
      </c>
      <c r="T1899" s="361">
        <v>203</v>
      </c>
    </row>
    <row r="1900" spans="1:20" x14ac:dyDescent="0.25">
      <c r="A1900" s="364" t="s">
        <v>4860</v>
      </c>
      <c r="B1900" s="361" t="s">
        <v>4861</v>
      </c>
      <c r="C1900" t="s">
        <v>1920</v>
      </c>
      <c r="D1900" s="361">
        <v>15</v>
      </c>
      <c r="E1900" s="364"/>
      <c r="F1900" s="361" t="s">
        <v>1917</v>
      </c>
      <c r="T1900" s="361">
        <v>52.29</v>
      </c>
    </row>
    <row r="1901" spans="1:20" x14ac:dyDescent="0.25">
      <c r="A1901" s="364" t="s">
        <v>4862</v>
      </c>
      <c r="B1901" s="361" t="s">
        <v>4863</v>
      </c>
      <c r="C1901" t="s">
        <v>1920</v>
      </c>
      <c r="D1901" s="361">
        <v>16</v>
      </c>
      <c r="E1901" s="364"/>
      <c r="F1901" s="361" t="s">
        <v>1917</v>
      </c>
      <c r="T1901" s="361">
        <v>8.15</v>
      </c>
    </row>
    <row r="1902" spans="1:20" x14ac:dyDescent="0.25">
      <c r="A1902" s="364" t="s">
        <v>4864</v>
      </c>
      <c r="B1902" s="361" t="s">
        <v>4865</v>
      </c>
      <c r="C1902" t="s">
        <v>1920</v>
      </c>
      <c r="D1902" s="361">
        <v>24</v>
      </c>
      <c r="E1902" s="364"/>
      <c r="F1902" s="361" t="s">
        <v>1921</v>
      </c>
      <c r="T1902" s="361">
        <v>0.24016000000000001</v>
      </c>
    </row>
    <row r="1903" spans="1:20" x14ac:dyDescent="0.25">
      <c r="A1903" s="364" t="s">
        <v>4866</v>
      </c>
      <c r="B1903" s="361" t="s">
        <v>4867</v>
      </c>
      <c r="C1903" t="s">
        <v>1920</v>
      </c>
      <c r="D1903" s="361">
        <v>27</v>
      </c>
      <c r="E1903" s="364"/>
      <c r="F1903" s="361" t="s">
        <v>1921</v>
      </c>
      <c r="T1903" s="361">
        <v>0.46500000000000002</v>
      </c>
    </row>
    <row r="1904" spans="1:20" x14ac:dyDescent="0.25">
      <c r="A1904" s="364" t="s">
        <v>4868</v>
      </c>
      <c r="B1904" s="361" t="s">
        <v>4869</v>
      </c>
      <c r="C1904" t="s">
        <v>1920</v>
      </c>
      <c r="D1904" s="361">
        <v>18</v>
      </c>
      <c r="E1904" s="364"/>
      <c r="F1904" s="361" t="s">
        <v>1921</v>
      </c>
      <c r="T1904" s="361">
        <v>0.42270000000000002</v>
      </c>
    </row>
    <row r="1905" spans="1:20" x14ac:dyDescent="0.25">
      <c r="A1905" s="364" t="s">
        <v>4870</v>
      </c>
      <c r="B1905" s="361" t="s">
        <v>4871</v>
      </c>
      <c r="C1905" t="s">
        <v>1920</v>
      </c>
      <c r="D1905" s="361">
        <v>18</v>
      </c>
      <c r="E1905" s="364"/>
      <c r="F1905" s="361" t="s">
        <v>1921</v>
      </c>
      <c r="T1905" s="361">
        <v>0.49199999999999999</v>
      </c>
    </row>
    <row r="1906" spans="1:20" x14ac:dyDescent="0.25">
      <c r="A1906" s="364" t="s">
        <v>4872</v>
      </c>
      <c r="B1906" s="361" t="s">
        <v>4873</v>
      </c>
      <c r="C1906" t="s">
        <v>1920</v>
      </c>
      <c r="D1906" s="361">
        <v>24</v>
      </c>
      <c r="E1906" s="364"/>
      <c r="F1906" s="361" t="s">
        <v>1921</v>
      </c>
      <c r="T1906" s="361">
        <v>0.23813000000000001</v>
      </c>
    </row>
    <row r="1907" spans="1:20" x14ac:dyDescent="0.25">
      <c r="A1907" s="364" t="s">
        <v>4874</v>
      </c>
      <c r="B1907" s="361" t="s">
        <v>4875</v>
      </c>
      <c r="C1907" t="s">
        <v>1920</v>
      </c>
      <c r="D1907" s="361">
        <v>24</v>
      </c>
      <c r="E1907" s="364"/>
      <c r="F1907" s="361" t="s">
        <v>1921</v>
      </c>
      <c r="T1907" s="361">
        <v>0.22337000000000001</v>
      </c>
    </row>
    <row r="1908" spans="1:20" x14ac:dyDescent="0.25">
      <c r="A1908" s="364" t="s">
        <v>4876</v>
      </c>
      <c r="B1908" s="361" t="s">
        <v>4877</v>
      </c>
      <c r="C1908" t="s">
        <v>1920</v>
      </c>
      <c r="D1908" s="361">
        <v>54</v>
      </c>
      <c r="E1908" s="364"/>
      <c r="F1908" s="361" t="s">
        <v>1921</v>
      </c>
      <c r="T1908" s="361">
        <v>0.19188</v>
      </c>
    </row>
    <row r="1909" spans="1:20" x14ac:dyDescent="0.25">
      <c r="A1909" s="364" t="s">
        <v>4878</v>
      </c>
      <c r="B1909" s="361" t="s">
        <v>4879</v>
      </c>
      <c r="C1909" t="s">
        <v>1920</v>
      </c>
      <c r="D1909" s="361">
        <v>54</v>
      </c>
      <c r="E1909" s="364"/>
      <c r="F1909" s="361" t="s">
        <v>1921</v>
      </c>
      <c r="T1909" s="361">
        <v>0.34342</v>
      </c>
    </row>
    <row r="1910" spans="1:20" x14ac:dyDescent="0.25">
      <c r="A1910" s="364" t="s">
        <v>4880</v>
      </c>
      <c r="B1910" s="361" t="s">
        <v>4881</v>
      </c>
      <c r="C1910" t="s">
        <v>1920</v>
      </c>
      <c r="D1910" s="361">
        <v>54</v>
      </c>
      <c r="E1910" s="364"/>
      <c r="F1910" s="361" t="s">
        <v>1921</v>
      </c>
      <c r="T1910" s="361">
        <v>0.25190000000000001</v>
      </c>
    </row>
    <row r="1911" spans="1:20" x14ac:dyDescent="0.25">
      <c r="A1911" s="364" t="s">
        <v>4882</v>
      </c>
      <c r="B1911" s="361" t="s">
        <v>4883</v>
      </c>
      <c r="C1911" t="s">
        <v>1920</v>
      </c>
      <c r="D1911" s="361">
        <v>54</v>
      </c>
      <c r="E1911" s="364"/>
      <c r="F1911" s="361" t="s">
        <v>1921</v>
      </c>
      <c r="T1911" s="361">
        <v>0.53627999999999998</v>
      </c>
    </row>
    <row r="1912" spans="1:20" x14ac:dyDescent="0.25">
      <c r="A1912" s="364" t="s">
        <v>4884</v>
      </c>
      <c r="B1912" s="361" t="s">
        <v>4885</v>
      </c>
      <c r="C1912" t="s">
        <v>1920</v>
      </c>
      <c r="D1912" s="361">
        <v>24</v>
      </c>
      <c r="E1912" s="364"/>
      <c r="F1912" s="361" t="s">
        <v>1921</v>
      </c>
      <c r="T1912" s="361">
        <v>0.18193999999999999</v>
      </c>
    </row>
    <row r="1913" spans="1:20" x14ac:dyDescent="0.25">
      <c r="A1913" s="364" t="s">
        <v>4886</v>
      </c>
      <c r="B1913" s="361" t="s">
        <v>4887</v>
      </c>
      <c r="C1913">
        <v>2</v>
      </c>
      <c r="D1913" s="361">
        <v>97</v>
      </c>
      <c r="E1913" s="364"/>
      <c r="F1913" s="361" t="s">
        <v>1921</v>
      </c>
      <c r="T1913" s="361">
        <v>129</v>
      </c>
    </row>
    <row r="1914" spans="1:20" x14ac:dyDescent="0.25">
      <c r="A1914" s="364" t="s">
        <v>4888</v>
      </c>
      <c r="B1914" s="361" t="s">
        <v>4889</v>
      </c>
      <c r="C1914" t="s">
        <v>1920</v>
      </c>
      <c r="D1914" s="361">
        <v>20</v>
      </c>
      <c r="E1914" s="364"/>
      <c r="F1914" s="361" t="s">
        <v>1921</v>
      </c>
      <c r="T1914" s="361">
        <v>5.1180000000000003E-2</v>
      </c>
    </row>
    <row r="1915" spans="1:20" x14ac:dyDescent="0.25">
      <c r="A1915" s="364" t="s">
        <v>4890</v>
      </c>
      <c r="B1915" s="361" t="s">
        <v>4891</v>
      </c>
      <c r="C1915">
        <v>2</v>
      </c>
      <c r="D1915" s="361">
        <v>97</v>
      </c>
      <c r="E1915" s="364"/>
      <c r="F1915" s="361" t="s">
        <v>2725</v>
      </c>
      <c r="T1915" s="361">
        <v>35.700000000000003</v>
      </c>
    </row>
    <row r="1916" spans="1:20" x14ac:dyDescent="0.25">
      <c r="A1916" s="364" t="s">
        <v>4892</v>
      </c>
      <c r="B1916" s="361" t="s">
        <v>4893</v>
      </c>
      <c r="C1916">
        <v>2</v>
      </c>
      <c r="D1916" s="361">
        <v>97</v>
      </c>
      <c r="E1916" s="364"/>
      <c r="F1916" s="361" t="s">
        <v>1921</v>
      </c>
      <c r="T1916" s="361">
        <v>150.82</v>
      </c>
    </row>
    <row r="1917" spans="1:20" x14ac:dyDescent="0.25">
      <c r="A1917" s="364" t="s">
        <v>4894</v>
      </c>
      <c r="B1917" s="361" t="s">
        <v>4895</v>
      </c>
      <c r="C1917" t="s">
        <v>1920</v>
      </c>
      <c r="D1917" s="361">
        <v>24</v>
      </c>
      <c r="E1917" s="364"/>
      <c r="F1917" s="361" t="s">
        <v>2201</v>
      </c>
      <c r="T1917" s="361">
        <v>147.6</v>
      </c>
    </row>
    <row r="1918" spans="1:20" x14ac:dyDescent="0.25">
      <c r="A1918" s="364" t="s">
        <v>4896</v>
      </c>
      <c r="B1918" s="361" t="s">
        <v>4897</v>
      </c>
      <c r="C1918" t="s">
        <v>1920</v>
      </c>
      <c r="D1918" s="361">
        <v>45</v>
      </c>
      <c r="E1918" s="364"/>
      <c r="F1918" s="361" t="s">
        <v>1917</v>
      </c>
      <c r="T1918" s="361">
        <v>23.21</v>
      </c>
    </row>
    <row r="1919" spans="1:20" x14ac:dyDescent="0.25">
      <c r="A1919" s="364" t="s">
        <v>4898</v>
      </c>
      <c r="B1919" s="361" t="s">
        <v>4899</v>
      </c>
      <c r="C1919" t="s">
        <v>1920</v>
      </c>
      <c r="D1919" s="361">
        <v>27</v>
      </c>
      <c r="E1919" s="364"/>
      <c r="F1919" s="361" t="s">
        <v>1921</v>
      </c>
      <c r="T1919" s="361">
        <v>0.98099999999999998</v>
      </c>
    </row>
    <row r="1920" spans="1:20" x14ac:dyDescent="0.25">
      <c r="A1920" s="364" t="s">
        <v>4900</v>
      </c>
      <c r="B1920" s="361" t="s">
        <v>4901</v>
      </c>
      <c r="C1920" t="s">
        <v>1920</v>
      </c>
      <c r="D1920" s="361">
        <v>27</v>
      </c>
      <c r="E1920" s="364"/>
      <c r="F1920" s="361" t="s">
        <v>1921</v>
      </c>
      <c r="T1920" s="361">
        <v>1.22</v>
      </c>
    </row>
    <row r="1921" spans="1:20" x14ac:dyDescent="0.25">
      <c r="A1921" s="364" t="s">
        <v>4902</v>
      </c>
      <c r="B1921" s="361" t="s">
        <v>4903</v>
      </c>
      <c r="C1921" t="s">
        <v>1920</v>
      </c>
      <c r="D1921" s="361">
        <v>20</v>
      </c>
      <c r="E1921" s="364"/>
      <c r="F1921" s="361" t="s">
        <v>2201</v>
      </c>
      <c r="T1921" s="361">
        <v>52.2</v>
      </c>
    </row>
    <row r="1922" spans="1:20" x14ac:dyDescent="0.25">
      <c r="A1922" s="364" t="s">
        <v>4904</v>
      </c>
      <c r="B1922" s="361" t="s">
        <v>4905</v>
      </c>
      <c r="C1922" t="s">
        <v>1920</v>
      </c>
      <c r="D1922" s="361">
        <v>24</v>
      </c>
      <c r="E1922" s="364"/>
      <c r="F1922" s="361" t="s">
        <v>2201</v>
      </c>
      <c r="T1922" s="361">
        <v>79.703999999999994</v>
      </c>
    </row>
    <row r="1923" spans="1:20" x14ac:dyDescent="0.25">
      <c r="A1923" s="364" t="s">
        <v>4906</v>
      </c>
      <c r="B1923" s="361" t="s">
        <v>4907</v>
      </c>
      <c r="C1923" t="s">
        <v>1920</v>
      </c>
      <c r="D1923" s="361">
        <v>15</v>
      </c>
      <c r="E1923" s="364"/>
      <c r="F1923" s="361" t="s">
        <v>1917</v>
      </c>
      <c r="T1923" s="361">
        <v>15.95</v>
      </c>
    </row>
    <row r="1924" spans="1:20" x14ac:dyDescent="0.25">
      <c r="A1924" s="364" t="s">
        <v>4908</v>
      </c>
      <c r="B1924" s="361" t="s">
        <v>4909</v>
      </c>
      <c r="C1924" t="s">
        <v>1920</v>
      </c>
      <c r="D1924" s="361">
        <v>45</v>
      </c>
      <c r="E1924" s="364"/>
      <c r="F1924" s="361" t="s">
        <v>1917</v>
      </c>
      <c r="T1924" s="361">
        <v>39.4</v>
      </c>
    </row>
    <row r="1925" spans="1:20" x14ac:dyDescent="0.25">
      <c r="A1925" s="364" t="s">
        <v>4910</v>
      </c>
      <c r="B1925" s="361" t="s">
        <v>4911</v>
      </c>
      <c r="C1925" t="s">
        <v>1920</v>
      </c>
      <c r="D1925" s="361">
        <v>54</v>
      </c>
      <c r="E1925" s="364"/>
      <c r="F1925" s="361" t="s">
        <v>1921</v>
      </c>
      <c r="T1925" s="361">
        <v>0.13972999999999999</v>
      </c>
    </row>
    <row r="1926" spans="1:20" x14ac:dyDescent="0.25">
      <c r="A1926" s="364" t="s">
        <v>4912</v>
      </c>
      <c r="B1926" s="361" t="s">
        <v>4913</v>
      </c>
      <c r="C1926">
        <v>2</v>
      </c>
      <c r="D1926" s="361">
        <v>97</v>
      </c>
      <c r="E1926" s="364"/>
      <c r="F1926" s="361" t="s">
        <v>2725</v>
      </c>
      <c r="T1926" s="361">
        <v>230.87</v>
      </c>
    </row>
    <row r="1927" spans="1:20" x14ac:dyDescent="0.25">
      <c r="A1927" s="364" t="s">
        <v>4914</v>
      </c>
      <c r="B1927" s="361" t="s">
        <v>4915</v>
      </c>
      <c r="C1927" t="s">
        <v>1920</v>
      </c>
      <c r="D1927" s="361">
        <v>59</v>
      </c>
      <c r="E1927" s="364"/>
      <c r="F1927" s="361" t="s">
        <v>1917</v>
      </c>
      <c r="T1927" s="361">
        <v>33.200000000000003</v>
      </c>
    </row>
    <row r="1928" spans="1:20" x14ac:dyDescent="0.25">
      <c r="A1928" s="364" t="s">
        <v>4916</v>
      </c>
      <c r="B1928" s="361" t="s">
        <v>4917</v>
      </c>
      <c r="C1928" t="s">
        <v>1920</v>
      </c>
      <c r="D1928" s="361">
        <v>52</v>
      </c>
      <c r="E1928" s="364"/>
      <c r="F1928" s="361" t="s">
        <v>1921</v>
      </c>
      <c r="T1928" s="361">
        <v>5.2999999999999999E-2</v>
      </c>
    </row>
    <row r="1929" spans="1:20" x14ac:dyDescent="0.25">
      <c r="A1929" s="364" t="s">
        <v>4918</v>
      </c>
      <c r="B1929" s="361" t="s">
        <v>4919</v>
      </c>
      <c r="C1929" t="s">
        <v>1920</v>
      </c>
      <c r="D1929" s="361">
        <v>54</v>
      </c>
      <c r="E1929" s="364"/>
      <c r="F1929" s="361" t="s">
        <v>1921</v>
      </c>
      <c r="T1929" s="361">
        <v>0.26469999999999999</v>
      </c>
    </row>
    <row r="1930" spans="1:20" x14ac:dyDescent="0.25">
      <c r="A1930" s="364" t="s">
        <v>4920</v>
      </c>
      <c r="B1930" s="361" t="s">
        <v>4921</v>
      </c>
      <c r="C1930" t="s">
        <v>1920</v>
      </c>
      <c r="D1930" s="361">
        <v>54</v>
      </c>
      <c r="E1930" s="364"/>
      <c r="F1930" s="361" t="s">
        <v>1921</v>
      </c>
      <c r="T1930" s="361">
        <v>0.26469999999999999</v>
      </c>
    </row>
    <row r="1931" spans="1:20" x14ac:dyDescent="0.25">
      <c r="A1931" s="364" t="s">
        <v>4922</v>
      </c>
      <c r="B1931" s="361" t="s">
        <v>4923</v>
      </c>
      <c r="C1931" t="s">
        <v>1920</v>
      </c>
      <c r="D1931" s="361">
        <v>54</v>
      </c>
      <c r="E1931" s="364"/>
      <c r="F1931" s="361" t="s">
        <v>1921</v>
      </c>
      <c r="T1931" s="361">
        <v>0.33161000000000002</v>
      </c>
    </row>
    <row r="1932" spans="1:20" x14ac:dyDescent="0.25">
      <c r="A1932" s="364" t="s">
        <v>1112</v>
      </c>
      <c r="B1932" s="361" t="s">
        <v>1113</v>
      </c>
      <c r="C1932" t="s">
        <v>1922</v>
      </c>
      <c r="D1932" s="361">
        <v>59</v>
      </c>
      <c r="E1932" s="364"/>
      <c r="F1932" s="361" t="s">
        <v>1921</v>
      </c>
      <c r="T1932" s="361">
        <v>2.605E-2</v>
      </c>
    </row>
    <row r="1933" spans="1:20" x14ac:dyDescent="0.25">
      <c r="A1933" s="364" t="s">
        <v>4924</v>
      </c>
      <c r="B1933" s="361" t="s">
        <v>4925</v>
      </c>
      <c r="C1933" t="s">
        <v>1920</v>
      </c>
      <c r="D1933" s="361">
        <v>20</v>
      </c>
      <c r="E1933" s="364"/>
      <c r="F1933" s="361" t="s">
        <v>2201</v>
      </c>
      <c r="T1933" s="361">
        <v>500.56</v>
      </c>
    </row>
    <row r="1934" spans="1:20" x14ac:dyDescent="0.25">
      <c r="A1934" s="364" t="s">
        <v>4926</v>
      </c>
      <c r="B1934" s="361" t="s">
        <v>4927</v>
      </c>
      <c r="C1934">
        <v>2</v>
      </c>
      <c r="D1934" s="361">
        <v>97</v>
      </c>
      <c r="E1934" s="364"/>
      <c r="F1934" s="361" t="s">
        <v>1921</v>
      </c>
      <c r="T1934" s="361">
        <v>6</v>
      </c>
    </row>
    <row r="1935" spans="1:20" x14ac:dyDescent="0.25">
      <c r="A1935" s="364" t="s">
        <v>4928</v>
      </c>
      <c r="B1935" s="361" t="s">
        <v>4929</v>
      </c>
      <c r="C1935" t="s">
        <v>1920</v>
      </c>
      <c r="D1935" s="361">
        <v>29</v>
      </c>
      <c r="E1935" s="364"/>
      <c r="F1935" s="361" t="s">
        <v>1921</v>
      </c>
      <c r="T1935" s="361">
        <v>0.70499999999999996</v>
      </c>
    </row>
    <row r="1936" spans="1:20" x14ac:dyDescent="0.25">
      <c r="A1936" s="364" t="s">
        <v>4930</v>
      </c>
      <c r="B1936" s="361" t="s">
        <v>4931</v>
      </c>
      <c r="C1936" t="s">
        <v>1920</v>
      </c>
      <c r="D1936" s="361">
        <v>24</v>
      </c>
      <c r="E1936" s="364"/>
      <c r="F1936" s="361" t="s">
        <v>1921</v>
      </c>
      <c r="T1936" s="361">
        <v>0.2893</v>
      </c>
    </row>
    <row r="1937" spans="1:20" x14ac:dyDescent="0.25">
      <c r="A1937" s="364" t="s">
        <v>4932</v>
      </c>
      <c r="B1937" s="361" t="s">
        <v>4933</v>
      </c>
      <c r="C1937" t="s">
        <v>1920</v>
      </c>
      <c r="D1937" s="361">
        <v>54</v>
      </c>
      <c r="E1937" s="364"/>
      <c r="F1937" s="361" t="s">
        <v>1921</v>
      </c>
      <c r="T1937" s="361">
        <v>0.12694</v>
      </c>
    </row>
    <row r="1938" spans="1:20" x14ac:dyDescent="0.25">
      <c r="A1938" s="364" t="s">
        <v>4934</v>
      </c>
      <c r="B1938" s="361" t="s">
        <v>4935</v>
      </c>
      <c r="C1938" t="s">
        <v>1920</v>
      </c>
      <c r="D1938" s="361">
        <v>27</v>
      </c>
      <c r="E1938" s="364"/>
      <c r="F1938" s="361" t="s">
        <v>1921</v>
      </c>
      <c r="T1938" s="361">
        <v>0.84899999999999998</v>
      </c>
    </row>
    <row r="1939" spans="1:20" x14ac:dyDescent="0.25">
      <c r="A1939" s="364" t="s">
        <v>4936</v>
      </c>
      <c r="B1939" s="361" t="s">
        <v>4937</v>
      </c>
      <c r="C1939" t="s">
        <v>1920</v>
      </c>
      <c r="D1939" s="361">
        <v>15</v>
      </c>
      <c r="E1939" s="364"/>
      <c r="F1939" s="361" t="s">
        <v>1917</v>
      </c>
      <c r="T1939" s="361">
        <v>44.1</v>
      </c>
    </row>
    <row r="1940" spans="1:20" x14ac:dyDescent="0.25">
      <c r="A1940" s="364" t="s">
        <v>4938</v>
      </c>
      <c r="B1940" s="361" t="s">
        <v>4939</v>
      </c>
      <c r="C1940" t="s">
        <v>1920</v>
      </c>
      <c r="D1940" s="361">
        <v>24</v>
      </c>
      <c r="E1940" s="364"/>
      <c r="F1940" s="361" t="s">
        <v>1921</v>
      </c>
      <c r="T1940" s="361">
        <v>0.23518</v>
      </c>
    </row>
    <row r="1941" spans="1:20" x14ac:dyDescent="0.25">
      <c r="A1941" s="364" t="s">
        <v>4940</v>
      </c>
      <c r="B1941" s="361" t="s">
        <v>4941</v>
      </c>
      <c r="C1941" t="s">
        <v>1920</v>
      </c>
      <c r="D1941" s="361">
        <v>20</v>
      </c>
      <c r="E1941" s="364"/>
      <c r="F1941" s="361" t="s">
        <v>2201</v>
      </c>
      <c r="T1941" s="361">
        <v>57</v>
      </c>
    </row>
    <row r="1942" spans="1:20" x14ac:dyDescent="0.25">
      <c r="A1942" s="364" t="s">
        <v>4942</v>
      </c>
      <c r="B1942" s="361" t="s">
        <v>4943</v>
      </c>
      <c r="C1942" t="s">
        <v>1920</v>
      </c>
      <c r="D1942" s="361">
        <v>27</v>
      </c>
      <c r="E1942" s="364"/>
      <c r="F1942" s="361" t="s">
        <v>1921</v>
      </c>
      <c r="T1942" s="361">
        <v>0.63500000000000001</v>
      </c>
    </row>
    <row r="1943" spans="1:20" x14ac:dyDescent="0.25">
      <c r="A1943" s="364" t="s">
        <v>4944</v>
      </c>
      <c r="B1943" s="361" t="s">
        <v>4945</v>
      </c>
      <c r="C1943" t="s">
        <v>1920</v>
      </c>
      <c r="D1943" s="361">
        <v>27</v>
      </c>
      <c r="E1943" s="364"/>
      <c r="F1943" s="361" t="s">
        <v>1921</v>
      </c>
      <c r="T1943" s="361">
        <v>0.61899999999999999</v>
      </c>
    </row>
    <row r="1944" spans="1:20" x14ac:dyDescent="0.25">
      <c r="A1944" s="364" t="s">
        <v>4946</v>
      </c>
      <c r="B1944" s="361" t="s">
        <v>4947</v>
      </c>
      <c r="C1944" t="s">
        <v>1920</v>
      </c>
      <c r="D1944" s="361">
        <v>20</v>
      </c>
      <c r="E1944" s="364"/>
      <c r="F1944" s="361" t="s">
        <v>1921</v>
      </c>
      <c r="T1944" s="361">
        <v>5.7000000000000002E-2</v>
      </c>
    </row>
    <row r="1945" spans="1:20" x14ac:dyDescent="0.25">
      <c r="A1945" s="364" t="s">
        <v>4948</v>
      </c>
      <c r="B1945" s="361" t="s">
        <v>4949</v>
      </c>
      <c r="C1945" t="s">
        <v>1920</v>
      </c>
      <c r="D1945" s="361">
        <v>20</v>
      </c>
      <c r="E1945" s="364"/>
      <c r="F1945" s="361" t="s">
        <v>1921</v>
      </c>
      <c r="T1945" s="361">
        <v>5.8299999999999998E-2</v>
      </c>
    </row>
    <row r="1946" spans="1:20" x14ac:dyDescent="0.25">
      <c r="A1946" s="364" t="s">
        <v>4950</v>
      </c>
      <c r="B1946" s="361" t="s">
        <v>4951</v>
      </c>
      <c r="C1946" t="s">
        <v>1920</v>
      </c>
      <c r="D1946" s="361">
        <v>20</v>
      </c>
      <c r="E1946" s="364"/>
      <c r="F1946" s="361" t="s">
        <v>1921</v>
      </c>
      <c r="T1946" s="361">
        <v>4.8800000000000003E-2</v>
      </c>
    </row>
    <row r="1947" spans="1:20" x14ac:dyDescent="0.25">
      <c r="A1947" s="364" t="s">
        <v>4952</v>
      </c>
      <c r="B1947" s="361" t="s">
        <v>4953</v>
      </c>
      <c r="C1947" t="s">
        <v>1920</v>
      </c>
      <c r="D1947" s="361">
        <v>20</v>
      </c>
      <c r="E1947" s="364"/>
      <c r="F1947" s="361" t="s">
        <v>1921</v>
      </c>
      <c r="T1947" s="361">
        <v>3.4200000000000001E-2</v>
      </c>
    </row>
    <row r="1948" spans="1:20" x14ac:dyDescent="0.25">
      <c r="A1948" s="364" t="s">
        <v>4954</v>
      </c>
      <c r="B1948" s="361" t="s">
        <v>4955</v>
      </c>
      <c r="C1948" t="s">
        <v>1920</v>
      </c>
      <c r="D1948" s="361">
        <v>20</v>
      </c>
      <c r="E1948" s="364"/>
      <c r="F1948" s="361" t="s">
        <v>1921</v>
      </c>
      <c r="T1948" s="361">
        <v>3.4200000000000001E-2</v>
      </c>
    </row>
    <row r="1949" spans="1:20" x14ac:dyDescent="0.25">
      <c r="A1949" s="364" t="s">
        <v>4956</v>
      </c>
      <c r="B1949" s="361" t="s">
        <v>4957</v>
      </c>
      <c r="C1949" t="s">
        <v>1920</v>
      </c>
      <c r="D1949" s="361">
        <v>20</v>
      </c>
      <c r="E1949" s="364"/>
      <c r="F1949" s="361" t="s">
        <v>1921</v>
      </c>
      <c r="T1949" s="361">
        <v>3.4200000000000001E-2</v>
      </c>
    </row>
    <row r="1950" spans="1:20" x14ac:dyDescent="0.25">
      <c r="A1950" s="364" t="s">
        <v>4958</v>
      </c>
      <c r="B1950" s="361" t="s">
        <v>4959</v>
      </c>
      <c r="C1950" t="s">
        <v>1920</v>
      </c>
      <c r="D1950" s="361">
        <v>20</v>
      </c>
      <c r="E1950" s="364"/>
      <c r="F1950" s="361" t="s">
        <v>1921</v>
      </c>
      <c r="T1950" s="361">
        <v>5.1180000000000003E-2</v>
      </c>
    </row>
    <row r="1951" spans="1:20" x14ac:dyDescent="0.25">
      <c r="A1951" s="364" t="s">
        <v>4960</v>
      </c>
      <c r="B1951" s="361" t="s">
        <v>4961</v>
      </c>
      <c r="C1951" t="s">
        <v>1920</v>
      </c>
      <c r="D1951" s="361">
        <v>24</v>
      </c>
      <c r="E1951" s="364"/>
      <c r="F1951" s="361" t="s">
        <v>1921</v>
      </c>
      <c r="T1951" s="361">
        <v>0.45476</v>
      </c>
    </row>
    <row r="1952" spans="1:20" x14ac:dyDescent="0.25">
      <c r="A1952" s="364" t="s">
        <v>4962</v>
      </c>
      <c r="B1952" s="361" t="s">
        <v>4963</v>
      </c>
      <c r="C1952" t="s">
        <v>1920</v>
      </c>
      <c r="D1952" s="361">
        <v>45</v>
      </c>
      <c r="E1952" s="364"/>
      <c r="F1952" s="361" t="s">
        <v>1917</v>
      </c>
      <c r="T1952" s="361">
        <v>32.9</v>
      </c>
    </row>
    <row r="1953" spans="1:20" x14ac:dyDescent="0.25">
      <c r="A1953" s="364" t="s">
        <v>4964</v>
      </c>
      <c r="B1953" s="361" t="s">
        <v>4965</v>
      </c>
      <c r="C1953" t="s">
        <v>1920</v>
      </c>
      <c r="D1953" s="361">
        <v>24</v>
      </c>
      <c r="E1953" s="364"/>
      <c r="F1953" s="361" t="s">
        <v>1921</v>
      </c>
      <c r="T1953" s="361">
        <v>0.41918</v>
      </c>
    </row>
    <row r="1954" spans="1:20" x14ac:dyDescent="0.25">
      <c r="A1954" s="364" t="s">
        <v>4966</v>
      </c>
      <c r="B1954" s="361" t="s">
        <v>4967</v>
      </c>
      <c r="C1954" t="s">
        <v>1920</v>
      </c>
      <c r="D1954" s="361">
        <v>59</v>
      </c>
      <c r="E1954" s="364"/>
      <c r="F1954" s="361" t="s">
        <v>1921</v>
      </c>
      <c r="T1954" s="361">
        <v>23.8</v>
      </c>
    </row>
    <row r="1955" spans="1:20" x14ac:dyDescent="0.25">
      <c r="A1955" s="364" t="s">
        <v>4968</v>
      </c>
      <c r="B1955" s="361" t="s">
        <v>4969</v>
      </c>
      <c r="C1955" t="s">
        <v>1920</v>
      </c>
      <c r="D1955" s="361">
        <v>20</v>
      </c>
      <c r="E1955" s="364"/>
      <c r="F1955" s="361" t="s">
        <v>1921</v>
      </c>
      <c r="T1955" s="361">
        <v>3.3119999999999997E-2</v>
      </c>
    </row>
    <row r="1956" spans="1:20" x14ac:dyDescent="0.25">
      <c r="A1956" s="364" t="s">
        <v>4970</v>
      </c>
      <c r="B1956" s="361" t="s">
        <v>4971</v>
      </c>
      <c r="C1956" t="s">
        <v>1920</v>
      </c>
      <c r="D1956" s="361">
        <v>42</v>
      </c>
      <c r="E1956" s="364"/>
      <c r="F1956" s="361" t="s">
        <v>2201</v>
      </c>
      <c r="T1956" s="361">
        <v>120.75</v>
      </c>
    </row>
    <row r="1957" spans="1:20" x14ac:dyDescent="0.25">
      <c r="A1957" s="364" t="s">
        <v>4972</v>
      </c>
      <c r="B1957" s="361" t="s">
        <v>2180</v>
      </c>
      <c r="C1957" t="s">
        <v>1920</v>
      </c>
      <c r="D1957" s="361">
        <v>20</v>
      </c>
      <c r="E1957" s="364"/>
      <c r="F1957" s="361" t="s">
        <v>1921</v>
      </c>
      <c r="T1957" s="361">
        <v>3.2300000000000002E-2</v>
      </c>
    </row>
    <row r="1958" spans="1:20" x14ac:dyDescent="0.25">
      <c r="A1958" s="364" t="s">
        <v>4973</v>
      </c>
      <c r="B1958" s="361" t="s">
        <v>4974</v>
      </c>
      <c r="C1958" t="s">
        <v>1920</v>
      </c>
      <c r="D1958" s="361">
        <v>20</v>
      </c>
      <c r="E1958" s="364"/>
      <c r="F1958" s="361" t="s">
        <v>1921</v>
      </c>
      <c r="T1958" s="361">
        <v>4.8800000000000003E-2</v>
      </c>
    </row>
    <row r="1959" spans="1:20" x14ac:dyDescent="0.25">
      <c r="A1959" s="364" t="s">
        <v>4975</v>
      </c>
      <c r="B1959" s="361" t="s">
        <v>4976</v>
      </c>
      <c r="C1959" t="s">
        <v>1920</v>
      </c>
      <c r="D1959" s="361">
        <v>24</v>
      </c>
      <c r="E1959" s="364"/>
      <c r="F1959" s="361" t="s">
        <v>1921</v>
      </c>
      <c r="T1959" s="361">
        <v>0.123</v>
      </c>
    </row>
    <row r="1960" spans="1:20" x14ac:dyDescent="0.25">
      <c r="A1960" s="364" t="s">
        <v>4977</v>
      </c>
      <c r="B1960" s="361" t="s">
        <v>4978</v>
      </c>
      <c r="C1960" t="s">
        <v>1920</v>
      </c>
      <c r="D1960" s="361">
        <v>24</v>
      </c>
      <c r="E1960" s="364"/>
      <c r="F1960" s="361" t="s">
        <v>1921</v>
      </c>
      <c r="T1960" s="361">
        <v>9.0529999999999999E-2</v>
      </c>
    </row>
    <row r="1961" spans="1:20" x14ac:dyDescent="0.25">
      <c r="A1961" s="364" t="s">
        <v>4979</v>
      </c>
      <c r="B1961" s="361" t="s">
        <v>4980</v>
      </c>
      <c r="C1961" t="s">
        <v>1920</v>
      </c>
      <c r="D1961" s="361">
        <v>24</v>
      </c>
      <c r="E1961" s="364"/>
      <c r="F1961" s="361" t="s">
        <v>1921</v>
      </c>
      <c r="T1961" s="361">
        <v>6.4259999999999998E-2</v>
      </c>
    </row>
    <row r="1962" spans="1:20" x14ac:dyDescent="0.25">
      <c r="A1962" s="364" t="s">
        <v>4981</v>
      </c>
      <c r="B1962" s="361" t="s">
        <v>4982</v>
      </c>
      <c r="C1962" t="s">
        <v>1920</v>
      </c>
      <c r="D1962" s="361">
        <v>24</v>
      </c>
      <c r="E1962" s="364"/>
      <c r="F1962" s="361" t="s">
        <v>1921</v>
      </c>
      <c r="T1962" s="361">
        <v>0.33259</v>
      </c>
    </row>
    <row r="1963" spans="1:20" x14ac:dyDescent="0.25">
      <c r="A1963" s="364" t="s">
        <v>4983</v>
      </c>
      <c r="B1963" s="361" t="s">
        <v>4984</v>
      </c>
      <c r="C1963" t="s">
        <v>1920</v>
      </c>
      <c r="D1963" s="361">
        <v>24</v>
      </c>
      <c r="E1963" s="364"/>
      <c r="F1963" s="361" t="s">
        <v>1921</v>
      </c>
      <c r="T1963" s="361">
        <v>0.28713</v>
      </c>
    </row>
    <row r="1964" spans="1:20" x14ac:dyDescent="0.25">
      <c r="A1964" s="364" t="s">
        <v>4985</v>
      </c>
      <c r="B1964" s="361" t="s">
        <v>4986</v>
      </c>
      <c r="C1964" t="s">
        <v>1920</v>
      </c>
      <c r="D1964" s="361">
        <v>24</v>
      </c>
      <c r="E1964" s="364"/>
      <c r="F1964" s="361" t="s">
        <v>1921</v>
      </c>
      <c r="T1964" s="361">
        <v>0.19286</v>
      </c>
    </row>
    <row r="1965" spans="1:20" x14ac:dyDescent="0.25">
      <c r="A1965" s="364" t="s">
        <v>4987</v>
      </c>
      <c r="B1965" s="361" t="s">
        <v>4988</v>
      </c>
      <c r="C1965" t="s">
        <v>1920</v>
      </c>
      <c r="D1965" s="361">
        <v>24</v>
      </c>
      <c r="E1965" s="364"/>
      <c r="F1965" s="361" t="s">
        <v>1921</v>
      </c>
      <c r="T1965" s="361">
        <v>0.12855</v>
      </c>
    </row>
    <row r="1966" spans="1:20" x14ac:dyDescent="0.25">
      <c r="A1966" s="364" t="s">
        <v>4989</v>
      </c>
      <c r="B1966" s="361" t="s">
        <v>4990</v>
      </c>
      <c r="C1966" t="s">
        <v>1920</v>
      </c>
      <c r="D1966" s="361">
        <v>24</v>
      </c>
      <c r="E1966" s="364"/>
      <c r="F1966" s="361" t="s">
        <v>1921</v>
      </c>
      <c r="T1966" s="361">
        <v>0.26469999999999999</v>
      </c>
    </row>
    <row r="1967" spans="1:20" x14ac:dyDescent="0.25">
      <c r="A1967" s="364" t="s">
        <v>4991</v>
      </c>
      <c r="B1967" s="361" t="s">
        <v>4992</v>
      </c>
      <c r="C1967" t="s">
        <v>1920</v>
      </c>
      <c r="D1967" s="361">
        <v>52</v>
      </c>
      <c r="E1967" s="364"/>
      <c r="F1967" s="361" t="s">
        <v>1921</v>
      </c>
      <c r="T1967" s="361">
        <v>3.7350000000000001E-2</v>
      </c>
    </row>
    <row r="1968" spans="1:20" x14ac:dyDescent="0.25">
      <c r="A1968" s="364" t="s">
        <v>4993</v>
      </c>
      <c r="B1968" s="361" t="s">
        <v>4994</v>
      </c>
      <c r="C1968" t="s">
        <v>1920</v>
      </c>
      <c r="D1968" s="361">
        <v>52</v>
      </c>
      <c r="E1968" s="364"/>
      <c r="F1968" s="361" t="s">
        <v>1921</v>
      </c>
      <c r="T1968" s="361">
        <v>4.3999999999999997E-2</v>
      </c>
    </row>
    <row r="1969" spans="1:20" x14ac:dyDescent="0.25">
      <c r="A1969" s="364" t="s">
        <v>4995</v>
      </c>
      <c r="B1969" s="361" t="s">
        <v>4996</v>
      </c>
      <c r="C1969" t="s">
        <v>1920</v>
      </c>
      <c r="D1969" s="361">
        <v>24</v>
      </c>
      <c r="E1969" s="364"/>
      <c r="F1969" s="361" t="s">
        <v>1921</v>
      </c>
      <c r="T1969" s="361">
        <v>0.13815</v>
      </c>
    </row>
    <row r="1970" spans="1:20" x14ac:dyDescent="0.25">
      <c r="A1970" s="364" t="s">
        <v>4997</v>
      </c>
      <c r="B1970" s="361" t="s">
        <v>4998</v>
      </c>
      <c r="C1970" t="s">
        <v>1920</v>
      </c>
      <c r="D1970" s="361">
        <v>15</v>
      </c>
      <c r="E1970" s="364"/>
      <c r="F1970" s="361" t="s">
        <v>1917</v>
      </c>
      <c r="T1970" s="361">
        <v>40.200000000000003</v>
      </c>
    </row>
    <row r="1971" spans="1:20" x14ac:dyDescent="0.25">
      <c r="A1971" s="364" t="s">
        <v>4999</v>
      </c>
      <c r="B1971" s="361" t="s">
        <v>5000</v>
      </c>
      <c r="C1971" t="s">
        <v>1920</v>
      </c>
      <c r="D1971" s="361">
        <v>24</v>
      </c>
      <c r="E1971" s="364"/>
      <c r="F1971" s="361" t="s">
        <v>1921</v>
      </c>
      <c r="T1971" s="361">
        <v>9.5449999999999993E-2</v>
      </c>
    </row>
    <row r="1972" spans="1:20" x14ac:dyDescent="0.25">
      <c r="A1972" s="364" t="s">
        <v>5001</v>
      </c>
      <c r="B1972" s="361" t="s">
        <v>5002</v>
      </c>
      <c r="C1972" t="s">
        <v>1920</v>
      </c>
      <c r="D1972" s="361">
        <v>15</v>
      </c>
      <c r="E1972" s="364"/>
      <c r="F1972" s="361" t="s">
        <v>1917</v>
      </c>
      <c r="T1972" s="361">
        <v>40.200000000000003</v>
      </c>
    </row>
    <row r="1973" spans="1:20" x14ac:dyDescent="0.25">
      <c r="A1973" s="364" t="s">
        <v>5003</v>
      </c>
      <c r="B1973" s="361" t="s">
        <v>5004</v>
      </c>
      <c r="C1973" t="s">
        <v>1920</v>
      </c>
      <c r="D1973" s="361">
        <v>24</v>
      </c>
      <c r="E1973" s="364"/>
      <c r="F1973" s="361" t="s">
        <v>1921</v>
      </c>
      <c r="T1973" s="361">
        <v>3.857E-2</v>
      </c>
    </row>
    <row r="1974" spans="1:20" x14ac:dyDescent="0.25">
      <c r="A1974" s="364" t="s">
        <v>5005</v>
      </c>
      <c r="B1974" s="361" t="s">
        <v>5006</v>
      </c>
      <c r="C1974" t="s">
        <v>1920</v>
      </c>
      <c r="D1974" s="361">
        <v>54</v>
      </c>
      <c r="E1974" s="364"/>
      <c r="F1974" s="361" t="s">
        <v>1921</v>
      </c>
      <c r="T1974" s="361">
        <v>0.45800000000000002</v>
      </c>
    </row>
    <row r="1975" spans="1:20" x14ac:dyDescent="0.25">
      <c r="A1975" s="364" t="s">
        <v>5007</v>
      </c>
      <c r="B1975" s="361" t="s">
        <v>5008</v>
      </c>
      <c r="C1975">
        <v>2</v>
      </c>
      <c r="D1975" s="361">
        <v>97</v>
      </c>
      <c r="E1975" s="364"/>
      <c r="F1975" s="361" t="s">
        <v>1921</v>
      </c>
      <c r="T1975" s="361">
        <v>56.3</v>
      </c>
    </row>
    <row r="1976" spans="1:20" x14ac:dyDescent="0.25">
      <c r="A1976" s="364" t="s">
        <v>5009</v>
      </c>
      <c r="B1976" s="361" t="s">
        <v>5010</v>
      </c>
      <c r="C1976" t="s">
        <v>1920</v>
      </c>
      <c r="D1976" s="361">
        <v>20</v>
      </c>
      <c r="E1976" s="364"/>
      <c r="F1976" s="361" t="s">
        <v>1921</v>
      </c>
      <c r="T1976" s="361">
        <v>3.4200000000000001E-2</v>
      </c>
    </row>
    <row r="1977" spans="1:20" x14ac:dyDescent="0.25">
      <c r="A1977" s="364" t="s">
        <v>5011</v>
      </c>
      <c r="B1977" s="361" t="s">
        <v>5012</v>
      </c>
      <c r="C1977" t="s">
        <v>1920</v>
      </c>
      <c r="D1977" s="361">
        <v>15</v>
      </c>
      <c r="E1977" s="364"/>
      <c r="F1977" s="361" t="s">
        <v>1917</v>
      </c>
      <c r="T1977" s="361">
        <v>24.4</v>
      </c>
    </row>
    <row r="1978" spans="1:20" x14ac:dyDescent="0.25">
      <c r="A1978" s="364" t="s">
        <v>5013</v>
      </c>
      <c r="B1978" s="361" t="s">
        <v>5014</v>
      </c>
      <c r="C1978">
        <v>2</v>
      </c>
      <c r="D1978" s="361">
        <v>97</v>
      </c>
      <c r="E1978" s="364"/>
      <c r="F1978" s="361" t="s">
        <v>1921</v>
      </c>
      <c r="T1978" s="361">
        <v>256</v>
      </c>
    </row>
    <row r="1979" spans="1:20" x14ac:dyDescent="0.25">
      <c r="A1979" s="364" t="s">
        <v>5015</v>
      </c>
      <c r="B1979" s="361" t="s">
        <v>5016</v>
      </c>
      <c r="C1979">
        <v>2</v>
      </c>
      <c r="D1979" s="361">
        <v>97</v>
      </c>
      <c r="E1979" s="364"/>
      <c r="F1979" s="361" t="s">
        <v>1921</v>
      </c>
      <c r="T1979" s="361">
        <v>132.6</v>
      </c>
    </row>
    <row r="1980" spans="1:20" x14ac:dyDescent="0.25">
      <c r="A1980" s="364" t="s">
        <v>5017</v>
      </c>
      <c r="B1980" s="361" t="s">
        <v>5018</v>
      </c>
      <c r="C1980" t="s">
        <v>1920</v>
      </c>
      <c r="D1980" s="361">
        <v>15</v>
      </c>
      <c r="E1980" s="364"/>
      <c r="F1980" s="361" t="s">
        <v>1917</v>
      </c>
      <c r="T1980" s="361">
        <v>34.799999999999997</v>
      </c>
    </row>
    <row r="1981" spans="1:20" x14ac:dyDescent="0.25">
      <c r="A1981" s="364" t="s">
        <v>5019</v>
      </c>
      <c r="B1981" s="361" t="s">
        <v>5020</v>
      </c>
      <c r="C1981" t="s">
        <v>1920</v>
      </c>
      <c r="D1981" s="361">
        <v>15</v>
      </c>
      <c r="E1981" s="364"/>
      <c r="F1981" s="361" t="s">
        <v>1917</v>
      </c>
      <c r="T1981" s="361">
        <v>39.4</v>
      </c>
    </row>
    <row r="1982" spans="1:20" x14ac:dyDescent="0.25">
      <c r="A1982" s="364" t="s">
        <v>5021</v>
      </c>
      <c r="B1982" s="361" t="s">
        <v>5022</v>
      </c>
      <c r="C1982" t="s">
        <v>1920</v>
      </c>
      <c r="D1982" s="361">
        <v>15</v>
      </c>
      <c r="E1982" s="364"/>
      <c r="F1982" s="361" t="s">
        <v>1917</v>
      </c>
      <c r="T1982" s="361">
        <v>24.9</v>
      </c>
    </row>
    <row r="1983" spans="1:20" x14ac:dyDescent="0.25">
      <c r="A1983" s="364" t="s">
        <v>5023</v>
      </c>
      <c r="B1983" s="361" t="s">
        <v>5024</v>
      </c>
      <c r="C1983" t="s">
        <v>1920</v>
      </c>
      <c r="D1983" s="361">
        <v>15</v>
      </c>
      <c r="E1983" s="364"/>
      <c r="F1983" s="361" t="s">
        <v>1917</v>
      </c>
      <c r="T1983" s="361">
        <v>23.9</v>
      </c>
    </row>
    <row r="1984" spans="1:20" x14ac:dyDescent="0.25">
      <c r="A1984" s="364" t="s">
        <v>5025</v>
      </c>
      <c r="B1984" s="361" t="s">
        <v>5026</v>
      </c>
      <c r="C1984" t="s">
        <v>1920</v>
      </c>
      <c r="D1984" s="361">
        <v>15</v>
      </c>
      <c r="E1984" s="364"/>
      <c r="F1984" s="361" t="s">
        <v>1917</v>
      </c>
      <c r="T1984" s="361">
        <v>25.7</v>
      </c>
    </row>
    <row r="1985" spans="1:20" x14ac:dyDescent="0.25">
      <c r="A1985" s="364" t="s">
        <v>5027</v>
      </c>
      <c r="B1985" s="361" t="s">
        <v>5028</v>
      </c>
      <c r="C1985" t="s">
        <v>1920</v>
      </c>
      <c r="D1985" s="361">
        <v>15</v>
      </c>
      <c r="E1985" s="364"/>
      <c r="F1985" s="361" t="s">
        <v>1917</v>
      </c>
      <c r="T1985" s="361">
        <v>34.799999999999997</v>
      </c>
    </row>
    <row r="1986" spans="1:20" x14ac:dyDescent="0.25">
      <c r="A1986" s="364" t="s">
        <v>5029</v>
      </c>
      <c r="B1986" s="361" t="s">
        <v>5030</v>
      </c>
      <c r="C1986" t="s">
        <v>1920</v>
      </c>
      <c r="D1986" s="361">
        <v>15</v>
      </c>
      <c r="E1986" s="364"/>
      <c r="F1986" s="361" t="s">
        <v>1917</v>
      </c>
      <c r="T1986" s="361">
        <v>24.9</v>
      </c>
    </row>
    <row r="1987" spans="1:20" x14ac:dyDescent="0.25">
      <c r="A1987" s="364" t="s">
        <v>1114</v>
      </c>
      <c r="B1987" s="361" t="s">
        <v>1115</v>
      </c>
      <c r="C1987" t="s">
        <v>1922</v>
      </c>
      <c r="D1987" s="361">
        <v>1</v>
      </c>
      <c r="E1987" s="364"/>
      <c r="F1987" s="361" t="s">
        <v>1917</v>
      </c>
      <c r="T1987" s="361">
        <v>64.849999999999994</v>
      </c>
    </row>
    <row r="1988" spans="1:20" x14ac:dyDescent="0.25">
      <c r="A1988" s="364" t="s">
        <v>5031</v>
      </c>
      <c r="B1988" s="361" t="s">
        <v>3372</v>
      </c>
      <c r="C1988" t="s">
        <v>1920</v>
      </c>
      <c r="D1988" s="361">
        <v>20</v>
      </c>
      <c r="E1988" s="364"/>
      <c r="F1988" s="361" t="s">
        <v>1921</v>
      </c>
      <c r="T1988" s="361">
        <v>0.22370000000000001</v>
      </c>
    </row>
    <row r="1989" spans="1:20" x14ac:dyDescent="0.25">
      <c r="A1989" s="364" t="s">
        <v>5032</v>
      </c>
      <c r="B1989" s="361" t="s">
        <v>3374</v>
      </c>
      <c r="C1989" t="s">
        <v>1920</v>
      </c>
      <c r="D1989" s="361">
        <v>20</v>
      </c>
      <c r="E1989" s="364"/>
      <c r="F1989" s="361" t="s">
        <v>1921</v>
      </c>
      <c r="T1989" s="361">
        <v>0.1769</v>
      </c>
    </row>
    <row r="1990" spans="1:20" x14ac:dyDescent="0.25">
      <c r="A1990" s="364" t="s">
        <v>5033</v>
      </c>
      <c r="B1990" s="361" t="s">
        <v>3376</v>
      </c>
      <c r="C1990" t="s">
        <v>1920</v>
      </c>
      <c r="D1990" s="361">
        <v>20</v>
      </c>
      <c r="E1990" s="364"/>
      <c r="F1990" s="361" t="s">
        <v>1921</v>
      </c>
      <c r="T1990" s="361">
        <v>0.2863</v>
      </c>
    </row>
    <row r="1991" spans="1:20" x14ac:dyDescent="0.25">
      <c r="A1991" s="364" t="s">
        <v>5034</v>
      </c>
      <c r="B1991" s="361" t="s">
        <v>3108</v>
      </c>
      <c r="C1991" t="s">
        <v>1920</v>
      </c>
      <c r="D1991" s="361">
        <v>30</v>
      </c>
      <c r="E1991" s="364"/>
      <c r="F1991" s="361" t="s">
        <v>1921</v>
      </c>
      <c r="T1991" s="361">
        <v>0.12241</v>
      </c>
    </row>
    <row r="1992" spans="1:20" x14ac:dyDescent="0.25">
      <c r="A1992" s="364" t="s">
        <v>5035</v>
      </c>
      <c r="B1992" s="361" t="s">
        <v>5036</v>
      </c>
      <c r="C1992">
        <v>2</v>
      </c>
      <c r="D1992" s="361">
        <v>97</v>
      </c>
      <c r="E1992" s="364"/>
      <c r="F1992" s="361" t="s">
        <v>1921</v>
      </c>
      <c r="T1992" s="361">
        <v>293.61</v>
      </c>
    </row>
    <row r="1993" spans="1:20" x14ac:dyDescent="0.25">
      <c r="A1993" s="364" t="s">
        <v>5037</v>
      </c>
      <c r="B1993" s="361" t="s">
        <v>5038</v>
      </c>
      <c r="C1993">
        <v>2</v>
      </c>
      <c r="D1993" s="361">
        <v>97</v>
      </c>
      <c r="E1993" s="364"/>
      <c r="F1993" s="361" t="s">
        <v>1921</v>
      </c>
      <c r="T1993" s="361">
        <v>387.12</v>
      </c>
    </row>
    <row r="1994" spans="1:20" x14ac:dyDescent="0.25">
      <c r="A1994" s="364" t="s">
        <v>5039</v>
      </c>
      <c r="B1994" s="361" t="s">
        <v>5040</v>
      </c>
      <c r="C1994">
        <v>2</v>
      </c>
      <c r="D1994" s="361">
        <v>97</v>
      </c>
      <c r="E1994" s="364"/>
      <c r="F1994" s="361" t="s">
        <v>1921</v>
      </c>
      <c r="T1994" s="361">
        <v>1038.2</v>
      </c>
    </row>
    <row r="1995" spans="1:20" x14ac:dyDescent="0.25">
      <c r="A1995" s="364" t="s">
        <v>5041</v>
      </c>
      <c r="B1995" s="361" t="s">
        <v>5042</v>
      </c>
      <c r="C1995">
        <v>2</v>
      </c>
      <c r="D1995" s="361">
        <v>97</v>
      </c>
      <c r="E1995" s="364"/>
      <c r="F1995" s="361" t="s">
        <v>1921</v>
      </c>
      <c r="T1995" s="361">
        <v>1577.5</v>
      </c>
    </row>
    <row r="1996" spans="1:20" x14ac:dyDescent="0.25">
      <c r="A1996" s="364" t="s">
        <v>5043</v>
      </c>
      <c r="B1996" s="361" t="s">
        <v>5044</v>
      </c>
      <c r="C1996" t="s">
        <v>1920</v>
      </c>
      <c r="D1996" s="361">
        <v>20</v>
      </c>
      <c r="E1996" s="364"/>
      <c r="F1996" s="361" t="s">
        <v>1921</v>
      </c>
      <c r="T1996" s="361">
        <v>0.28000000000000003</v>
      </c>
    </row>
    <row r="1997" spans="1:20" x14ac:dyDescent="0.25">
      <c r="A1997" s="364" t="s">
        <v>5045</v>
      </c>
      <c r="B1997" s="361" t="s">
        <v>5046</v>
      </c>
      <c r="C1997" t="s">
        <v>1920</v>
      </c>
      <c r="D1997" s="361">
        <v>20</v>
      </c>
      <c r="E1997" s="364"/>
      <c r="F1997" s="361" t="s">
        <v>1921</v>
      </c>
      <c r="T1997" s="361">
        <v>0.28910000000000002</v>
      </c>
    </row>
    <row r="1998" spans="1:20" x14ac:dyDescent="0.25">
      <c r="A1998" s="364" t="s">
        <v>5047</v>
      </c>
      <c r="B1998" s="361" t="s">
        <v>5048</v>
      </c>
      <c r="C1998" t="s">
        <v>1920</v>
      </c>
      <c r="D1998" s="361">
        <v>24</v>
      </c>
      <c r="E1998" s="364"/>
      <c r="F1998" s="361" t="s">
        <v>1921</v>
      </c>
      <c r="T1998" s="361">
        <v>0.12861</v>
      </c>
    </row>
    <row r="1999" spans="1:20" x14ac:dyDescent="0.25">
      <c r="A1999" s="364" t="s">
        <v>5049</v>
      </c>
      <c r="B1999" s="361" t="s">
        <v>5050</v>
      </c>
      <c r="C1999" t="s">
        <v>1920</v>
      </c>
      <c r="D1999" s="361">
        <v>20</v>
      </c>
      <c r="E1999" s="364"/>
      <c r="F1999" s="361" t="s">
        <v>1921</v>
      </c>
      <c r="T1999" s="361">
        <v>0.10859000000000001</v>
      </c>
    </row>
    <row r="2000" spans="1:20" x14ac:dyDescent="0.25">
      <c r="A2000" s="364" t="s">
        <v>5051</v>
      </c>
      <c r="B2000" s="361" t="s">
        <v>5052</v>
      </c>
      <c r="C2000" t="s">
        <v>1920</v>
      </c>
      <c r="D2000" s="361">
        <v>50</v>
      </c>
      <c r="E2000" s="364"/>
      <c r="F2000" s="361" t="s">
        <v>1921</v>
      </c>
      <c r="T2000" s="361">
        <v>8.7400000000000005E-2</v>
      </c>
    </row>
    <row r="2001" spans="1:20" x14ac:dyDescent="0.25">
      <c r="A2001" s="364" t="s">
        <v>5053</v>
      </c>
      <c r="B2001" s="361" t="s">
        <v>5054</v>
      </c>
      <c r="C2001" t="s">
        <v>1920</v>
      </c>
      <c r="D2001" s="361">
        <v>54</v>
      </c>
      <c r="E2001" s="364"/>
      <c r="F2001" s="361" t="s">
        <v>1921</v>
      </c>
      <c r="T2001" s="361">
        <v>0.23713999999999999</v>
      </c>
    </row>
    <row r="2002" spans="1:20" x14ac:dyDescent="0.25">
      <c r="A2002" s="364" t="s">
        <v>5055</v>
      </c>
      <c r="B2002" s="361" t="s">
        <v>5056</v>
      </c>
      <c r="C2002" t="s">
        <v>1920</v>
      </c>
      <c r="D2002" s="361">
        <v>52</v>
      </c>
      <c r="E2002" s="364"/>
      <c r="F2002" s="361" t="s">
        <v>1921</v>
      </c>
      <c r="T2002" s="361">
        <v>0.106</v>
      </c>
    </row>
    <row r="2003" spans="1:20" x14ac:dyDescent="0.25">
      <c r="A2003" s="364" t="s">
        <v>5057</v>
      </c>
      <c r="B2003" s="361" t="s">
        <v>5058</v>
      </c>
      <c r="C2003" t="s">
        <v>2419</v>
      </c>
      <c r="D2003" s="361">
        <v>4</v>
      </c>
      <c r="E2003" s="364"/>
      <c r="F2003" s="361" t="s">
        <v>2201</v>
      </c>
      <c r="T2003" s="361">
        <v>158</v>
      </c>
    </row>
    <row r="2004" spans="1:20" x14ac:dyDescent="0.25">
      <c r="A2004" s="364" t="s">
        <v>5059</v>
      </c>
      <c r="B2004" s="361" t="s">
        <v>4366</v>
      </c>
      <c r="C2004" t="s">
        <v>1920</v>
      </c>
      <c r="D2004" s="361">
        <v>50</v>
      </c>
      <c r="E2004" s="364"/>
      <c r="F2004" s="361" t="s">
        <v>1921</v>
      </c>
      <c r="T2004" s="361">
        <v>0.66410000000000002</v>
      </c>
    </row>
    <row r="2005" spans="1:20" x14ac:dyDescent="0.25">
      <c r="A2005" s="364" t="s">
        <v>5060</v>
      </c>
      <c r="B2005" s="361" t="s">
        <v>5061</v>
      </c>
      <c r="C2005" t="s">
        <v>1920</v>
      </c>
      <c r="D2005" s="361">
        <v>45</v>
      </c>
      <c r="E2005" s="364"/>
      <c r="F2005" s="361" t="s">
        <v>1917</v>
      </c>
      <c r="T2005" s="361">
        <v>49.6</v>
      </c>
    </row>
    <row r="2006" spans="1:20" x14ac:dyDescent="0.25">
      <c r="A2006" s="364" t="s">
        <v>5062</v>
      </c>
      <c r="B2006" s="361" t="s">
        <v>5063</v>
      </c>
      <c r="C2006" t="s">
        <v>1920</v>
      </c>
      <c r="D2006" s="361">
        <v>20</v>
      </c>
      <c r="E2006" s="364"/>
      <c r="F2006" s="361" t="s">
        <v>1921</v>
      </c>
      <c r="T2006" s="361">
        <v>3.0810000000000001E-2</v>
      </c>
    </row>
    <row r="2007" spans="1:20" x14ac:dyDescent="0.25">
      <c r="A2007" s="364" t="s">
        <v>5064</v>
      </c>
      <c r="B2007" s="361" t="s">
        <v>5065</v>
      </c>
      <c r="C2007" t="s">
        <v>1920</v>
      </c>
      <c r="D2007" s="361">
        <v>20</v>
      </c>
      <c r="E2007" s="364"/>
      <c r="F2007" s="361" t="s">
        <v>1921</v>
      </c>
      <c r="T2007" s="361">
        <v>3.0800000000000001E-2</v>
      </c>
    </row>
    <row r="2008" spans="1:20" x14ac:dyDescent="0.25">
      <c r="A2008" s="364" t="s">
        <v>5066</v>
      </c>
      <c r="B2008" s="361" t="s">
        <v>3905</v>
      </c>
      <c r="C2008" t="s">
        <v>1920</v>
      </c>
      <c r="D2008" s="361">
        <v>50</v>
      </c>
      <c r="E2008" s="364"/>
      <c r="F2008" s="361" t="s">
        <v>1921</v>
      </c>
      <c r="T2008" s="361">
        <v>5.1180000000000003E-2</v>
      </c>
    </row>
    <row r="2009" spans="1:20" x14ac:dyDescent="0.25">
      <c r="A2009" s="364" t="s">
        <v>5067</v>
      </c>
      <c r="B2009" s="361" t="s">
        <v>3326</v>
      </c>
      <c r="C2009" t="s">
        <v>1920</v>
      </c>
      <c r="D2009" s="361">
        <v>54</v>
      </c>
      <c r="E2009" s="364"/>
      <c r="F2009" s="361" t="s">
        <v>1921</v>
      </c>
      <c r="T2009" s="361">
        <v>0.29027999999999998</v>
      </c>
    </row>
    <row r="2010" spans="1:20" x14ac:dyDescent="0.25">
      <c r="A2010" s="364" t="s">
        <v>5068</v>
      </c>
      <c r="B2010" s="361" t="s">
        <v>3911</v>
      </c>
      <c r="C2010" t="s">
        <v>1920</v>
      </c>
      <c r="D2010" s="361">
        <v>50</v>
      </c>
      <c r="E2010" s="364"/>
      <c r="F2010" s="361" t="s">
        <v>1921</v>
      </c>
      <c r="T2010" s="361">
        <v>5.1180000000000003E-2</v>
      </c>
    </row>
    <row r="2011" spans="1:20" x14ac:dyDescent="0.25">
      <c r="A2011" s="364" t="s">
        <v>5069</v>
      </c>
      <c r="B2011" s="361" t="s">
        <v>3466</v>
      </c>
      <c r="C2011" t="s">
        <v>1920</v>
      </c>
      <c r="D2011" s="361">
        <v>54</v>
      </c>
      <c r="E2011" s="364"/>
      <c r="F2011" s="361" t="s">
        <v>1921</v>
      </c>
      <c r="T2011" s="361">
        <v>0.38375999999999999</v>
      </c>
    </row>
    <row r="2012" spans="1:20" x14ac:dyDescent="0.25">
      <c r="A2012" s="364" t="s">
        <v>5070</v>
      </c>
      <c r="B2012" s="361" t="s">
        <v>5071</v>
      </c>
      <c r="C2012" t="s">
        <v>1920</v>
      </c>
      <c r="D2012" s="361">
        <v>16</v>
      </c>
      <c r="E2012" s="364"/>
      <c r="F2012" s="361" t="s">
        <v>1917</v>
      </c>
      <c r="T2012" s="361">
        <v>13</v>
      </c>
    </row>
    <row r="2013" spans="1:20" x14ac:dyDescent="0.25">
      <c r="A2013" s="364" t="s">
        <v>1116</v>
      </c>
      <c r="B2013" s="361" t="s">
        <v>1117</v>
      </c>
      <c r="C2013" t="s">
        <v>1922</v>
      </c>
      <c r="D2013" s="361">
        <v>1</v>
      </c>
      <c r="E2013" s="364"/>
      <c r="F2013" s="361" t="s">
        <v>1917</v>
      </c>
      <c r="T2013" s="361">
        <v>75.23</v>
      </c>
    </row>
    <row r="2014" spans="1:20" x14ac:dyDescent="0.25">
      <c r="A2014" s="364" t="s">
        <v>5072</v>
      </c>
      <c r="B2014" s="361" t="s">
        <v>5073</v>
      </c>
      <c r="C2014" t="s">
        <v>1920</v>
      </c>
      <c r="D2014" s="361">
        <v>54</v>
      </c>
      <c r="E2014" s="364"/>
      <c r="F2014" s="361" t="s">
        <v>1921</v>
      </c>
      <c r="T2014" s="361">
        <v>0.36487000000000003</v>
      </c>
    </row>
    <row r="2015" spans="1:20" x14ac:dyDescent="0.25">
      <c r="A2015" s="364" t="s">
        <v>5074</v>
      </c>
      <c r="B2015" s="361" t="s">
        <v>5075</v>
      </c>
      <c r="C2015" t="s">
        <v>1920</v>
      </c>
      <c r="D2015" s="361">
        <v>54</v>
      </c>
      <c r="E2015" s="364"/>
      <c r="F2015" s="361" t="s">
        <v>1921</v>
      </c>
      <c r="T2015" s="361">
        <v>0.29322999999999999</v>
      </c>
    </row>
    <row r="2016" spans="1:20" x14ac:dyDescent="0.25">
      <c r="A2016" s="364" t="s">
        <v>5076</v>
      </c>
      <c r="B2016" s="361" t="s">
        <v>5077</v>
      </c>
      <c r="C2016" t="s">
        <v>2419</v>
      </c>
      <c r="D2016" s="361">
        <v>4</v>
      </c>
      <c r="E2016" s="364"/>
      <c r="F2016" s="361" t="s">
        <v>1921</v>
      </c>
      <c r="T2016" s="361">
        <v>0.253</v>
      </c>
    </row>
    <row r="2017" spans="1:20" x14ac:dyDescent="0.25">
      <c r="A2017" s="364" t="s">
        <v>5078</v>
      </c>
      <c r="B2017" s="361" t="s">
        <v>5079</v>
      </c>
      <c r="C2017" t="s">
        <v>2419</v>
      </c>
      <c r="D2017" s="361">
        <v>4</v>
      </c>
      <c r="E2017" s="364"/>
      <c r="F2017" s="361" t="s">
        <v>1921</v>
      </c>
      <c r="T2017" s="361">
        <v>0.46500000000000002</v>
      </c>
    </row>
    <row r="2018" spans="1:20" x14ac:dyDescent="0.25">
      <c r="A2018" s="364" t="s">
        <v>1118</v>
      </c>
      <c r="B2018" s="361" t="s">
        <v>1119</v>
      </c>
      <c r="C2018" t="s">
        <v>1916</v>
      </c>
      <c r="D2018" s="361">
        <v>2</v>
      </c>
      <c r="E2018" s="364"/>
      <c r="F2018" s="361" t="s">
        <v>1917</v>
      </c>
      <c r="T2018" s="361">
        <v>3700</v>
      </c>
    </row>
    <row r="2019" spans="1:20" x14ac:dyDescent="0.25">
      <c r="A2019" s="364" t="s">
        <v>1120</v>
      </c>
      <c r="B2019" s="361" t="s">
        <v>1121</v>
      </c>
      <c r="C2019" t="s">
        <v>1922</v>
      </c>
      <c r="D2019" s="361">
        <v>1</v>
      </c>
      <c r="E2019" s="364"/>
      <c r="F2019" s="361" t="s">
        <v>1917</v>
      </c>
      <c r="T2019" s="361">
        <v>8.5500000000000007</v>
      </c>
    </row>
    <row r="2020" spans="1:20" x14ac:dyDescent="0.25">
      <c r="A2020" s="364" t="s">
        <v>5080</v>
      </c>
      <c r="B2020" s="361" t="s">
        <v>5081</v>
      </c>
      <c r="C2020" t="s">
        <v>1920</v>
      </c>
      <c r="D2020" s="361">
        <v>15</v>
      </c>
      <c r="E2020" s="364"/>
      <c r="F2020" s="361" t="s">
        <v>1917</v>
      </c>
      <c r="T2020" s="361">
        <v>52.29</v>
      </c>
    </row>
    <row r="2021" spans="1:20" x14ac:dyDescent="0.25">
      <c r="A2021" s="364" t="s">
        <v>5082</v>
      </c>
      <c r="B2021" s="361" t="s">
        <v>5083</v>
      </c>
      <c r="C2021" t="s">
        <v>1920</v>
      </c>
      <c r="D2021" s="361">
        <v>15</v>
      </c>
      <c r="E2021" s="364"/>
      <c r="F2021" s="361" t="s">
        <v>1917</v>
      </c>
      <c r="T2021" s="361">
        <v>38.64</v>
      </c>
    </row>
    <row r="2022" spans="1:20" x14ac:dyDescent="0.25">
      <c r="A2022" s="364" t="s">
        <v>5084</v>
      </c>
      <c r="B2022" s="361" t="s">
        <v>5085</v>
      </c>
      <c r="C2022" t="s">
        <v>1920</v>
      </c>
      <c r="D2022" s="361">
        <v>16</v>
      </c>
      <c r="E2022" s="364"/>
      <c r="F2022" s="361" t="s">
        <v>1917</v>
      </c>
      <c r="T2022" s="361">
        <v>11.2</v>
      </c>
    </row>
    <row r="2023" spans="1:20" x14ac:dyDescent="0.25">
      <c r="A2023" s="364" t="s">
        <v>5086</v>
      </c>
      <c r="B2023" s="361" t="s">
        <v>5087</v>
      </c>
      <c r="C2023" t="s">
        <v>1920</v>
      </c>
      <c r="D2023" s="361">
        <v>24</v>
      </c>
      <c r="E2023" s="364"/>
      <c r="F2023" s="361" t="s">
        <v>1921</v>
      </c>
      <c r="T2023" s="361">
        <v>1.4710799999999999</v>
      </c>
    </row>
    <row r="2024" spans="1:20" x14ac:dyDescent="0.25">
      <c r="A2024" s="364" t="s">
        <v>5088</v>
      </c>
      <c r="B2024" s="361" t="s">
        <v>5089</v>
      </c>
      <c r="C2024" t="s">
        <v>1920</v>
      </c>
      <c r="D2024" s="361">
        <v>24</v>
      </c>
      <c r="E2024" s="364"/>
      <c r="F2024" s="361" t="s">
        <v>1921</v>
      </c>
      <c r="T2024" s="361">
        <v>0.35915999999999998</v>
      </c>
    </row>
    <row r="2025" spans="1:20" x14ac:dyDescent="0.25">
      <c r="A2025" s="364" t="s">
        <v>5090</v>
      </c>
      <c r="B2025" s="361" t="s">
        <v>5091</v>
      </c>
      <c r="C2025" t="s">
        <v>1920</v>
      </c>
      <c r="D2025" s="361">
        <v>27</v>
      </c>
      <c r="E2025" s="364"/>
      <c r="F2025" s="361" t="s">
        <v>1921</v>
      </c>
      <c r="T2025" s="361">
        <v>1.0269999999999999</v>
      </c>
    </row>
    <row r="2026" spans="1:20" x14ac:dyDescent="0.25">
      <c r="A2026" s="364" t="s">
        <v>5092</v>
      </c>
      <c r="B2026" s="361" t="s">
        <v>5093</v>
      </c>
      <c r="C2026" t="s">
        <v>1920</v>
      </c>
      <c r="D2026" s="361">
        <v>54</v>
      </c>
      <c r="E2026" s="364"/>
      <c r="F2026" s="361" t="s">
        <v>1921</v>
      </c>
      <c r="T2026" s="361">
        <v>0.22140000000000001</v>
      </c>
    </row>
    <row r="2027" spans="1:20" x14ac:dyDescent="0.25">
      <c r="A2027" s="364" t="s">
        <v>5094</v>
      </c>
      <c r="B2027" s="361" t="s">
        <v>5095</v>
      </c>
      <c r="C2027" t="s">
        <v>1920</v>
      </c>
      <c r="D2027" s="361">
        <v>96</v>
      </c>
      <c r="E2027" s="364"/>
      <c r="F2027" s="361" t="s">
        <v>1921</v>
      </c>
      <c r="T2027" s="361">
        <v>14</v>
      </c>
    </row>
    <row r="2028" spans="1:20" x14ac:dyDescent="0.25">
      <c r="A2028" s="364" t="s">
        <v>5096</v>
      </c>
      <c r="B2028" s="361" t="s">
        <v>4446</v>
      </c>
      <c r="C2028" t="s">
        <v>1920</v>
      </c>
      <c r="D2028" s="361">
        <v>24</v>
      </c>
      <c r="E2028" s="364"/>
      <c r="F2028" s="361" t="s">
        <v>1921</v>
      </c>
      <c r="T2028" s="361">
        <v>0.12041</v>
      </c>
    </row>
    <row r="2029" spans="1:20" x14ac:dyDescent="0.25">
      <c r="A2029" s="364" t="s">
        <v>5097</v>
      </c>
      <c r="B2029" s="361" t="s">
        <v>3430</v>
      </c>
      <c r="C2029" t="s">
        <v>1920</v>
      </c>
      <c r="D2029" s="361">
        <v>24</v>
      </c>
      <c r="E2029" s="364"/>
      <c r="F2029" s="361" t="s">
        <v>1921</v>
      </c>
      <c r="T2029" s="361">
        <v>0.22552</v>
      </c>
    </row>
    <row r="2030" spans="1:20" x14ac:dyDescent="0.25">
      <c r="A2030" s="364" t="s">
        <v>5098</v>
      </c>
      <c r="B2030" s="361" t="s">
        <v>5099</v>
      </c>
      <c r="C2030" t="s">
        <v>1920</v>
      </c>
      <c r="D2030" s="361">
        <v>54</v>
      </c>
      <c r="E2030" s="364"/>
      <c r="F2030" s="361" t="s">
        <v>1921</v>
      </c>
      <c r="T2030" s="361">
        <v>6.6809999999999994E-2</v>
      </c>
    </row>
    <row r="2031" spans="1:20" x14ac:dyDescent="0.25">
      <c r="A2031" s="364" t="s">
        <v>5100</v>
      </c>
      <c r="B2031" s="361" t="s">
        <v>5101</v>
      </c>
      <c r="C2031" t="s">
        <v>1920</v>
      </c>
      <c r="D2031" s="361">
        <v>54</v>
      </c>
      <c r="E2031" s="364"/>
      <c r="F2031" s="361" t="s">
        <v>1921</v>
      </c>
      <c r="T2031" s="361">
        <v>7.2419999999999998E-2</v>
      </c>
    </row>
    <row r="2032" spans="1:20" x14ac:dyDescent="0.25">
      <c r="A2032" s="364" t="s">
        <v>5102</v>
      </c>
      <c r="B2032" s="361" t="s">
        <v>5103</v>
      </c>
      <c r="C2032" t="s">
        <v>1920</v>
      </c>
      <c r="D2032" s="361">
        <v>54</v>
      </c>
      <c r="E2032" s="364"/>
      <c r="F2032" s="361" t="s">
        <v>1921</v>
      </c>
      <c r="T2032" s="361">
        <v>0.11803</v>
      </c>
    </row>
    <row r="2033" spans="1:20" x14ac:dyDescent="0.25">
      <c r="A2033" s="364" t="s">
        <v>5104</v>
      </c>
      <c r="B2033" s="361" t="s">
        <v>5105</v>
      </c>
      <c r="C2033" t="s">
        <v>1920</v>
      </c>
      <c r="D2033" s="361">
        <v>54</v>
      </c>
      <c r="E2033" s="364"/>
      <c r="F2033" s="361" t="s">
        <v>1921</v>
      </c>
      <c r="T2033" s="361">
        <v>7.0449999999999999E-2</v>
      </c>
    </row>
    <row r="2034" spans="1:20" x14ac:dyDescent="0.25">
      <c r="A2034" s="364" t="s">
        <v>5106</v>
      </c>
      <c r="B2034" s="361" t="s">
        <v>3885</v>
      </c>
      <c r="C2034" t="s">
        <v>1920</v>
      </c>
      <c r="D2034" s="361">
        <v>50</v>
      </c>
      <c r="E2034" s="364"/>
      <c r="F2034" s="361" t="s">
        <v>1921</v>
      </c>
      <c r="T2034" s="361">
        <v>3.313E-2</v>
      </c>
    </row>
    <row r="2035" spans="1:20" x14ac:dyDescent="0.25">
      <c r="A2035" s="364" t="s">
        <v>5107</v>
      </c>
      <c r="B2035" s="361" t="s">
        <v>3887</v>
      </c>
      <c r="C2035" t="s">
        <v>1920</v>
      </c>
      <c r="D2035" s="361">
        <v>54</v>
      </c>
      <c r="E2035" s="364"/>
      <c r="F2035" s="361" t="s">
        <v>1921</v>
      </c>
      <c r="T2035" s="361">
        <v>0.12103</v>
      </c>
    </row>
    <row r="2036" spans="1:20" x14ac:dyDescent="0.25">
      <c r="A2036" s="364" t="s">
        <v>5108</v>
      </c>
      <c r="B2036" s="361" t="s">
        <v>5109</v>
      </c>
      <c r="C2036" t="s">
        <v>1920</v>
      </c>
      <c r="D2036" s="361">
        <v>54</v>
      </c>
      <c r="E2036" s="364"/>
      <c r="F2036" s="361" t="s">
        <v>1921</v>
      </c>
      <c r="T2036" s="361">
        <v>0.1958</v>
      </c>
    </row>
    <row r="2037" spans="1:20" x14ac:dyDescent="0.25">
      <c r="A2037" s="364" t="s">
        <v>5110</v>
      </c>
      <c r="B2037" s="361" t="s">
        <v>5111</v>
      </c>
      <c r="C2037" t="s">
        <v>1920</v>
      </c>
      <c r="D2037" s="361">
        <v>54</v>
      </c>
      <c r="E2037" s="364"/>
      <c r="F2037" s="361" t="s">
        <v>1921</v>
      </c>
      <c r="T2037" s="361">
        <v>0.12694</v>
      </c>
    </row>
    <row r="2038" spans="1:20" x14ac:dyDescent="0.25">
      <c r="A2038" s="364" t="s">
        <v>5112</v>
      </c>
      <c r="B2038" s="361" t="s">
        <v>5113</v>
      </c>
      <c r="C2038" t="s">
        <v>2095</v>
      </c>
      <c r="D2038" s="361">
        <v>56</v>
      </c>
      <c r="E2038" s="364"/>
      <c r="F2038" s="361" t="s">
        <v>1921</v>
      </c>
      <c r="T2038" s="361">
        <v>0.53700000000000003</v>
      </c>
    </row>
    <row r="2039" spans="1:20" x14ac:dyDescent="0.25">
      <c r="A2039" s="364" t="s">
        <v>5114</v>
      </c>
      <c r="B2039" s="361" t="s">
        <v>5115</v>
      </c>
      <c r="C2039" t="s">
        <v>2095</v>
      </c>
      <c r="D2039" s="361">
        <v>56</v>
      </c>
      <c r="E2039" s="364"/>
      <c r="F2039" s="361" t="s">
        <v>1921</v>
      </c>
      <c r="T2039" s="361">
        <v>0.53700000000000003</v>
      </c>
    </row>
    <row r="2040" spans="1:20" x14ac:dyDescent="0.25">
      <c r="A2040" s="364" t="s">
        <v>5116</v>
      </c>
      <c r="B2040" s="361" t="s">
        <v>5117</v>
      </c>
      <c r="C2040" t="s">
        <v>1920</v>
      </c>
      <c r="D2040" s="361">
        <v>56</v>
      </c>
      <c r="E2040" s="364"/>
      <c r="F2040" s="361" t="s">
        <v>1921</v>
      </c>
      <c r="T2040" s="361">
        <v>0.74099999999999999</v>
      </c>
    </row>
    <row r="2041" spans="1:20" x14ac:dyDescent="0.25">
      <c r="A2041" s="364" t="s">
        <v>5118</v>
      </c>
      <c r="B2041" s="361" t="s">
        <v>5119</v>
      </c>
      <c r="C2041" t="s">
        <v>1920</v>
      </c>
      <c r="D2041" s="361">
        <v>56</v>
      </c>
      <c r="E2041" s="364"/>
      <c r="F2041" s="361" t="s">
        <v>1921</v>
      </c>
      <c r="T2041" s="361">
        <v>0.70399999999999996</v>
      </c>
    </row>
    <row r="2042" spans="1:20" x14ac:dyDescent="0.25">
      <c r="A2042" s="364" t="s">
        <v>5120</v>
      </c>
      <c r="B2042" s="361" t="s">
        <v>5121</v>
      </c>
      <c r="C2042" t="s">
        <v>1920</v>
      </c>
      <c r="D2042" s="361">
        <v>56</v>
      </c>
      <c r="E2042" s="364"/>
      <c r="F2042" s="361" t="s">
        <v>1921</v>
      </c>
      <c r="T2042" s="361">
        <v>0.77500000000000002</v>
      </c>
    </row>
    <row r="2043" spans="1:20" x14ac:dyDescent="0.25">
      <c r="A2043" s="364" t="s">
        <v>1122</v>
      </c>
      <c r="B2043" s="361" t="s">
        <v>1123</v>
      </c>
      <c r="C2043" t="s">
        <v>1916</v>
      </c>
      <c r="D2043" s="361">
        <v>2</v>
      </c>
      <c r="E2043" s="364"/>
      <c r="F2043" s="361" t="s">
        <v>1917</v>
      </c>
      <c r="T2043" s="361">
        <v>720</v>
      </c>
    </row>
    <row r="2044" spans="1:20" x14ac:dyDescent="0.25">
      <c r="A2044" s="364" t="s">
        <v>5122</v>
      </c>
      <c r="B2044" s="361" t="s">
        <v>5123</v>
      </c>
      <c r="C2044" t="s">
        <v>1920</v>
      </c>
      <c r="D2044" s="361">
        <v>15</v>
      </c>
      <c r="E2044" s="364"/>
      <c r="F2044" s="361" t="s">
        <v>1917</v>
      </c>
      <c r="T2044" s="361">
        <v>49.6</v>
      </c>
    </row>
    <row r="2045" spans="1:20" x14ac:dyDescent="0.25">
      <c r="A2045" s="364" t="s">
        <v>5124</v>
      </c>
      <c r="B2045" s="361" t="s">
        <v>5125</v>
      </c>
      <c r="C2045" t="s">
        <v>1920</v>
      </c>
      <c r="D2045" s="361">
        <v>16</v>
      </c>
      <c r="E2045" s="364"/>
      <c r="F2045" s="361" t="s">
        <v>1917</v>
      </c>
      <c r="T2045" s="361">
        <v>11.2</v>
      </c>
    </row>
    <row r="2046" spans="1:20" x14ac:dyDescent="0.25">
      <c r="A2046" s="364" t="s">
        <v>5126</v>
      </c>
      <c r="B2046" s="361" t="s">
        <v>5127</v>
      </c>
      <c r="C2046" t="s">
        <v>1920</v>
      </c>
      <c r="D2046" s="361">
        <v>24</v>
      </c>
      <c r="E2046" s="364"/>
      <c r="F2046" s="361" t="s">
        <v>1921</v>
      </c>
      <c r="T2046" s="361">
        <v>0.17777999999999999</v>
      </c>
    </row>
    <row r="2047" spans="1:20" x14ac:dyDescent="0.25">
      <c r="A2047" s="364" t="s">
        <v>5128</v>
      </c>
      <c r="B2047" s="361" t="s">
        <v>5129</v>
      </c>
      <c r="C2047" t="s">
        <v>1920</v>
      </c>
      <c r="D2047" s="361">
        <v>15</v>
      </c>
      <c r="E2047" s="364"/>
      <c r="F2047" s="361" t="s">
        <v>1917</v>
      </c>
      <c r="T2047" s="361">
        <v>49.6</v>
      </c>
    </row>
    <row r="2048" spans="1:20" x14ac:dyDescent="0.25">
      <c r="A2048" s="364" t="s">
        <v>5130</v>
      </c>
      <c r="B2048" s="361" t="s">
        <v>5131</v>
      </c>
      <c r="C2048" t="s">
        <v>1920</v>
      </c>
      <c r="D2048" s="361">
        <v>16</v>
      </c>
      <c r="E2048" s="364"/>
      <c r="F2048" s="361" t="s">
        <v>1917</v>
      </c>
      <c r="T2048" s="361">
        <v>8.15</v>
      </c>
    </row>
    <row r="2049" spans="1:20" x14ac:dyDescent="0.25">
      <c r="A2049" s="364" t="s">
        <v>5132</v>
      </c>
      <c r="B2049" s="361" t="s">
        <v>5133</v>
      </c>
      <c r="C2049" t="s">
        <v>1920</v>
      </c>
      <c r="D2049" s="361">
        <v>24</v>
      </c>
      <c r="E2049" s="364"/>
      <c r="F2049" s="361" t="s">
        <v>1921</v>
      </c>
      <c r="T2049" s="361">
        <v>0.16094</v>
      </c>
    </row>
    <row r="2050" spans="1:20" x14ac:dyDescent="0.25">
      <c r="A2050" s="364" t="s">
        <v>5134</v>
      </c>
      <c r="B2050" s="361" t="s">
        <v>5135</v>
      </c>
      <c r="C2050" t="s">
        <v>2095</v>
      </c>
      <c r="D2050" s="361">
        <v>95</v>
      </c>
      <c r="E2050" s="364"/>
      <c r="F2050" s="361" t="s">
        <v>1917</v>
      </c>
      <c r="T2050" s="361">
        <v>1.0000000000000001E-5</v>
      </c>
    </row>
    <row r="2051" spans="1:20" x14ac:dyDescent="0.25">
      <c r="A2051" s="364" t="s">
        <v>5136</v>
      </c>
      <c r="B2051" s="361" t="s">
        <v>5137</v>
      </c>
      <c r="C2051" t="s">
        <v>1920</v>
      </c>
      <c r="D2051" s="361">
        <v>45</v>
      </c>
      <c r="E2051" s="364"/>
      <c r="F2051" s="361" t="s">
        <v>1917</v>
      </c>
      <c r="T2051" s="361">
        <v>34.5</v>
      </c>
    </row>
    <row r="2052" spans="1:20" x14ac:dyDescent="0.25">
      <c r="A2052" s="364" t="s">
        <v>5138</v>
      </c>
      <c r="B2052" s="361" t="s">
        <v>5139</v>
      </c>
      <c r="C2052" t="s">
        <v>1920</v>
      </c>
      <c r="D2052" s="361">
        <v>45</v>
      </c>
      <c r="E2052" s="364"/>
      <c r="F2052" s="361" t="s">
        <v>1917</v>
      </c>
      <c r="T2052" s="361">
        <v>95.5</v>
      </c>
    </row>
    <row r="2053" spans="1:20" x14ac:dyDescent="0.25">
      <c r="A2053" s="364" t="s">
        <v>5140</v>
      </c>
      <c r="B2053" s="361" t="s">
        <v>5141</v>
      </c>
      <c r="C2053" t="s">
        <v>1920</v>
      </c>
      <c r="D2053" s="361">
        <v>54</v>
      </c>
      <c r="E2053" s="364"/>
      <c r="F2053" s="361" t="s">
        <v>1921</v>
      </c>
      <c r="T2053" s="361">
        <v>3.8969999999999998E-2</v>
      </c>
    </row>
    <row r="2054" spans="1:20" x14ac:dyDescent="0.25">
      <c r="A2054" s="364" t="s">
        <v>5142</v>
      </c>
      <c r="B2054" s="361" t="s">
        <v>5143</v>
      </c>
      <c r="C2054" t="s">
        <v>1920</v>
      </c>
      <c r="D2054" s="361">
        <v>52</v>
      </c>
      <c r="E2054" s="364"/>
      <c r="F2054" s="361" t="s">
        <v>1921</v>
      </c>
      <c r="T2054" s="361">
        <v>3.1050000000000001E-2</v>
      </c>
    </row>
    <row r="2055" spans="1:20" x14ac:dyDescent="0.25">
      <c r="A2055" s="364" t="s">
        <v>1124</v>
      </c>
      <c r="B2055" s="361" t="s">
        <v>1125</v>
      </c>
      <c r="C2055" t="s">
        <v>1922</v>
      </c>
      <c r="D2055" s="361">
        <v>1</v>
      </c>
      <c r="E2055" s="364"/>
      <c r="F2055" s="361" t="s">
        <v>1917</v>
      </c>
      <c r="T2055" s="361">
        <v>127.89</v>
      </c>
    </row>
    <row r="2056" spans="1:20" x14ac:dyDescent="0.25">
      <c r="A2056" s="364" t="s">
        <v>5144</v>
      </c>
      <c r="B2056" s="361" t="s">
        <v>5145</v>
      </c>
      <c r="C2056" t="s">
        <v>1920</v>
      </c>
      <c r="D2056" s="361">
        <v>54</v>
      </c>
      <c r="E2056" s="364"/>
      <c r="F2056" s="361" t="s">
        <v>1921</v>
      </c>
      <c r="T2056" s="361">
        <v>0.1043</v>
      </c>
    </row>
    <row r="2057" spans="1:20" x14ac:dyDescent="0.25">
      <c r="A2057" s="364" t="s">
        <v>5146</v>
      </c>
      <c r="B2057" s="361" t="s">
        <v>5147</v>
      </c>
      <c r="C2057" t="s">
        <v>1920</v>
      </c>
      <c r="D2057" s="361">
        <v>54</v>
      </c>
      <c r="E2057" s="364"/>
      <c r="F2057" s="361" t="s">
        <v>1921</v>
      </c>
      <c r="T2057" s="361">
        <v>0.2273</v>
      </c>
    </row>
    <row r="2058" spans="1:20" x14ac:dyDescent="0.25">
      <c r="A2058" s="364" t="s">
        <v>5148</v>
      </c>
      <c r="B2058" s="361" t="s">
        <v>5149</v>
      </c>
      <c r="C2058" t="s">
        <v>1920</v>
      </c>
      <c r="D2058" s="361">
        <v>27</v>
      </c>
      <c r="E2058" s="364"/>
      <c r="F2058" s="361" t="s">
        <v>1921</v>
      </c>
      <c r="T2058" s="361">
        <v>1.284</v>
      </c>
    </row>
    <row r="2059" spans="1:20" x14ac:dyDescent="0.25">
      <c r="A2059" s="364" t="s">
        <v>5150</v>
      </c>
      <c r="B2059" s="361" t="s">
        <v>5151</v>
      </c>
      <c r="C2059" t="s">
        <v>1920</v>
      </c>
      <c r="D2059" s="361">
        <v>24</v>
      </c>
      <c r="E2059" s="364"/>
      <c r="F2059" s="361" t="s">
        <v>1921</v>
      </c>
      <c r="T2059" s="361">
        <v>0.15941</v>
      </c>
    </row>
    <row r="2060" spans="1:20" x14ac:dyDescent="0.25">
      <c r="A2060" s="364" t="s">
        <v>5152</v>
      </c>
      <c r="B2060" s="361" t="s">
        <v>5153</v>
      </c>
      <c r="C2060" t="s">
        <v>1920</v>
      </c>
      <c r="D2060" s="361">
        <v>22</v>
      </c>
      <c r="E2060" s="364"/>
      <c r="F2060" s="361" t="s">
        <v>2201</v>
      </c>
      <c r="T2060" s="361">
        <v>37.35</v>
      </c>
    </row>
    <row r="2061" spans="1:20" x14ac:dyDescent="0.25">
      <c r="A2061" s="364" t="s">
        <v>5154</v>
      </c>
      <c r="B2061" s="361" t="s">
        <v>5155</v>
      </c>
      <c r="C2061" t="s">
        <v>1920</v>
      </c>
      <c r="D2061" s="361">
        <v>11</v>
      </c>
      <c r="E2061" s="364"/>
      <c r="F2061" s="361" t="s">
        <v>1921</v>
      </c>
      <c r="T2061" s="361">
        <v>0.33</v>
      </c>
    </row>
    <row r="2062" spans="1:20" x14ac:dyDescent="0.25">
      <c r="A2062" s="364" t="s">
        <v>5156</v>
      </c>
      <c r="B2062" s="361" t="s">
        <v>5157</v>
      </c>
      <c r="C2062" t="s">
        <v>1920</v>
      </c>
      <c r="D2062" s="361">
        <v>16</v>
      </c>
      <c r="E2062" s="364"/>
      <c r="F2062" s="361" t="s">
        <v>1917</v>
      </c>
      <c r="T2062" s="361">
        <v>11.2</v>
      </c>
    </row>
    <row r="2063" spans="1:20" x14ac:dyDescent="0.25">
      <c r="A2063" s="364" t="s">
        <v>5158</v>
      </c>
      <c r="B2063" s="361" t="s">
        <v>5159</v>
      </c>
      <c r="C2063" t="s">
        <v>1920</v>
      </c>
      <c r="D2063" s="361">
        <v>50</v>
      </c>
      <c r="E2063" s="364"/>
      <c r="F2063" s="361" t="s">
        <v>1921</v>
      </c>
      <c r="T2063" s="361">
        <v>5.1180000000000003E-2</v>
      </c>
    </row>
    <row r="2064" spans="1:20" x14ac:dyDescent="0.25">
      <c r="A2064" s="364" t="s">
        <v>5160</v>
      </c>
      <c r="B2064" s="361" t="s">
        <v>5161</v>
      </c>
      <c r="C2064" t="s">
        <v>1920</v>
      </c>
      <c r="D2064" s="361">
        <v>50</v>
      </c>
      <c r="E2064" s="364"/>
      <c r="F2064" s="361" t="s">
        <v>1921</v>
      </c>
      <c r="T2064" s="361">
        <v>5.2499999999999998E-2</v>
      </c>
    </row>
    <row r="2065" spans="1:20" x14ac:dyDescent="0.25">
      <c r="A2065" s="364" t="s">
        <v>5162</v>
      </c>
      <c r="B2065" s="361" t="s">
        <v>5163</v>
      </c>
      <c r="C2065" t="s">
        <v>1920</v>
      </c>
      <c r="D2065" s="361">
        <v>50</v>
      </c>
      <c r="E2065" s="364"/>
      <c r="F2065" s="361" t="s">
        <v>1921</v>
      </c>
      <c r="T2065" s="361">
        <v>5.2499999999999998E-2</v>
      </c>
    </row>
    <row r="2066" spans="1:20" x14ac:dyDescent="0.25">
      <c r="A2066" s="364" t="s">
        <v>5164</v>
      </c>
      <c r="B2066" s="361" t="s">
        <v>2017</v>
      </c>
      <c r="C2066" t="s">
        <v>1920</v>
      </c>
      <c r="D2066" s="361">
        <v>16</v>
      </c>
      <c r="E2066" s="364"/>
      <c r="F2066" s="361" t="s">
        <v>1917</v>
      </c>
      <c r="T2066" s="361">
        <v>7.37</v>
      </c>
    </row>
    <row r="2067" spans="1:20" x14ac:dyDescent="0.25">
      <c r="A2067" s="364" t="s">
        <v>5165</v>
      </c>
      <c r="B2067" s="361" t="s">
        <v>2654</v>
      </c>
      <c r="C2067" t="s">
        <v>1920</v>
      </c>
      <c r="D2067" s="361">
        <v>16</v>
      </c>
      <c r="E2067" s="364"/>
      <c r="F2067" s="361" t="s">
        <v>1917</v>
      </c>
      <c r="T2067" s="361">
        <v>9.5</v>
      </c>
    </row>
    <row r="2068" spans="1:20" x14ac:dyDescent="0.25">
      <c r="A2068" s="364" t="s">
        <v>5166</v>
      </c>
      <c r="B2068" s="361" t="s">
        <v>5167</v>
      </c>
      <c r="C2068" t="s">
        <v>1920</v>
      </c>
      <c r="D2068" s="361">
        <v>15</v>
      </c>
      <c r="E2068" s="364"/>
      <c r="F2068" s="361" t="s">
        <v>1917</v>
      </c>
      <c r="T2068" s="361">
        <v>34.799999999999997</v>
      </c>
    </row>
    <row r="2069" spans="1:20" x14ac:dyDescent="0.25">
      <c r="A2069" s="364" t="s">
        <v>5168</v>
      </c>
      <c r="B2069" s="361" t="s">
        <v>5169</v>
      </c>
      <c r="C2069" t="s">
        <v>1920</v>
      </c>
      <c r="D2069" s="361">
        <v>24</v>
      </c>
      <c r="E2069" s="364"/>
      <c r="F2069" s="361" t="s">
        <v>1921</v>
      </c>
      <c r="T2069" s="361">
        <v>0.10824</v>
      </c>
    </row>
    <row r="2070" spans="1:20" x14ac:dyDescent="0.25">
      <c r="A2070" s="364" t="s">
        <v>5170</v>
      </c>
      <c r="B2070" s="361" t="s">
        <v>5171</v>
      </c>
      <c r="C2070" t="s">
        <v>1920</v>
      </c>
      <c r="D2070" s="361">
        <v>24</v>
      </c>
      <c r="E2070" s="364"/>
      <c r="F2070" s="361" t="s">
        <v>1921</v>
      </c>
      <c r="T2070" s="361">
        <v>0.43197999999999998</v>
      </c>
    </row>
    <row r="2071" spans="1:20" x14ac:dyDescent="0.25">
      <c r="A2071" s="364" t="s">
        <v>5172</v>
      </c>
      <c r="B2071" s="361" t="s">
        <v>5173</v>
      </c>
      <c r="C2071" t="s">
        <v>1920</v>
      </c>
      <c r="D2071" s="361">
        <v>24</v>
      </c>
      <c r="E2071" s="364"/>
      <c r="F2071" s="361" t="s">
        <v>1921</v>
      </c>
      <c r="T2071" s="361">
        <v>0.43197999999999998</v>
      </c>
    </row>
    <row r="2072" spans="1:20" x14ac:dyDescent="0.25">
      <c r="A2072" s="364" t="s">
        <v>5174</v>
      </c>
      <c r="B2072" s="361" t="s">
        <v>5175</v>
      </c>
      <c r="C2072" t="s">
        <v>1920</v>
      </c>
      <c r="D2072" s="361">
        <v>24</v>
      </c>
      <c r="E2072" s="364"/>
      <c r="F2072" s="361" t="s">
        <v>1921</v>
      </c>
      <c r="T2072" s="361">
        <v>0.43197999999999998</v>
      </c>
    </row>
    <row r="2073" spans="1:20" x14ac:dyDescent="0.25">
      <c r="A2073" s="364" t="s">
        <v>5176</v>
      </c>
      <c r="B2073" s="361" t="s">
        <v>5177</v>
      </c>
      <c r="C2073" t="s">
        <v>1920</v>
      </c>
      <c r="D2073" s="361">
        <v>24</v>
      </c>
      <c r="E2073" s="364"/>
      <c r="F2073" s="361" t="s">
        <v>1921</v>
      </c>
      <c r="T2073" s="361">
        <v>0.43197999999999998</v>
      </c>
    </row>
    <row r="2074" spans="1:20" x14ac:dyDescent="0.25">
      <c r="A2074" s="364" t="s">
        <v>5178</v>
      </c>
      <c r="B2074" s="361" t="s">
        <v>5179</v>
      </c>
      <c r="C2074" t="s">
        <v>1920</v>
      </c>
      <c r="D2074" s="361">
        <v>15</v>
      </c>
      <c r="E2074" s="364"/>
      <c r="F2074" s="361" t="s">
        <v>1917</v>
      </c>
      <c r="T2074" s="361">
        <v>49.6</v>
      </c>
    </row>
    <row r="2075" spans="1:20" x14ac:dyDescent="0.25">
      <c r="A2075" s="364" t="s">
        <v>5180</v>
      </c>
      <c r="B2075" s="361" t="s">
        <v>5181</v>
      </c>
      <c r="C2075" t="s">
        <v>1920</v>
      </c>
      <c r="D2075" s="361">
        <v>15</v>
      </c>
      <c r="E2075" s="364"/>
      <c r="F2075" s="361" t="s">
        <v>1917</v>
      </c>
      <c r="T2075" s="361">
        <v>49.6</v>
      </c>
    </row>
    <row r="2076" spans="1:20" x14ac:dyDescent="0.25">
      <c r="A2076" s="364" t="s">
        <v>5182</v>
      </c>
      <c r="B2076" s="361" t="s">
        <v>5183</v>
      </c>
      <c r="C2076" t="s">
        <v>1920</v>
      </c>
      <c r="D2076" s="361">
        <v>15</v>
      </c>
      <c r="E2076" s="364"/>
      <c r="F2076" s="361" t="s">
        <v>1917</v>
      </c>
      <c r="T2076" s="361">
        <v>49.6</v>
      </c>
    </row>
    <row r="2077" spans="1:20" x14ac:dyDescent="0.25">
      <c r="A2077" s="364" t="s">
        <v>5184</v>
      </c>
      <c r="B2077" s="361" t="s">
        <v>5185</v>
      </c>
      <c r="C2077" t="s">
        <v>1920</v>
      </c>
      <c r="D2077" s="361">
        <v>15</v>
      </c>
      <c r="E2077" s="364"/>
      <c r="F2077" s="361" t="s">
        <v>1917</v>
      </c>
      <c r="T2077" s="361">
        <v>49.6</v>
      </c>
    </row>
    <row r="2078" spans="1:20" x14ac:dyDescent="0.25">
      <c r="A2078" s="364" t="s">
        <v>5186</v>
      </c>
      <c r="B2078" s="361" t="s">
        <v>5187</v>
      </c>
      <c r="C2078" t="s">
        <v>1920</v>
      </c>
      <c r="D2078" s="361">
        <v>22</v>
      </c>
      <c r="E2078" s="364"/>
      <c r="F2078" s="361" t="s">
        <v>1921</v>
      </c>
      <c r="T2078" s="361">
        <v>0.26100000000000001</v>
      </c>
    </row>
    <row r="2079" spans="1:20" x14ac:dyDescent="0.25">
      <c r="A2079" s="364" t="s">
        <v>5188</v>
      </c>
      <c r="B2079" s="361" t="s">
        <v>5189</v>
      </c>
      <c r="C2079" t="s">
        <v>1920</v>
      </c>
      <c r="D2079" s="361">
        <v>50</v>
      </c>
      <c r="E2079" s="364"/>
      <c r="F2079" s="361" t="s">
        <v>1921</v>
      </c>
      <c r="T2079" s="361">
        <v>5.1200000000000002E-2</v>
      </c>
    </row>
    <row r="2080" spans="1:20" x14ac:dyDescent="0.25">
      <c r="A2080" s="364" t="s">
        <v>5190</v>
      </c>
      <c r="B2080" s="361" t="s">
        <v>5191</v>
      </c>
      <c r="C2080" t="s">
        <v>1920</v>
      </c>
      <c r="D2080" s="361">
        <v>59</v>
      </c>
      <c r="E2080" s="364"/>
      <c r="F2080" s="361" t="s">
        <v>1921</v>
      </c>
      <c r="T2080" s="361">
        <v>4.2000000000000003E-2</v>
      </c>
    </row>
    <row r="2081" spans="1:20" x14ac:dyDescent="0.25">
      <c r="A2081" s="364" t="s">
        <v>5192</v>
      </c>
      <c r="B2081" s="361" t="s">
        <v>5193</v>
      </c>
      <c r="C2081" t="s">
        <v>1920</v>
      </c>
      <c r="D2081" s="361">
        <v>59</v>
      </c>
      <c r="E2081" s="364"/>
      <c r="F2081" s="361" t="s">
        <v>1921</v>
      </c>
      <c r="T2081" s="361">
        <v>4.2000000000000003E-2</v>
      </c>
    </row>
    <row r="2082" spans="1:20" x14ac:dyDescent="0.25">
      <c r="A2082" s="364" t="s">
        <v>5194</v>
      </c>
      <c r="B2082" s="361" t="s">
        <v>5195</v>
      </c>
      <c r="C2082" t="s">
        <v>1920</v>
      </c>
      <c r="D2082" s="361">
        <v>54</v>
      </c>
      <c r="E2082" s="364"/>
      <c r="F2082" s="361" t="s">
        <v>1921</v>
      </c>
      <c r="T2082" s="361">
        <v>0.105</v>
      </c>
    </row>
    <row r="2083" spans="1:20" x14ac:dyDescent="0.25">
      <c r="A2083" s="364" t="s">
        <v>5196</v>
      </c>
      <c r="B2083" s="361" t="s">
        <v>5197</v>
      </c>
      <c r="C2083" t="s">
        <v>1920</v>
      </c>
      <c r="D2083" s="361">
        <v>54</v>
      </c>
      <c r="E2083" s="364"/>
      <c r="F2083" s="361" t="s">
        <v>1921</v>
      </c>
      <c r="T2083" s="361">
        <v>0.18</v>
      </c>
    </row>
    <row r="2084" spans="1:20" x14ac:dyDescent="0.25">
      <c r="A2084" s="364" t="s">
        <v>5198</v>
      </c>
      <c r="B2084" s="361" t="s">
        <v>5199</v>
      </c>
      <c r="C2084" t="s">
        <v>1920</v>
      </c>
      <c r="D2084" s="361">
        <v>15</v>
      </c>
      <c r="E2084" s="364"/>
      <c r="F2084" s="361" t="s">
        <v>1917</v>
      </c>
      <c r="T2084" s="361">
        <v>49.6</v>
      </c>
    </row>
    <row r="2085" spans="1:20" x14ac:dyDescent="0.25">
      <c r="A2085" s="364" t="s">
        <v>5200</v>
      </c>
      <c r="B2085" s="361" t="s">
        <v>5201</v>
      </c>
      <c r="C2085" t="s">
        <v>1920</v>
      </c>
      <c r="D2085" s="361">
        <v>24</v>
      </c>
      <c r="E2085" s="364"/>
      <c r="F2085" s="361" t="s">
        <v>1921</v>
      </c>
      <c r="T2085" s="361">
        <v>0.19378999999999999</v>
      </c>
    </row>
    <row r="2086" spans="1:20" x14ac:dyDescent="0.25">
      <c r="A2086" s="364" t="s">
        <v>5202</v>
      </c>
      <c r="B2086" s="361" t="s">
        <v>5203</v>
      </c>
      <c r="C2086" t="s">
        <v>1920</v>
      </c>
      <c r="D2086" s="361">
        <v>22</v>
      </c>
      <c r="E2086" s="364"/>
      <c r="F2086" s="361" t="s">
        <v>1921</v>
      </c>
      <c r="T2086" s="361">
        <v>0.10664999999999999</v>
      </c>
    </row>
    <row r="2087" spans="1:20" x14ac:dyDescent="0.25">
      <c r="A2087" s="364" t="s">
        <v>5204</v>
      </c>
      <c r="B2087" s="361" t="s">
        <v>5205</v>
      </c>
      <c r="C2087" t="s">
        <v>1920</v>
      </c>
      <c r="D2087" s="361">
        <v>15</v>
      </c>
      <c r="E2087" s="364"/>
      <c r="F2087" s="361" t="s">
        <v>1917</v>
      </c>
      <c r="T2087" s="361">
        <v>37.299999999999997</v>
      </c>
    </row>
    <row r="2088" spans="1:20" x14ac:dyDescent="0.25">
      <c r="A2088" s="364" t="s">
        <v>5206</v>
      </c>
      <c r="B2088" s="361" t="s">
        <v>5207</v>
      </c>
      <c r="C2088" t="s">
        <v>1920</v>
      </c>
      <c r="D2088" s="361">
        <v>24</v>
      </c>
      <c r="E2088" s="364"/>
      <c r="F2088" s="361" t="s">
        <v>1921</v>
      </c>
      <c r="T2088" s="361">
        <v>0.35410999999999998</v>
      </c>
    </row>
    <row r="2089" spans="1:20" x14ac:dyDescent="0.25">
      <c r="A2089" s="364" t="s">
        <v>5208</v>
      </c>
      <c r="B2089" s="361" t="s">
        <v>5209</v>
      </c>
      <c r="C2089" t="s">
        <v>1920</v>
      </c>
      <c r="D2089" s="361">
        <v>22</v>
      </c>
      <c r="E2089" s="364"/>
      <c r="F2089" s="361" t="s">
        <v>1921</v>
      </c>
      <c r="T2089" s="361">
        <v>0.12256</v>
      </c>
    </row>
    <row r="2090" spans="1:20" x14ac:dyDescent="0.25">
      <c r="A2090" s="364" t="s">
        <v>5210</v>
      </c>
      <c r="B2090" s="361" t="s">
        <v>5211</v>
      </c>
      <c r="C2090" t="s">
        <v>1920</v>
      </c>
      <c r="D2090" s="361">
        <v>52</v>
      </c>
      <c r="E2090" s="364"/>
      <c r="F2090" s="361" t="s">
        <v>1921</v>
      </c>
      <c r="T2090" s="361">
        <v>3.7350000000000001E-2</v>
      </c>
    </row>
    <row r="2091" spans="1:20" x14ac:dyDescent="0.25">
      <c r="A2091" s="364" t="s">
        <v>5212</v>
      </c>
      <c r="B2091" s="361" t="s">
        <v>5213</v>
      </c>
      <c r="C2091" t="s">
        <v>1920</v>
      </c>
      <c r="D2091" s="361">
        <v>54</v>
      </c>
      <c r="E2091" s="364"/>
      <c r="F2091" s="361" t="s">
        <v>1921</v>
      </c>
      <c r="T2091" s="361">
        <v>0.185</v>
      </c>
    </row>
    <row r="2092" spans="1:20" x14ac:dyDescent="0.25">
      <c r="A2092" s="364" t="s">
        <v>5214</v>
      </c>
      <c r="B2092" s="361" t="s">
        <v>5215</v>
      </c>
      <c r="C2092" t="s">
        <v>1920</v>
      </c>
      <c r="D2092" s="361">
        <v>45</v>
      </c>
      <c r="E2092" s="364"/>
      <c r="F2092" s="361" t="s">
        <v>1917</v>
      </c>
      <c r="T2092" s="361">
        <v>25.7</v>
      </c>
    </row>
    <row r="2093" spans="1:20" x14ac:dyDescent="0.25">
      <c r="A2093" s="364" t="s">
        <v>5216</v>
      </c>
      <c r="B2093" s="361" t="s">
        <v>5217</v>
      </c>
      <c r="C2093" t="s">
        <v>1920</v>
      </c>
      <c r="D2093" s="361">
        <v>45</v>
      </c>
      <c r="E2093" s="364"/>
      <c r="F2093" s="361" t="s">
        <v>1917</v>
      </c>
      <c r="T2093" s="361">
        <v>37.299999999999997</v>
      </c>
    </row>
    <row r="2094" spans="1:20" x14ac:dyDescent="0.25">
      <c r="A2094" s="364" t="s">
        <v>5218</v>
      </c>
      <c r="B2094" s="361" t="s">
        <v>5219</v>
      </c>
      <c r="C2094" t="s">
        <v>1920</v>
      </c>
      <c r="D2094" s="361">
        <v>46</v>
      </c>
      <c r="E2094" s="364"/>
      <c r="F2094" s="361" t="s">
        <v>1917</v>
      </c>
      <c r="T2094" s="361">
        <v>11.2</v>
      </c>
    </row>
    <row r="2095" spans="1:20" x14ac:dyDescent="0.25">
      <c r="A2095" s="364" t="s">
        <v>5220</v>
      </c>
      <c r="B2095" s="361" t="s">
        <v>5221</v>
      </c>
      <c r="C2095" t="s">
        <v>1920</v>
      </c>
      <c r="D2095" s="361">
        <v>24</v>
      </c>
      <c r="E2095" s="364"/>
      <c r="F2095" s="361" t="s">
        <v>1921</v>
      </c>
      <c r="T2095" s="361">
        <v>0.23799999999999999</v>
      </c>
    </row>
    <row r="2096" spans="1:20" x14ac:dyDescent="0.25">
      <c r="A2096" s="364" t="s">
        <v>5222</v>
      </c>
      <c r="B2096" s="361" t="s">
        <v>5223</v>
      </c>
      <c r="C2096" t="s">
        <v>1920</v>
      </c>
      <c r="D2096" s="361">
        <v>22</v>
      </c>
      <c r="E2096" s="364"/>
      <c r="F2096" s="361" t="s">
        <v>1921</v>
      </c>
      <c r="T2096" s="361">
        <v>388.26666999999998</v>
      </c>
    </row>
    <row r="2097" spans="1:20" x14ac:dyDescent="0.25">
      <c r="A2097" s="364" t="s">
        <v>5224</v>
      </c>
      <c r="B2097" s="361" t="s">
        <v>5225</v>
      </c>
      <c r="C2097" t="s">
        <v>1920</v>
      </c>
      <c r="D2097" s="361">
        <v>12</v>
      </c>
      <c r="E2097" s="364"/>
      <c r="F2097" s="361" t="s">
        <v>1921</v>
      </c>
      <c r="T2097" s="361">
        <v>0.15759999999999999</v>
      </c>
    </row>
    <row r="2098" spans="1:20" x14ac:dyDescent="0.25">
      <c r="A2098" s="364" t="s">
        <v>5226</v>
      </c>
      <c r="B2098" s="361" t="s">
        <v>5227</v>
      </c>
      <c r="C2098" t="s">
        <v>1920</v>
      </c>
      <c r="D2098" s="361">
        <v>12</v>
      </c>
      <c r="E2098" s="364"/>
      <c r="F2098" s="361" t="s">
        <v>1921</v>
      </c>
      <c r="T2098" s="361">
        <v>7.4999999999999997E-2</v>
      </c>
    </row>
    <row r="2099" spans="1:20" x14ac:dyDescent="0.25">
      <c r="A2099" s="364" t="s">
        <v>5228</v>
      </c>
      <c r="B2099" s="361" t="s">
        <v>5229</v>
      </c>
      <c r="C2099" t="s">
        <v>1920</v>
      </c>
      <c r="D2099" s="361">
        <v>12</v>
      </c>
      <c r="E2099" s="364"/>
      <c r="F2099" s="361" t="s">
        <v>1921</v>
      </c>
      <c r="T2099" s="361">
        <v>7.4999999999999997E-2</v>
      </c>
    </row>
    <row r="2100" spans="1:20" x14ac:dyDescent="0.25">
      <c r="A2100" s="364" t="s">
        <v>5230</v>
      </c>
      <c r="B2100" s="361" t="s">
        <v>5231</v>
      </c>
      <c r="C2100" t="s">
        <v>1920</v>
      </c>
      <c r="D2100" s="361">
        <v>20</v>
      </c>
      <c r="E2100" s="364"/>
      <c r="F2100" s="361" t="s">
        <v>1921</v>
      </c>
      <c r="T2100" s="361">
        <v>0.3296</v>
      </c>
    </row>
    <row r="2101" spans="1:20" x14ac:dyDescent="0.25">
      <c r="A2101" s="364" t="s">
        <v>5232</v>
      </c>
      <c r="B2101" s="361" t="s">
        <v>5233</v>
      </c>
      <c r="C2101" t="s">
        <v>1920</v>
      </c>
      <c r="D2101" s="361">
        <v>20</v>
      </c>
      <c r="E2101" s="364"/>
      <c r="F2101" s="361" t="s">
        <v>1921</v>
      </c>
      <c r="T2101" s="361">
        <v>0.3296</v>
      </c>
    </row>
    <row r="2102" spans="1:20" x14ac:dyDescent="0.25">
      <c r="A2102" s="364" t="s">
        <v>5234</v>
      </c>
      <c r="B2102" s="361" t="s">
        <v>5235</v>
      </c>
      <c r="C2102" t="s">
        <v>1920</v>
      </c>
      <c r="D2102" s="361">
        <v>20</v>
      </c>
      <c r="E2102" s="364"/>
      <c r="F2102" s="361" t="s">
        <v>1921</v>
      </c>
      <c r="T2102" s="361">
        <v>0.3296</v>
      </c>
    </row>
    <row r="2103" spans="1:20" x14ac:dyDescent="0.25">
      <c r="A2103" s="364" t="s">
        <v>5236</v>
      </c>
      <c r="B2103" s="361" t="s">
        <v>5237</v>
      </c>
      <c r="C2103" t="s">
        <v>1920</v>
      </c>
      <c r="D2103" s="361">
        <v>20</v>
      </c>
      <c r="E2103" s="364"/>
      <c r="F2103" s="361" t="s">
        <v>1921</v>
      </c>
      <c r="T2103" s="361">
        <v>0.3296</v>
      </c>
    </row>
    <row r="2104" spans="1:20" x14ac:dyDescent="0.25">
      <c r="A2104" s="364" t="s">
        <v>5238</v>
      </c>
      <c r="B2104" s="361" t="s">
        <v>5239</v>
      </c>
      <c r="C2104">
        <v>2</v>
      </c>
      <c r="D2104" s="361">
        <v>97</v>
      </c>
      <c r="E2104" s="364"/>
      <c r="F2104" s="361" t="s">
        <v>1921</v>
      </c>
      <c r="T2104" s="361">
        <v>624</v>
      </c>
    </row>
    <row r="2105" spans="1:20" x14ac:dyDescent="0.25">
      <c r="A2105" s="364" t="s">
        <v>5240</v>
      </c>
      <c r="B2105" s="361" t="s">
        <v>5241</v>
      </c>
      <c r="C2105">
        <v>2</v>
      </c>
      <c r="D2105" s="361">
        <v>97</v>
      </c>
      <c r="E2105" s="364"/>
      <c r="F2105" s="361" t="s">
        <v>1921</v>
      </c>
      <c r="T2105" s="361">
        <v>560</v>
      </c>
    </row>
    <row r="2106" spans="1:20" x14ac:dyDescent="0.25">
      <c r="A2106" s="364" t="s">
        <v>5242</v>
      </c>
      <c r="B2106" s="361" t="s">
        <v>5243</v>
      </c>
      <c r="C2106">
        <v>2</v>
      </c>
      <c r="D2106" s="361">
        <v>97</v>
      </c>
      <c r="E2106" s="364"/>
      <c r="F2106" s="361" t="s">
        <v>1921</v>
      </c>
      <c r="T2106" s="361">
        <v>1599</v>
      </c>
    </row>
    <row r="2107" spans="1:20" x14ac:dyDescent="0.25">
      <c r="A2107" s="364" t="s">
        <v>5244</v>
      </c>
      <c r="B2107" s="361" t="s">
        <v>5245</v>
      </c>
      <c r="C2107" t="s">
        <v>1920</v>
      </c>
      <c r="D2107" s="361">
        <v>20</v>
      </c>
      <c r="E2107" s="364"/>
      <c r="F2107" s="361" t="s">
        <v>1921</v>
      </c>
      <c r="T2107" s="361">
        <v>3.4200000000000001E-2</v>
      </c>
    </row>
    <row r="2108" spans="1:20" x14ac:dyDescent="0.25">
      <c r="A2108" s="364" t="s">
        <v>1126</v>
      </c>
      <c r="B2108" s="361" t="s">
        <v>1127</v>
      </c>
      <c r="C2108" t="s">
        <v>1922</v>
      </c>
      <c r="D2108" s="361">
        <v>1</v>
      </c>
      <c r="E2108" s="364"/>
      <c r="F2108" s="361" t="s">
        <v>2022</v>
      </c>
      <c r="T2108" s="361">
        <v>7.14</v>
      </c>
    </row>
    <row r="2109" spans="1:20" x14ac:dyDescent="0.25">
      <c r="A2109" s="364" t="s">
        <v>5246</v>
      </c>
      <c r="B2109" s="361" t="s">
        <v>5247</v>
      </c>
      <c r="C2109" t="s">
        <v>1920</v>
      </c>
      <c r="D2109" s="361">
        <v>15</v>
      </c>
      <c r="E2109" s="364"/>
      <c r="F2109" s="361" t="s">
        <v>1917</v>
      </c>
      <c r="T2109" s="361">
        <v>26.4</v>
      </c>
    </row>
    <row r="2110" spans="1:20" x14ac:dyDescent="0.25">
      <c r="A2110" s="364" t="s">
        <v>5248</v>
      </c>
      <c r="B2110" s="361" t="s">
        <v>5249</v>
      </c>
      <c r="C2110" t="s">
        <v>1920</v>
      </c>
      <c r="D2110" s="361">
        <v>24</v>
      </c>
      <c r="E2110" s="364"/>
      <c r="F2110" s="361" t="s">
        <v>1921</v>
      </c>
      <c r="T2110" s="361">
        <v>5.8999999999999997E-2</v>
      </c>
    </row>
    <row r="2111" spans="1:20" x14ac:dyDescent="0.25">
      <c r="A2111" s="364" t="s">
        <v>5250</v>
      </c>
      <c r="B2111" s="361" t="s">
        <v>5251</v>
      </c>
      <c r="C2111" t="s">
        <v>1920</v>
      </c>
      <c r="D2111" s="361">
        <v>15</v>
      </c>
      <c r="E2111" s="364"/>
      <c r="F2111" s="361" t="s">
        <v>1917</v>
      </c>
      <c r="T2111" s="361">
        <v>38.64</v>
      </c>
    </row>
    <row r="2112" spans="1:20" x14ac:dyDescent="0.25">
      <c r="A2112" s="364" t="s">
        <v>5252</v>
      </c>
      <c r="B2112" s="361" t="s">
        <v>5253</v>
      </c>
      <c r="C2112" t="s">
        <v>1920</v>
      </c>
      <c r="D2112" s="361">
        <v>24</v>
      </c>
      <c r="E2112" s="364"/>
      <c r="F2112" s="361" t="s">
        <v>1921</v>
      </c>
      <c r="T2112" s="361">
        <v>6.4939999999999998E-2</v>
      </c>
    </row>
    <row r="2113" spans="1:20" x14ac:dyDescent="0.25">
      <c r="A2113" s="364" t="s">
        <v>5254</v>
      </c>
      <c r="B2113" s="361" t="s">
        <v>5255</v>
      </c>
      <c r="C2113" t="s">
        <v>1920</v>
      </c>
      <c r="D2113" s="361">
        <v>15</v>
      </c>
      <c r="E2113" s="364"/>
      <c r="F2113" s="361" t="s">
        <v>1917</v>
      </c>
      <c r="T2113" s="361">
        <v>48.77</v>
      </c>
    </row>
    <row r="2114" spans="1:20" x14ac:dyDescent="0.25">
      <c r="A2114" s="364" t="s">
        <v>5256</v>
      </c>
      <c r="B2114" s="361" t="s">
        <v>5257</v>
      </c>
      <c r="C2114" t="s">
        <v>1920</v>
      </c>
      <c r="D2114" s="361">
        <v>24</v>
      </c>
      <c r="E2114" s="364"/>
      <c r="F2114" s="361" t="s">
        <v>1921</v>
      </c>
      <c r="T2114" s="361">
        <v>0.18204000000000001</v>
      </c>
    </row>
    <row r="2115" spans="1:20" x14ac:dyDescent="0.25">
      <c r="A2115" s="364" t="s">
        <v>5258</v>
      </c>
      <c r="B2115" s="361" t="s">
        <v>5259</v>
      </c>
      <c r="C2115" t="s">
        <v>1920</v>
      </c>
      <c r="D2115" s="361">
        <v>59</v>
      </c>
      <c r="E2115" s="364"/>
      <c r="F2115" s="361" t="s">
        <v>1917</v>
      </c>
      <c r="T2115" s="361">
        <v>28.4</v>
      </c>
    </row>
    <row r="2116" spans="1:20" x14ac:dyDescent="0.25">
      <c r="A2116" s="364" t="s">
        <v>5260</v>
      </c>
      <c r="B2116" s="361" t="s">
        <v>5261</v>
      </c>
      <c r="C2116" t="s">
        <v>1920</v>
      </c>
      <c r="D2116" s="361">
        <v>45</v>
      </c>
      <c r="E2116" s="364"/>
      <c r="F2116" s="361" t="s">
        <v>1917</v>
      </c>
      <c r="T2116" s="361">
        <v>40.5</v>
      </c>
    </row>
    <row r="2117" spans="1:20" x14ac:dyDescent="0.25">
      <c r="A2117" s="364" t="s">
        <v>5262</v>
      </c>
      <c r="B2117" s="361" t="s">
        <v>5263</v>
      </c>
      <c r="C2117" t="s">
        <v>1920</v>
      </c>
      <c r="D2117" s="361">
        <v>52</v>
      </c>
      <c r="E2117" s="364"/>
      <c r="F2117" s="361" t="s">
        <v>1921</v>
      </c>
      <c r="T2117" s="361">
        <v>3.175E-2</v>
      </c>
    </row>
    <row r="2118" spans="1:20" x14ac:dyDescent="0.25">
      <c r="A2118" s="364" t="s">
        <v>5264</v>
      </c>
      <c r="B2118" s="361" t="s">
        <v>5265</v>
      </c>
      <c r="C2118" t="s">
        <v>1920</v>
      </c>
      <c r="D2118" s="361">
        <v>54</v>
      </c>
      <c r="E2118" s="364"/>
      <c r="F2118" s="361" t="s">
        <v>1921</v>
      </c>
      <c r="T2118" s="361">
        <v>0.27600000000000002</v>
      </c>
    </row>
    <row r="2119" spans="1:20" x14ac:dyDescent="0.25">
      <c r="A2119" s="364" t="s">
        <v>5266</v>
      </c>
      <c r="B2119" s="361" t="s">
        <v>5267</v>
      </c>
      <c r="C2119" t="s">
        <v>1920</v>
      </c>
      <c r="D2119" s="361">
        <v>15</v>
      </c>
      <c r="E2119" s="364"/>
      <c r="F2119" s="361" t="s">
        <v>1917</v>
      </c>
      <c r="T2119" s="361">
        <v>39.4</v>
      </c>
    </row>
    <row r="2120" spans="1:20" x14ac:dyDescent="0.25">
      <c r="A2120" s="364" t="s">
        <v>1128</v>
      </c>
      <c r="B2120" s="361" t="s">
        <v>1129</v>
      </c>
      <c r="C2120" t="s">
        <v>1922</v>
      </c>
      <c r="D2120" s="361">
        <v>1</v>
      </c>
      <c r="E2120" s="364"/>
      <c r="F2120" s="361" t="s">
        <v>1917</v>
      </c>
      <c r="T2120" s="361">
        <v>4.3</v>
      </c>
    </row>
    <row r="2121" spans="1:20" x14ac:dyDescent="0.25">
      <c r="A2121" s="364" t="s">
        <v>1130</v>
      </c>
      <c r="B2121" s="361" t="s">
        <v>1131</v>
      </c>
      <c r="C2121" t="s">
        <v>1922</v>
      </c>
      <c r="D2121" s="361">
        <v>1</v>
      </c>
      <c r="E2121" s="364"/>
      <c r="F2121" s="361" t="s">
        <v>1917</v>
      </c>
      <c r="T2121" s="361">
        <v>17.78</v>
      </c>
    </row>
    <row r="2122" spans="1:20" x14ac:dyDescent="0.25">
      <c r="A2122" s="364" t="s">
        <v>1132</v>
      </c>
      <c r="B2122" s="361" t="s">
        <v>1133</v>
      </c>
      <c r="C2122" t="s">
        <v>1922</v>
      </c>
      <c r="D2122" s="361">
        <v>1</v>
      </c>
      <c r="E2122" s="364"/>
      <c r="F2122" s="361" t="s">
        <v>1917</v>
      </c>
      <c r="T2122" s="361">
        <v>1.9530000000000001</v>
      </c>
    </row>
    <row r="2123" spans="1:20" x14ac:dyDescent="0.25">
      <c r="A2123" s="364" t="s">
        <v>1134</v>
      </c>
      <c r="B2123" s="361" t="s">
        <v>1135</v>
      </c>
      <c r="C2123" t="s">
        <v>1922</v>
      </c>
      <c r="D2123" s="361">
        <v>1</v>
      </c>
      <c r="E2123" s="364"/>
      <c r="F2123" s="361" t="s">
        <v>1917</v>
      </c>
      <c r="T2123" s="361">
        <v>60.5</v>
      </c>
    </row>
    <row r="2124" spans="1:20" x14ac:dyDescent="0.25">
      <c r="A2124" s="364" t="s">
        <v>1136</v>
      </c>
      <c r="B2124" s="361" t="s">
        <v>1137</v>
      </c>
      <c r="C2124" t="s">
        <v>1922</v>
      </c>
      <c r="D2124" s="361">
        <v>1</v>
      </c>
      <c r="E2124" s="364"/>
      <c r="F2124" s="361" t="s">
        <v>1917</v>
      </c>
      <c r="T2124" s="361">
        <v>1.38</v>
      </c>
    </row>
    <row r="2125" spans="1:20" x14ac:dyDescent="0.25">
      <c r="A2125" s="364" t="s">
        <v>1138</v>
      </c>
      <c r="B2125" s="361" t="s">
        <v>1139</v>
      </c>
      <c r="C2125" t="s">
        <v>1922</v>
      </c>
      <c r="D2125" s="361">
        <v>1</v>
      </c>
      <c r="E2125" s="364"/>
      <c r="F2125" s="361" t="s">
        <v>1917</v>
      </c>
      <c r="T2125" s="361">
        <v>82.24</v>
      </c>
    </row>
    <row r="2126" spans="1:20" x14ac:dyDescent="0.25">
      <c r="A2126" s="364" t="s">
        <v>1140</v>
      </c>
      <c r="B2126" s="361" t="s">
        <v>1141</v>
      </c>
      <c r="C2126" t="s">
        <v>1922</v>
      </c>
      <c r="D2126" s="361">
        <v>1</v>
      </c>
      <c r="E2126" s="364"/>
      <c r="F2126" s="361" t="s">
        <v>1917</v>
      </c>
      <c r="T2126" s="361">
        <v>62</v>
      </c>
    </row>
    <row r="2127" spans="1:20" x14ac:dyDescent="0.25">
      <c r="A2127" s="364" t="s">
        <v>1142</v>
      </c>
      <c r="B2127" s="361" t="s">
        <v>1143</v>
      </c>
      <c r="C2127" t="s">
        <v>1922</v>
      </c>
      <c r="D2127" s="361">
        <v>1</v>
      </c>
      <c r="E2127" s="364"/>
      <c r="F2127" s="361" t="s">
        <v>1917</v>
      </c>
      <c r="T2127" s="361">
        <v>3.49</v>
      </c>
    </row>
    <row r="2128" spans="1:20" x14ac:dyDescent="0.25">
      <c r="A2128" s="364" t="s">
        <v>1144</v>
      </c>
      <c r="B2128" s="361" t="s">
        <v>1145</v>
      </c>
      <c r="C2128" t="s">
        <v>1922</v>
      </c>
      <c r="D2128" s="361">
        <v>1</v>
      </c>
      <c r="E2128" s="364"/>
      <c r="F2128" s="361" t="s">
        <v>1917</v>
      </c>
      <c r="T2128" s="361">
        <v>105</v>
      </c>
    </row>
    <row r="2129" spans="1:20" x14ac:dyDescent="0.25">
      <c r="A2129" s="364" t="s">
        <v>1146</v>
      </c>
      <c r="B2129" s="361" t="s">
        <v>1147</v>
      </c>
      <c r="C2129" t="s">
        <v>1922</v>
      </c>
      <c r="D2129" s="361">
        <v>1</v>
      </c>
      <c r="E2129" s="364"/>
      <c r="F2129" s="361" t="s">
        <v>1917</v>
      </c>
      <c r="T2129" s="361">
        <v>2.4500000000000002</v>
      </c>
    </row>
    <row r="2130" spans="1:20" x14ac:dyDescent="0.25">
      <c r="A2130" s="364" t="s">
        <v>1148</v>
      </c>
      <c r="B2130" s="361" t="s">
        <v>1149</v>
      </c>
      <c r="C2130" t="s">
        <v>1922</v>
      </c>
      <c r="D2130" s="361">
        <v>1</v>
      </c>
      <c r="E2130" s="364"/>
      <c r="F2130" s="361" t="s">
        <v>1917</v>
      </c>
      <c r="T2130" s="361">
        <v>2110</v>
      </c>
    </row>
    <row r="2131" spans="1:20" x14ac:dyDescent="0.25">
      <c r="A2131" s="364" t="s">
        <v>5268</v>
      </c>
      <c r="B2131" s="361" t="s">
        <v>5269</v>
      </c>
      <c r="C2131" t="s">
        <v>1920</v>
      </c>
      <c r="D2131" s="361">
        <v>50</v>
      </c>
      <c r="E2131" s="364"/>
      <c r="F2131" s="361" t="s">
        <v>1921</v>
      </c>
      <c r="T2131" s="361">
        <v>8.7400000000000005E-2</v>
      </c>
    </row>
    <row r="2132" spans="1:20" x14ac:dyDescent="0.25">
      <c r="A2132" s="364" t="s">
        <v>5270</v>
      </c>
      <c r="B2132" s="361" t="s">
        <v>5271</v>
      </c>
      <c r="C2132" t="s">
        <v>1920</v>
      </c>
      <c r="D2132" s="361">
        <v>59</v>
      </c>
      <c r="E2132" s="364"/>
      <c r="F2132" s="361" t="s">
        <v>1917</v>
      </c>
      <c r="T2132" s="361">
        <v>6.6</v>
      </c>
    </row>
    <row r="2133" spans="1:20" x14ac:dyDescent="0.25">
      <c r="A2133" s="364" t="s">
        <v>5272</v>
      </c>
      <c r="B2133" s="361" t="s">
        <v>5273</v>
      </c>
      <c r="C2133" t="s">
        <v>1920</v>
      </c>
      <c r="D2133" s="361">
        <v>15</v>
      </c>
      <c r="E2133" s="364"/>
      <c r="F2133" s="361" t="s">
        <v>1917</v>
      </c>
      <c r="T2133" s="361">
        <v>23.9</v>
      </c>
    </row>
    <row r="2134" spans="1:20" x14ac:dyDescent="0.25">
      <c r="A2134" s="364" t="s">
        <v>5274</v>
      </c>
      <c r="B2134" s="361" t="s">
        <v>5275</v>
      </c>
      <c r="C2134" t="s">
        <v>1920</v>
      </c>
      <c r="D2134" s="361">
        <v>24</v>
      </c>
      <c r="E2134" s="364"/>
      <c r="F2134" s="361" t="s">
        <v>1921</v>
      </c>
      <c r="T2134" s="361">
        <v>4.6809999999999997E-2</v>
      </c>
    </row>
    <row r="2135" spans="1:20" x14ac:dyDescent="0.25">
      <c r="A2135" s="364" t="s">
        <v>5276</v>
      </c>
      <c r="B2135" s="361" t="s">
        <v>5277</v>
      </c>
      <c r="C2135" t="s">
        <v>1920</v>
      </c>
      <c r="D2135" s="361">
        <v>16</v>
      </c>
      <c r="E2135" s="364"/>
      <c r="F2135" s="361" t="s">
        <v>1917</v>
      </c>
      <c r="T2135" s="361">
        <v>9.5</v>
      </c>
    </row>
    <row r="2136" spans="1:20" x14ac:dyDescent="0.25">
      <c r="A2136" s="364" t="s">
        <v>5278</v>
      </c>
      <c r="B2136" s="361" t="s">
        <v>5279</v>
      </c>
      <c r="C2136" t="s">
        <v>1920</v>
      </c>
      <c r="D2136" s="361">
        <v>52</v>
      </c>
      <c r="E2136" s="364"/>
      <c r="F2136" s="361" t="s">
        <v>1921</v>
      </c>
      <c r="T2136" s="361">
        <v>5.7000000000000002E-2</v>
      </c>
    </row>
    <row r="2137" spans="1:20" x14ac:dyDescent="0.25">
      <c r="A2137" s="364" t="s">
        <v>5280</v>
      </c>
      <c r="B2137" s="361" t="s">
        <v>5281</v>
      </c>
      <c r="C2137" t="s">
        <v>1920</v>
      </c>
      <c r="D2137" s="361">
        <v>54</v>
      </c>
      <c r="E2137" s="364"/>
      <c r="F2137" s="361" t="s">
        <v>1921</v>
      </c>
      <c r="T2137" s="361">
        <v>0.185</v>
      </c>
    </row>
    <row r="2138" spans="1:20" x14ac:dyDescent="0.25">
      <c r="A2138" s="364" t="s">
        <v>5282</v>
      </c>
      <c r="B2138" s="361" t="s">
        <v>5283</v>
      </c>
      <c r="C2138" t="s">
        <v>1920</v>
      </c>
      <c r="D2138" s="361">
        <v>15</v>
      </c>
      <c r="E2138" s="364"/>
      <c r="F2138" s="361" t="s">
        <v>1917</v>
      </c>
      <c r="T2138" s="361">
        <v>49.6</v>
      </c>
    </row>
    <row r="2139" spans="1:20" x14ac:dyDescent="0.25">
      <c r="A2139" s="364" t="s">
        <v>5284</v>
      </c>
      <c r="B2139" s="361" t="s">
        <v>5285</v>
      </c>
      <c r="C2139" t="s">
        <v>1920</v>
      </c>
      <c r="D2139" s="361">
        <v>24</v>
      </c>
      <c r="E2139" s="364"/>
      <c r="F2139" s="361" t="s">
        <v>1921</v>
      </c>
      <c r="T2139" s="361">
        <v>0.19378999999999999</v>
      </c>
    </row>
    <row r="2140" spans="1:20" x14ac:dyDescent="0.25">
      <c r="A2140" s="364" t="s">
        <v>5286</v>
      </c>
      <c r="B2140" s="361" t="s">
        <v>5287</v>
      </c>
      <c r="C2140">
        <v>2</v>
      </c>
      <c r="D2140" s="361">
        <v>97</v>
      </c>
      <c r="E2140" s="364"/>
      <c r="F2140" s="361" t="s">
        <v>1921</v>
      </c>
      <c r="T2140" s="361">
        <v>16.2</v>
      </c>
    </row>
    <row r="2141" spans="1:20" x14ac:dyDescent="0.25">
      <c r="A2141" s="364" t="s">
        <v>1150</v>
      </c>
      <c r="B2141" s="361" t="s">
        <v>1151</v>
      </c>
      <c r="C2141" t="s">
        <v>1916</v>
      </c>
      <c r="D2141" s="361">
        <v>2</v>
      </c>
      <c r="E2141" s="364"/>
      <c r="F2141" s="361" t="s">
        <v>1917</v>
      </c>
      <c r="T2141" s="361">
        <v>2348.3333299999999</v>
      </c>
    </row>
    <row r="2142" spans="1:20" x14ac:dyDescent="0.25">
      <c r="A2142" s="364" t="s">
        <v>5288</v>
      </c>
      <c r="B2142" s="361" t="s">
        <v>5289</v>
      </c>
      <c r="C2142" t="s">
        <v>1920</v>
      </c>
      <c r="D2142" s="361">
        <v>50</v>
      </c>
      <c r="E2142" s="364"/>
      <c r="F2142" s="361" t="s">
        <v>1921</v>
      </c>
      <c r="T2142" s="361">
        <v>3.0810000000000001E-2</v>
      </c>
    </row>
    <row r="2143" spans="1:20" x14ac:dyDescent="0.25">
      <c r="A2143" s="364" t="s">
        <v>5290</v>
      </c>
      <c r="B2143" s="361" t="s">
        <v>5291</v>
      </c>
      <c r="C2143" t="s">
        <v>1920</v>
      </c>
      <c r="D2143" s="361">
        <v>50</v>
      </c>
      <c r="E2143" s="364"/>
      <c r="F2143" s="361" t="s">
        <v>1921</v>
      </c>
      <c r="T2143" s="361">
        <v>3.0810000000000001E-2</v>
      </c>
    </row>
    <row r="2144" spans="1:20" x14ac:dyDescent="0.25">
      <c r="A2144" s="364" t="s">
        <v>5292</v>
      </c>
      <c r="B2144" s="361" t="s">
        <v>5293</v>
      </c>
      <c r="C2144" t="s">
        <v>1920</v>
      </c>
      <c r="D2144" s="361">
        <v>50</v>
      </c>
      <c r="E2144" s="364"/>
      <c r="F2144" s="361" t="s">
        <v>1921</v>
      </c>
      <c r="T2144" s="361">
        <v>3.0810000000000001E-2</v>
      </c>
    </row>
    <row r="2145" spans="1:20" x14ac:dyDescent="0.25">
      <c r="A2145" s="364" t="s">
        <v>5294</v>
      </c>
      <c r="B2145" s="361" t="s">
        <v>5295</v>
      </c>
      <c r="C2145" t="s">
        <v>1920</v>
      </c>
      <c r="D2145" s="361">
        <v>50</v>
      </c>
      <c r="E2145" s="364"/>
      <c r="F2145" s="361" t="s">
        <v>1921</v>
      </c>
      <c r="T2145" s="361">
        <v>3.0810000000000001E-2</v>
      </c>
    </row>
    <row r="2146" spans="1:20" x14ac:dyDescent="0.25">
      <c r="A2146" s="364" t="s">
        <v>5296</v>
      </c>
      <c r="B2146" s="361" t="s">
        <v>5297</v>
      </c>
      <c r="C2146" t="s">
        <v>1920</v>
      </c>
      <c r="D2146" s="361">
        <v>41</v>
      </c>
      <c r="E2146" s="364"/>
      <c r="F2146" s="361" t="s">
        <v>1921</v>
      </c>
      <c r="T2146" s="361">
        <v>0.18</v>
      </c>
    </row>
    <row r="2147" spans="1:20" x14ac:dyDescent="0.25">
      <c r="A2147" s="364" t="s">
        <v>5298</v>
      </c>
      <c r="B2147" s="361" t="s">
        <v>5299</v>
      </c>
      <c r="C2147" t="s">
        <v>1920</v>
      </c>
      <c r="D2147" s="361">
        <v>50</v>
      </c>
      <c r="E2147" s="364"/>
      <c r="F2147" s="361" t="s">
        <v>1921</v>
      </c>
      <c r="T2147" s="361">
        <v>2.0729999999999998E-2</v>
      </c>
    </row>
    <row r="2148" spans="1:20" x14ac:dyDescent="0.25">
      <c r="A2148" s="364" t="s">
        <v>5300</v>
      </c>
      <c r="B2148" s="361" t="s">
        <v>5301</v>
      </c>
      <c r="C2148" t="s">
        <v>1920</v>
      </c>
      <c r="D2148" s="361">
        <v>50</v>
      </c>
      <c r="E2148" s="364"/>
      <c r="F2148" s="361" t="s">
        <v>1921</v>
      </c>
      <c r="T2148" s="361">
        <v>3.1899999999999998E-2</v>
      </c>
    </row>
    <row r="2149" spans="1:20" x14ac:dyDescent="0.25">
      <c r="A2149" s="364" t="s">
        <v>5302</v>
      </c>
      <c r="B2149" s="361" t="s">
        <v>5303</v>
      </c>
      <c r="C2149" t="s">
        <v>1920</v>
      </c>
      <c r="D2149" s="361">
        <v>54</v>
      </c>
      <c r="E2149" s="364"/>
      <c r="F2149" s="361" t="s">
        <v>1921</v>
      </c>
      <c r="T2149" s="361">
        <v>0.16800000000000001</v>
      </c>
    </row>
    <row r="2150" spans="1:20" x14ac:dyDescent="0.25">
      <c r="A2150" s="364" t="s">
        <v>5304</v>
      </c>
      <c r="B2150" s="361" t="s">
        <v>5305</v>
      </c>
      <c r="C2150" t="s">
        <v>1920</v>
      </c>
      <c r="D2150" s="361">
        <v>56</v>
      </c>
      <c r="E2150" s="364"/>
      <c r="F2150" s="361" t="s">
        <v>1921</v>
      </c>
      <c r="T2150" s="361">
        <v>0.77500000000000002</v>
      </c>
    </row>
    <row r="2151" spans="1:20" x14ac:dyDescent="0.25">
      <c r="A2151" s="364" t="s">
        <v>5306</v>
      </c>
      <c r="B2151" s="361" t="s">
        <v>5307</v>
      </c>
      <c r="C2151" t="s">
        <v>1920</v>
      </c>
      <c r="D2151" s="361">
        <v>15</v>
      </c>
      <c r="E2151" s="364"/>
      <c r="F2151" s="361" t="s">
        <v>1917</v>
      </c>
      <c r="T2151" s="361">
        <v>23.9</v>
      </c>
    </row>
    <row r="2152" spans="1:20" x14ac:dyDescent="0.25">
      <c r="A2152" s="364" t="s">
        <v>5308</v>
      </c>
      <c r="B2152" s="361" t="s">
        <v>5309</v>
      </c>
      <c r="C2152" t="s">
        <v>1920</v>
      </c>
      <c r="D2152" s="361">
        <v>24</v>
      </c>
      <c r="E2152" s="364"/>
      <c r="F2152" s="361" t="s">
        <v>1921</v>
      </c>
      <c r="T2152" s="361">
        <v>8.5610000000000006E-2</v>
      </c>
    </row>
    <row r="2153" spans="1:20" x14ac:dyDescent="0.25">
      <c r="A2153" s="364" t="s">
        <v>5310</v>
      </c>
      <c r="B2153" s="361" t="s">
        <v>5311</v>
      </c>
      <c r="C2153" t="s">
        <v>1920</v>
      </c>
      <c r="D2153" s="361">
        <v>54</v>
      </c>
      <c r="E2153" s="364"/>
      <c r="F2153" s="361" t="s">
        <v>1921</v>
      </c>
      <c r="T2153" s="361">
        <v>8.2000000000000003E-2</v>
      </c>
    </row>
    <row r="2154" spans="1:20" x14ac:dyDescent="0.25">
      <c r="A2154" s="364" t="s">
        <v>5312</v>
      </c>
      <c r="B2154" s="361" t="s">
        <v>5313</v>
      </c>
      <c r="C2154" t="s">
        <v>1920</v>
      </c>
      <c r="D2154" s="361">
        <v>15</v>
      </c>
      <c r="E2154" s="364"/>
      <c r="F2154" s="361" t="s">
        <v>1917</v>
      </c>
      <c r="T2154" s="361">
        <v>39.4</v>
      </c>
    </row>
    <row r="2155" spans="1:20" x14ac:dyDescent="0.25">
      <c r="A2155" s="364" t="s">
        <v>5314</v>
      </c>
      <c r="B2155" s="361" t="s">
        <v>5315</v>
      </c>
      <c r="C2155" t="s">
        <v>1920</v>
      </c>
      <c r="D2155" s="361">
        <v>24</v>
      </c>
      <c r="E2155" s="364"/>
      <c r="F2155" s="361" t="s">
        <v>1921</v>
      </c>
      <c r="T2155" s="361">
        <v>8.7580000000000005E-2</v>
      </c>
    </row>
    <row r="2156" spans="1:20" x14ac:dyDescent="0.25">
      <c r="A2156" s="364" t="s">
        <v>5316</v>
      </c>
      <c r="B2156" s="361" t="s">
        <v>5317</v>
      </c>
      <c r="C2156" t="s">
        <v>1920</v>
      </c>
      <c r="D2156" s="361">
        <v>20</v>
      </c>
      <c r="E2156" s="364"/>
      <c r="F2156" s="361" t="s">
        <v>1921</v>
      </c>
      <c r="T2156" s="361">
        <v>1.285E-2</v>
      </c>
    </row>
    <row r="2157" spans="1:20" x14ac:dyDescent="0.25">
      <c r="A2157" s="364" t="s">
        <v>5318</v>
      </c>
      <c r="B2157" s="361" t="s">
        <v>5319</v>
      </c>
      <c r="C2157" t="s">
        <v>1920</v>
      </c>
      <c r="D2157" s="361">
        <v>24</v>
      </c>
      <c r="E2157" s="364"/>
      <c r="F2157" s="361" t="s">
        <v>1921</v>
      </c>
      <c r="T2157" s="361">
        <v>6.9860000000000005E-2</v>
      </c>
    </row>
    <row r="2158" spans="1:20" x14ac:dyDescent="0.25">
      <c r="A2158" s="364" t="s">
        <v>5320</v>
      </c>
      <c r="B2158" s="361" t="s">
        <v>5321</v>
      </c>
      <c r="C2158" t="s">
        <v>1920</v>
      </c>
      <c r="D2158" s="361">
        <v>50</v>
      </c>
      <c r="E2158" s="364"/>
      <c r="F2158" s="361" t="s">
        <v>1921</v>
      </c>
      <c r="T2158" s="361">
        <v>2.0729999999999998E-2</v>
      </c>
    </row>
    <row r="2159" spans="1:20" x14ac:dyDescent="0.25">
      <c r="A2159" s="364" t="s">
        <v>5322</v>
      </c>
      <c r="B2159" s="361" t="s">
        <v>5323</v>
      </c>
      <c r="C2159" t="s">
        <v>1920</v>
      </c>
      <c r="D2159" s="361">
        <v>54</v>
      </c>
      <c r="E2159" s="364"/>
      <c r="F2159" s="361" t="s">
        <v>1921</v>
      </c>
      <c r="T2159" s="361">
        <v>0.14960000000000001</v>
      </c>
    </row>
    <row r="2160" spans="1:20" x14ac:dyDescent="0.25">
      <c r="A2160" s="364" t="s">
        <v>5324</v>
      </c>
      <c r="B2160" s="361" t="s">
        <v>5325</v>
      </c>
      <c r="C2160" t="s">
        <v>1920</v>
      </c>
      <c r="D2160" s="361">
        <v>15</v>
      </c>
      <c r="E2160" s="364"/>
      <c r="F2160" s="361" t="s">
        <v>1917</v>
      </c>
      <c r="T2160" s="361">
        <v>23.6</v>
      </c>
    </row>
    <row r="2161" spans="1:20" x14ac:dyDescent="0.25">
      <c r="A2161" s="364" t="s">
        <v>5326</v>
      </c>
      <c r="B2161" s="361" t="s">
        <v>5327</v>
      </c>
      <c r="C2161" t="s">
        <v>1920</v>
      </c>
      <c r="D2161" s="361">
        <v>24</v>
      </c>
      <c r="E2161" s="364"/>
      <c r="F2161" s="361" t="s">
        <v>1921</v>
      </c>
      <c r="T2161" s="361">
        <v>3.5000000000000003E-2</v>
      </c>
    </row>
    <row r="2162" spans="1:20" x14ac:dyDescent="0.25">
      <c r="A2162" s="364" t="s">
        <v>5328</v>
      </c>
      <c r="B2162" s="361" t="s">
        <v>5329</v>
      </c>
      <c r="C2162" t="s">
        <v>1920</v>
      </c>
      <c r="D2162" s="361">
        <v>45</v>
      </c>
      <c r="E2162" s="364"/>
      <c r="F2162" s="361" t="s">
        <v>1917</v>
      </c>
      <c r="T2162" s="361">
        <v>17.95</v>
      </c>
    </row>
    <row r="2163" spans="1:20" x14ac:dyDescent="0.25">
      <c r="A2163" s="364" t="s">
        <v>5330</v>
      </c>
      <c r="B2163" s="361" t="s">
        <v>5331</v>
      </c>
      <c r="C2163" t="s">
        <v>1920</v>
      </c>
      <c r="D2163" s="361">
        <v>54</v>
      </c>
      <c r="E2163" s="364"/>
      <c r="F2163" s="361" t="s">
        <v>1921</v>
      </c>
      <c r="T2163" s="361">
        <v>0.16500000000000001</v>
      </c>
    </row>
    <row r="2164" spans="1:20" x14ac:dyDescent="0.25">
      <c r="A2164" s="364" t="s">
        <v>5332</v>
      </c>
      <c r="B2164" s="361" t="s">
        <v>5333</v>
      </c>
      <c r="C2164" t="s">
        <v>1920</v>
      </c>
      <c r="D2164" s="361">
        <v>27</v>
      </c>
      <c r="E2164" s="364"/>
      <c r="F2164" s="361" t="s">
        <v>1921</v>
      </c>
      <c r="T2164" s="361">
        <v>0.97599999999999998</v>
      </c>
    </row>
    <row r="2165" spans="1:20" x14ac:dyDescent="0.25">
      <c r="A2165" s="364" t="s">
        <v>5334</v>
      </c>
      <c r="B2165" s="361" t="s">
        <v>5335</v>
      </c>
      <c r="C2165" t="s">
        <v>1920</v>
      </c>
      <c r="D2165" s="361">
        <v>12</v>
      </c>
      <c r="E2165" s="364"/>
      <c r="F2165" s="361" t="s">
        <v>1921</v>
      </c>
      <c r="T2165" s="361">
        <v>4.3700000000000003E-2</v>
      </c>
    </row>
    <row r="2166" spans="1:20" x14ac:dyDescent="0.25">
      <c r="A2166" s="364" t="s">
        <v>5336</v>
      </c>
      <c r="B2166" s="361" t="s">
        <v>5337</v>
      </c>
      <c r="C2166" t="s">
        <v>1920</v>
      </c>
      <c r="D2166" s="361">
        <v>54</v>
      </c>
      <c r="E2166" s="364"/>
      <c r="F2166" s="361" t="s">
        <v>1921</v>
      </c>
      <c r="T2166" s="361">
        <v>0.14899999999999999</v>
      </c>
    </row>
    <row r="2167" spans="1:20" x14ac:dyDescent="0.25">
      <c r="A2167" s="364" t="s">
        <v>5338</v>
      </c>
      <c r="B2167" s="361" t="s">
        <v>5339</v>
      </c>
      <c r="C2167" t="s">
        <v>1920</v>
      </c>
      <c r="D2167" s="361">
        <v>15</v>
      </c>
      <c r="E2167" s="364"/>
      <c r="F2167" s="361" t="s">
        <v>1917</v>
      </c>
      <c r="T2167" s="361">
        <v>40.22</v>
      </c>
    </row>
    <row r="2168" spans="1:20" x14ac:dyDescent="0.25">
      <c r="A2168" s="364" t="s">
        <v>5340</v>
      </c>
      <c r="B2168" s="361" t="s">
        <v>5341</v>
      </c>
      <c r="C2168" t="s">
        <v>1920</v>
      </c>
      <c r="D2168" s="361">
        <v>24</v>
      </c>
      <c r="E2168" s="364"/>
      <c r="F2168" s="361" t="s">
        <v>1921</v>
      </c>
      <c r="T2168" s="361">
        <v>6.1990000000000003E-2</v>
      </c>
    </row>
    <row r="2169" spans="1:20" x14ac:dyDescent="0.25">
      <c r="A2169" s="364" t="s">
        <v>5342</v>
      </c>
      <c r="B2169" s="361" t="s">
        <v>5343</v>
      </c>
      <c r="C2169" t="s">
        <v>1920</v>
      </c>
      <c r="D2169" s="361">
        <v>24</v>
      </c>
      <c r="E2169" s="364"/>
      <c r="F2169" s="361" t="s">
        <v>1921</v>
      </c>
      <c r="T2169" s="361">
        <v>6.3469999999999999E-2</v>
      </c>
    </row>
    <row r="2170" spans="1:20" x14ac:dyDescent="0.25">
      <c r="A2170" s="364" t="s">
        <v>5344</v>
      </c>
      <c r="B2170" s="361" t="s">
        <v>4083</v>
      </c>
      <c r="C2170" t="s">
        <v>1920</v>
      </c>
      <c r="D2170" s="361">
        <v>15</v>
      </c>
      <c r="E2170" s="364"/>
      <c r="F2170" s="361" t="s">
        <v>1917</v>
      </c>
      <c r="T2170" s="361">
        <v>23.4</v>
      </c>
    </row>
    <row r="2171" spans="1:20" x14ac:dyDescent="0.25">
      <c r="A2171" s="364" t="s">
        <v>5345</v>
      </c>
      <c r="B2171" s="361" t="s">
        <v>4085</v>
      </c>
      <c r="C2171" t="s">
        <v>1920</v>
      </c>
      <c r="D2171" s="361">
        <v>15</v>
      </c>
      <c r="E2171" s="364"/>
      <c r="F2171" s="361" t="s">
        <v>1917</v>
      </c>
      <c r="T2171" s="361">
        <v>40.200000000000003</v>
      </c>
    </row>
    <row r="2172" spans="1:20" x14ac:dyDescent="0.25">
      <c r="A2172" s="364" t="s">
        <v>5346</v>
      </c>
      <c r="B2172" s="361" t="s">
        <v>4087</v>
      </c>
      <c r="C2172" t="s">
        <v>1920</v>
      </c>
      <c r="D2172" s="361">
        <v>15</v>
      </c>
      <c r="E2172" s="364"/>
      <c r="F2172" s="361" t="s">
        <v>1917</v>
      </c>
      <c r="T2172" s="361">
        <v>24.4</v>
      </c>
    </row>
    <row r="2173" spans="1:20" x14ac:dyDescent="0.25">
      <c r="A2173" s="364" t="s">
        <v>5347</v>
      </c>
      <c r="B2173" s="361" t="s">
        <v>4089</v>
      </c>
      <c r="C2173" t="s">
        <v>1920</v>
      </c>
      <c r="D2173" s="361">
        <v>15</v>
      </c>
      <c r="E2173" s="364"/>
      <c r="F2173" s="361" t="s">
        <v>1917</v>
      </c>
      <c r="T2173" s="361">
        <v>28.8</v>
      </c>
    </row>
    <row r="2174" spans="1:20" x14ac:dyDescent="0.25">
      <c r="A2174" s="364" t="s">
        <v>5348</v>
      </c>
      <c r="B2174" s="361" t="s">
        <v>4091</v>
      </c>
      <c r="C2174" t="s">
        <v>1920</v>
      </c>
      <c r="D2174" s="361">
        <v>15</v>
      </c>
      <c r="E2174" s="364"/>
      <c r="F2174" s="361" t="s">
        <v>1917</v>
      </c>
      <c r="T2174" s="361">
        <v>24</v>
      </c>
    </row>
    <row r="2175" spans="1:20" x14ac:dyDescent="0.25">
      <c r="A2175" s="364" t="s">
        <v>5349</v>
      </c>
      <c r="B2175" s="361" t="s">
        <v>4093</v>
      </c>
      <c r="C2175" t="s">
        <v>1920</v>
      </c>
      <c r="D2175" s="361">
        <v>15</v>
      </c>
      <c r="E2175" s="364"/>
      <c r="F2175" s="361" t="s">
        <v>1917</v>
      </c>
      <c r="T2175" s="361">
        <v>26</v>
      </c>
    </row>
    <row r="2176" spans="1:20" x14ac:dyDescent="0.25">
      <c r="A2176" s="364" t="s">
        <v>5350</v>
      </c>
      <c r="B2176" s="361" t="s">
        <v>4095</v>
      </c>
      <c r="C2176" t="s">
        <v>1920</v>
      </c>
      <c r="D2176" s="361">
        <v>15</v>
      </c>
      <c r="E2176" s="364"/>
      <c r="F2176" s="361" t="s">
        <v>1917</v>
      </c>
      <c r="T2176" s="361">
        <v>24.9</v>
      </c>
    </row>
    <row r="2177" spans="1:20" x14ac:dyDescent="0.25">
      <c r="A2177" s="364" t="s">
        <v>5351</v>
      </c>
      <c r="B2177" s="361" t="s">
        <v>4097</v>
      </c>
      <c r="C2177" t="s">
        <v>1920</v>
      </c>
      <c r="D2177" s="361">
        <v>15</v>
      </c>
      <c r="E2177" s="364"/>
      <c r="F2177" s="361" t="s">
        <v>1917</v>
      </c>
      <c r="T2177" s="361">
        <v>27.3</v>
      </c>
    </row>
    <row r="2178" spans="1:20" x14ac:dyDescent="0.25">
      <c r="A2178" s="364" t="s">
        <v>5352</v>
      </c>
      <c r="B2178" s="361" t="s">
        <v>4099</v>
      </c>
      <c r="C2178" t="s">
        <v>1920</v>
      </c>
      <c r="D2178" s="361">
        <v>22</v>
      </c>
      <c r="E2178" s="364"/>
      <c r="F2178" s="361" t="s">
        <v>1921</v>
      </c>
      <c r="T2178" s="361">
        <v>4.4999999999999998E-2</v>
      </c>
    </row>
    <row r="2179" spans="1:20" x14ac:dyDescent="0.25">
      <c r="A2179" s="364" t="s">
        <v>5353</v>
      </c>
      <c r="B2179" s="361" t="s">
        <v>4101</v>
      </c>
      <c r="C2179" t="s">
        <v>1920</v>
      </c>
      <c r="D2179" s="361">
        <v>22</v>
      </c>
      <c r="E2179" s="364"/>
      <c r="F2179" s="361" t="s">
        <v>1921</v>
      </c>
      <c r="T2179" s="361">
        <v>4.4999999999999998E-2</v>
      </c>
    </row>
    <row r="2180" spans="1:20" x14ac:dyDescent="0.25">
      <c r="A2180" s="364" t="s">
        <v>5354</v>
      </c>
      <c r="B2180" s="361" t="s">
        <v>4103</v>
      </c>
      <c r="C2180" t="s">
        <v>1920</v>
      </c>
      <c r="D2180" s="361">
        <v>24</v>
      </c>
      <c r="E2180" s="364"/>
      <c r="F2180" s="361" t="s">
        <v>1921</v>
      </c>
      <c r="T2180" s="361">
        <v>0.13972999999999999</v>
      </c>
    </row>
    <row r="2181" spans="1:20" x14ac:dyDescent="0.25">
      <c r="A2181" s="364" t="s">
        <v>5355</v>
      </c>
      <c r="B2181" s="361" t="s">
        <v>4105</v>
      </c>
      <c r="C2181" t="s">
        <v>1920</v>
      </c>
      <c r="D2181" s="361">
        <v>24</v>
      </c>
      <c r="E2181" s="364"/>
      <c r="F2181" s="361" t="s">
        <v>1921</v>
      </c>
      <c r="T2181" s="361">
        <v>0.68169999999999997</v>
      </c>
    </row>
    <row r="2182" spans="1:20" x14ac:dyDescent="0.25">
      <c r="A2182" s="364" t="s">
        <v>5356</v>
      </c>
      <c r="B2182" s="361" t="s">
        <v>4107</v>
      </c>
      <c r="C2182" t="s">
        <v>1920</v>
      </c>
      <c r="D2182" s="361">
        <v>24</v>
      </c>
      <c r="E2182" s="364"/>
      <c r="F2182" s="361" t="s">
        <v>1921</v>
      </c>
      <c r="T2182" s="361">
        <v>0.13972999999999999</v>
      </c>
    </row>
    <row r="2183" spans="1:20" x14ac:dyDescent="0.25">
      <c r="A2183" s="364" t="s">
        <v>5357</v>
      </c>
      <c r="B2183" s="361" t="s">
        <v>4109</v>
      </c>
      <c r="C2183" t="s">
        <v>1920</v>
      </c>
      <c r="D2183" s="361">
        <v>24</v>
      </c>
      <c r="E2183" s="364"/>
      <c r="F2183" s="361" t="s">
        <v>1921</v>
      </c>
      <c r="T2183" s="361">
        <v>0.25235000000000002</v>
      </c>
    </row>
    <row r="2184" spans="1:20" x14ac:dyDescent="0.25">
      <c r="A2184" s="364" t="s">
        <v>5358</v>
      </c>
      <c r="B2184" s="361" t="s">
        <v>4111</v>
      </c>
      <c r="C2184" t="s">
        <v>1920</v>
      </c>
      <c r="D2184" s="361">
        <v>24</v>
      </c>
      <c r="E2184" s="364"/>
      <c r="F2184" s="361" t="s">
        <v>1921</v>
      </c>
      <c r="T2184" s="361">
        <v>0.16433</v>
      </c>
    </row>
    <row r="2185" spans="1:20" x14ac:dyDescent="0.25">
      <c r="A2185" s="364" t="s">
        <v>5359</v>
      </c>
      <c r="B2185" s="361" t="s">
        <v>4113</v>
      </c>
      <c r="C2185" t="s">
        <v>1920</v>
      </c>
      <c r="D2185" s="361">
        <v>24</v>
      </c>
      <c r="E2185" s="364"/>
      <c r="F2185" s="361" t="s">
        <v>1921</v>
      </c>
      <c r="T2185" s="361">
        <v>0.26300000000000001</v>
      </c>
    </row>
    <row r="2186" spans="1:20" x14ac:dyDescent="0.25">
      <c r="A2186" s="364" t="s">
        <v>5360</v>
      </c>
      <c r="B2186" s="361" t="s">
        <v>4115</v>
      </c>
      <c r="C2186" t="s">
        <v>1920</v>
      </c>
      <c r="D2186" s="361">
        <v>24</v>
      </c>
      <c r="E2186" s="364"/>
      <c r="F2186" s="361" t="s">
        <v>1921</v>
      </c>
      <c r="T2186" s="361">
        <v>0.16433</v>
      </c>
    </row>
    <row r="2187" spans="1:20" x14ac:dyDescent="0.25">
      <c r="A2187" s="364" t="s">
        <v>5361</v>
      </c>
      <c r="B2187" s="361" t="s">
        <v>4117</v>
      </c>
      <c r="C2187" t="s">
        <v>1920</v>
      </c>
      <c r="D2187" s="361">
        <v>24</v>
      </c>
      <c r="E2187" s="364"/>
      <c r="F2187" s="361" t="s">
        <v>1921</v>
      </c>
      <c r="T2187" s="361">
        <v>0.25235000000000002</v>
      </c>
    </row>
    <row r="2188" spans="1:20" x14ac:dyDescent="0.25">
      <c r="A2188" s="364" t="s">
        <v>1152</v>
      </c>
      <c r="B2188" s="361" t="s">
        <v>1153</v>
      </c>
      <c r="C2188" t="s">
        <v>1916</v>
      </c>
      <c r="D2188" s="361">
        <v>2</v>
      </c>
      <c r="E2188" s="364"/>
      <c r="F2188" s="361" t="s">
        <v>2145</v>
      </c>
      <c r="T2188" s="361">
        <v>4</v>
      </c>
    </row>
    <row r="2189" spans="1:20" x14ac:dyDescent="0.25">
      <c r="A2189" s="364" t="s">
        <v>5362</v>
      </c>
      <c r="B2189" s="361" t="s">
        <v>5363</v>
      </c>
      <c r="C2189" t="s">
        <v>1920</v>
      </c>
      <c r="D2189" s="361">
        <v>54</v>
      </c>
      <c r="E2189" s="364"/>
      <c r="F2189" s="361" t="s">
        <v>1921</v>
      </c>
      <c r="T2189" s="361">
        <v>0.24099999999999999</v>
      </c>
    </row>
    <row r="2190" spans="1:20" x14ac:dyDescent="0.25">
      <c r="A2190" s="364" t="s">
        <v>5364</v>
      </c>
      <c r="B2190" s="361" t="s">
        <v>5365</v>
      </c>
      <c r="C2190" t="s">
        <v>1920</v>
      </c>
      <c r="D2190" s="361">
        <v>54</v>
      </c>
      <c r="E2190" s="364"/>
      <c r="F2190" s="361" t="s">
        <v>1921</v>
      </c>
      <c r="T2190" s="361">
        <v>0.24099999999999999</v>
      </c>
    </row>
    <row r="2191" spans="1:20" x14ac:dyDescent="0.25">
      <c r="A2191" s="364" t="s">
        <v>5366</v>
      </c>
      <c r="B2191" s="361" t="s">
        <v>5367</v>
      </c>
      <c r="C2191" t="s">
        <v>1920</v>
      </c>
      <c r="D2191" s="361">
        <v>54</v>
      </c>
      <c r="E2191" s="364"/>
      <c r="F2191" s="361" t="s">
        <v>1921</v>
      </c>
      <c r="T2191" s="361">
        <v>0.24099999999999999</v>
      </c>
    </row>
    <row r="2192" spans="1:20" x14ac:dyDescent="0.25">
      <c r="A2192" s="364" t="s">
        <v>5368</v>
      </c>
      <c r="B2192" s="361" t="s">
        <v>5369</v>
      </c>
      <c r="C2192" t="s">
        <v>1920</v>
      </c>
      <c r="D2192" s="361">
        <v>11</v>
      </c>
      <c r="E2192" s="364"/>
      <c r="F2192" s="361" t="s">
        <v>1921</v>
      </c>
      <c r="T2192" s="361">
        <v>0.14785999999999999</v>
      </c>
    </row>
    <row r="2193" spans="1:20" x14ac:dyDescent="0.25">
      <c r="A2193" s="364" t="s">
        <v>5370</v>
      </c>
      <c r="B2193" s="361" t="s">
        <v>5371</v>
      </c>
      <c r="C2193" t="s">
        <v>1920</v>
      </c>
      <c r="D2193" s="361">
        <v>17</v>
      </c>
      <c r="E2193" s="364"/>
      <c r="F2193" s="361" t="s">
        <v>1921</v>
      </c>
      <c r="T2193" s="361">
        <v>3.9899999999999998E-2</v>
      </c>
    </row>
    <row r="2194" spans="1:20" x14ac:dyDescent="0.25">
      <c r="A2194" s="364" t="s">
        <v>5372</v>
      </c>
      <c r="B2194" s="361" t="s">
        <v>5373</v>
      </c>
      <c r="C2194" t="s">
        <v>1920</v>
      </c>
      <c r="D2194" s="361">
        <v>12</v>
      </c>
      <c r="E2194" s="364"/>
      <c r="F2194" s="361" t="s">
        <v>1921</v>
      </c>
      <c r="T2194" s="361">
        <v>0.1323</v>
      </c>
    </row>
    <row r="2195" spans="1:20" x14ac:dyDescent="0.25">
      <c r="A2195" s="364" t="s">
        <v>5374</v>
      </c>
      <c r="B2195" s="361" t="s">
        <v>5375</v>
      </c>
      <c r="C2195" t="s">
        <v>1920</v>
      </c>
      <c r="D2195" s="361">
        <v>20</v>
      </c>
      <c r="E2195" s="364"/>
      <c r="F2195" s="361" t="s">
        <v>1921</v>
      </c>
      <c r="T2195" s="361">
        <v>4.9200000000000001E-2</v>
      </c>
    </row>
    <row r="2196" spans="1:20" x14ac:dyDescent="0.25">
      <c r="A2196" s="364" t="s">
        <v>5376</v>
      </c>
      <c r="B2196" s="361" t="s">
        <v>5377</v>
      </c>
      <c r="C2196" t="s">
        <v>1920</v>
      </c>
      <c r="D2196" s="361">
        <v>27</v>
      </c>
      <c r="E2196" s="364"/>
      <c r="F2196" s="361" t="s">
        <v>1921</v>
      </c>
      <c r="T2196" s="361">
        <v>6.1899999999999997E-2</v>
      </c>
    </row>
    <row r="2197" spans="1:20" x14ac:dyDescent="0.25">
      <c r="A2197" s="364" t="s">
        <v>5378</v>
      </c>
      <c r="B2197" s="361" t="s">
        <v>5379</v>
      </c>
      <c r="C2197" t="s">
        <v>1920</v>
      </c>
      <c r="D2197" s="361">
        <v>27</v>
      </c>
      <c r="E2197" s="364"/>
      <c r="F2197" s="361" t="s">
        <v>1921</v>
      </c>
      <c r="T2197" s="361">
        <v>0.60799999999999998</v>
      </c>
    </row>
    <row r="2198" spans="1:20" x14ac:dyDescent="0.25">
      <c r="A2198" s="364" t="s">
        <v>5380</v>
      </c>
      <c r="B2198" s="361" t="s">
        <v>5381</v>
      </c>
      <c r="C2198" t="s">
        <v>1920</v>
      </c>
      <c r="D2198" s="361">
        <v>29</v>
      </c>
      <c r="E2198" s="364"/>
      <c r="F2198" s="361" t="s">
        <v>1921</v>
      </c>
      <c r="T2198" s="361">
        <v>0.51400000000000001</v>
      </c>
    </row>
    <row r="2199" spans="1:20" x14ac:dyDescent="0.25">
      <c r="A2199" s="364" t="s">
        <v>5382</v>
      </c>
      <c r="B2199" s="361" t="s">
        <v>5383</v>
      </c>
      <c r="C2199" t="s">
        <v>1920</v>
      </c>
      <c r="D2199" s="361">
        <v>20</v>
      </c>
      <c r="E2199" s="364"/>
      <c r="F2199" s="361" t="s">
        <v>1921</v>
      </c>
      <c r="T2199" s="361">
        <v>4.1000000000000002E-2</v>
      </c>
    </row>
    <row r="2200" spans="1:20" x14ac:dyDescent="0.25">
      <c r="A2200" s="364" t="s">
        <v>5384</v>
      </c>
      <c r="B2200" s="361" t="s">
        <v>5385</v>
      </c>
      <c r="C2200" t="s">
        <v>1920</v>
      </c>
      <c r="D2200" s="361">
        <v>18</v>
      </c>
      <c r="E2200" s="364"/>
      <c r="F2200" s="361" t="s">
        <v>1921</v>
      </c>
      <c r="T2200" s="361">
        <v>0.19511999999999999</v>
      </c>
    </row>
    <row r="2201" spans="1:20" x14ac:dyDescent="0.25">
      <c r="A2201" s="364" t="s">
        <v>5386</v>
      </c>
      <c r="B2201" s="361" t="s">
        <v>5387</v>
      </c>
      <c r="C2201" t="s">
        <v>1920</v>
      </c>
      <c r="D2201" s="361">
        <v>24</v>
      </c>
      <c r="E2201" s="364"/>
      <c r="F2201" s="361" t="s">
        <v>1921</v>
      </c>
      <c r="T2201" s="361">
        <v>5.8200000000000002E-2</v>
      </c>
    </row>
    <row r="2202" spans="1:20" x14ac:dyDescent="0.25">
      <c r="A2202" s="364" t="s">
        <v>5388</v>
      </c>
      <c r="B2202" s="361" t="s">
        <v>5389</v>
      </c>
      <c r="C2202" t="s">
        <v>1920</v>
      </c>
      <c r="D2202" s="361">
        <v>27</v>
      </c>
      <c r="E2202" s="364"/>
      <c r="F2202" s="361" t="s">
        <v>1921</v>
      </c>
      <c r="T2202" s="361">
        <v>0.95199999999999996</v>
      </c>
    </row>
    <row r="2203" spans="1:20" x14ac:dyDescent="0.25">
      <c r="A2203" s="364" t="s">
        <v>5390</v>
      </c>
      <c r="B2203" s="361" t="s">
        <v>5391</v>
      </c>
      <c r="C2203" t="s">
        <v>1920</v>
      </c>
      <c r="D2203" s="361">
        <v>18</v>
      </c>
      <c r="E2203" s="364"/>
      <c r="F2203" s="361" t="s">
        <v>1921</v>
      </c>
      <c r="T2203" s="361">
        <v>0.20630000000000001</v>
      </c>
    </row>
    <row r="2204" spans="1:20" x14ac:dyDescent="0.25">
      <c r="A2204" s="364" t="s">
        <v>5392</v>
      </c>
      <c r="B2204" s="361" t="s">
        <v>5393</v>
      </c>
      <c r="C2204" t="s">
        <v>1920</v>
      </c>
      <c r="D2204" s="361">
        <v>24</v>
      </c>
      <c r="E2204" s="364"/>
      <c r="F2204" s="361" t="s">
        <v>1921</v>
      </c>
      <c r="T2204" s="361">
        <v>5.5E-2</v>
      </c>
    </row>
    <row r="2205" spans="1:20" x14ac:dyDescent="0.25">
      <c r="A2205" s="364" t="s">
        <v>5394</v>
      </c>
      <c r="B2205" s="361" t="s">
        <v>5395</v>
      </c>
      <c r="C2205" t="s">
        <v>1920</v>
      </c>
      <c r="D2205" s="361">
        <v>18</v>
      </c>
      <c r="E2205" s="364"/>
      <c r="F2205" s="361" t="s">
        <v>1921</v>
      </c>
      <c r="T2205" s="361">
        <v>0.27614</v>
      </c>
    </row>
    <row r="2206" spans="1:20" x14ac:dyDescent="0.25">
      <c r="A2206" s="364" t="s">
        <v>5396</v>
      </c>
      <c r="B2206" s="361" t="s">
        <v>5397</v>
      </c>
      <c r="C2206" t="s">
        <v>1920</v>
      </c>
      <c r="D2206" s="361">
        <v>24</v>
      </c>
      <c r="E2206" s="364"/>
      <c r="F2206" s="361" t="s">
        <v>1921</v>
      </c>
      <c r="T2206" s="361">
        <v>0.10100000000000001</v>
      </c>
    </row>
    <row r="2207" spans="1:20" x14ac:dyDescent="0.25">
      <c r="A2207" s="364" t="s">
        <v>5398</v>
      </c>
      <c r="B2207" s="361" t="s">
        <v>5399</v>
      </c>
      <c r="C2207" t="s">
        <v>1920</v>
      </c>
      <c r="D2207" s="361">
        <v>18</v>
      </c>
      <c r="E2207" s="364"/>
      <c r="F2207" s="361" t="s">
        <v>1921</v>
      </c>
      <c r="T2207" s="361">
        <v>0.35916999999999999</v>
      </c>
    </row>
    <row r="2208" spans="1:20" x14ac:dyDescent="0.25">
      <c r="A2208" s="364" t="s">
        <v>5400</v>
      </c>
      <c r="B2208" s="361" t="s">
        <v>5401</v>
      </c>
      <c r="C2208" t="s">
        <v>1920</v>
      </c>
      <c r="D2208" s="361">
        <v>24</v>
      </c>
      <c r="E2208" s="364"/>
      <c r="F2208" s="361" t="s">
        <v>1921</v>
      </c>
      <c r="T2208" s="361">
        <v>0.19839999999999999</v>
      </c>
    </row>
    <row r="2209" spans="1:20" x14ac:dyDescent="0.25">
      <c r="A2209" s="364" t="s">
        <v>5402</v>
      </c>
      <c r="B2209" s="361" t="s">
        <v>5403</v>
      </c>
      <c r="C2209" t="s">
        <v>1920</v>
      </c>
      <c r="D2209" s="361">
        <v>10</v>
      </c>
      <c r="E2209" s="364"/>
      <c r="F2209" s="361" t="s">
        <v>1921</v>
      </c>
      <c r="T2209" s="361">
        <v>0.32900000000000001</v>
      </c>
    </row>
    <row r="2210" spans="1:20" x14ac:dyDescent="0.25">
      <c r="A2210" s="364" t="s">
        <v>5404</v>
      </c>
      <c r="B2210" s="361" t="s">
        <v>5405</v>
      </c>
      <c r="C2210" t="s">
        <v>1920</v>
      </c>
      <c r="D2210" s="361">
        <v>12</v>
      </c>
      <c r="E2210" s="364"/>
      <c r="F2210" s="361" t="s">
        <v>1921</v>
      </c>
      <c r="T2210" s="361">
        <v>4.87E-2</v>
      </c>
    </row>
    <row r="2211" spans="1:20" x14ac:dyDescent="0.25">
      <c r="A2211" s="364" t="s">
        <v>5406</v>
      </c>
      <c r="B2211" s="361" t="s">
        <v>5407</v>
      </c>
      <c r="C2211" t="s">
        <v>1920</v>
      </c>
      <c r="D2211" s="361">
        <v>17</v>
      </c>
      <c r="E2211" s="364"/>
      <c r="F2211" s="361" t="s">
        <v>1921</v>
      </c>
      <c r="T2211" s="361">
        <v>2.19</v>
      </c>
    </row>
    <row r="2212" spans="1:20" x14ac:dyDescent="0.25">
      <c r="A2212" s="364" t="s">
        <v>5408</v>
      </c>
      <c r="B2212" s="361" t="s">
        <v>5409</v>
      </c>
      <c r="C2212" t="s">
        <v>1920</v>
      </c>
      <c r="D2212" s="361">
        <v>20</v>
      </c>
      <c r="E2212" s="364"/>
      <c r="F2212" s="361" t="s">
        <v>1921</v>
      </c>
      <c r="T2212" s="361">
        <v>0.3725</v>
      </c>
    </row>
    <row r="2213" spans="1:20" x14ac:dyDescent="0.25">
      <c r="A2213" s="364" t="s">
        <v>5410</v>
      </c>
      <c r="B2213" s="361" t="s">
        <v>5411</v>
      </c>
      <c r="C2213" t="s">
        <v>1920</v>
      </c>
      <c r="D2213" s="361">
        <v>24</v>
      </c>
      <c r="E2213" s="364"/>
      <c r="F2213" s="361" t="s">
        <v>1921</v>
      </c>
      <c r="T2213" s="361">
        <v>0.87439999999999996</v>
      </c>
    </row>
    <row r="2214" spans="1:20" x14ac:dyDescent="0.25">
      <c r="A2214" s="364" t="s">
        <v>5412</v>
      </c>
      <c r="B2214" s="361" t="s">
        <v>5413</v>
      </c>
      <c r="C2214" t="s">
        <v>1920</v>
      </c>
      <c r="D2214" s="361">
        <v>46</v>
      </c>
      <c r="E2214" s="364"/>
      <c r="F2214" s="361" t="s">
        <v>1921</v>
      </c>
      <c r="T2214" s="361">
        <v>3.15E-2</v>
      </c>
    </row>
    <row r="2215" spans="1:20" x14ac:dyDescent="0.25">
      <c r="A2215" s="364" t="s">
        <v>5414</v>
      </c>
      <c r="B2215" s="361" t="s">
        <v>5415</v>
      </c>
      <c r="C2215" t="s">
        <v>1920</v>
      </c>
      <c r="D2215" s="361">
        <v>27</v>
      </c>
      <c r="E2215" s="364"/>
      <c r="F2215" s="361" t="s">
        <v>1921</v>
      </c>
      <c r="T2215" s="361">
        <v>1.431</v>
      </c>
    </row>
    <row r="2216" spans="1:20" x14ac:dyDescent="0.25">
      <c r="A2216" s="364" t="s">
        <v>5416</v>
      </c>
      <c r="B2216" s="361" t="s">
        <v>5417</v>
      </c>
      <c r="C2216" t="s">
        <v>1920</v>
      </c>
      <c r="D2216" s="361">
        <v>15</v>
      </c>
      <c r="E2216" s="364"/>
      <c r="F2216" s="361" t="s">
        <v>1917</v>
      </c>
      <c r="T2216" s="361">
        <v>37.299999999999997</v>
      </c>
    </row>
    <row r="2217" spans="1:20" x14ac:dyDescent="0.25">
      <c r="A2217" s="364" t="s">
        <v>5418</v>
      </c>
      <c r="B2217" s="361" t="s">
        <v>5419</v>
      </c>
      <c r="C2217" t="s">
        <v>1920</v>
      </c>
      <c r="D2217" s="361">
        <v>15</v>
      </c>
      <c r="E2217" s="364"/>
      <c r="F2217" s="361" t="s">
        <v>1917</v>
      </c>
      <c r="T2217" s="361">
        <v>37.299999999999997</v>
      </c>
    </row>
    <row r="2218" spans="1:20" x14ac:dyDescent="0.25">
      <c r="A2218" s="364" t="s">
        <v>5420</v>
      </c>
      <c r="B2218" s="361" t="s">
        <v>5421</v>
      </c>
      <c r="C2218" t="s">
        <v>1920</v>
      </c>
      <c r="D2218" s="361">
        <v>24</v>
      </c>
      <c r="E2218" s="364"/>
      <c r="F2218" s="361" t="s">
        <v>1921</v>
      </c>
      <c r="T2218" s="361">
        <v>6.0019999999999997E-2</v>
      </c>
    </row>
    <row r="2219" spans="1:20" x14ac:dyDescent="0.25">
      <c r="A2219" s="364" t="s">
        <v>5422</v>
      </c>
      <c r="B2219" s="361" t="s">
        <v>5423</v>
      </c>
      <c r="C2219" t="s">
        <v>1920</v>
      </c>
      <c r="D2219" s="361">
        <v>24</v>
      </c>
      <c r="E2219" s="364"/>
      <c r="F2219" s="361" t="s">
        <v>1921</v>
      </c>
      <c r="T2219" s="361">
        <v>6.5530000000000005E-2</v>
      </c>
    </row>
    <row r="2220" spans="1:20" x14ac:dyDescent="0.25">
      <c r="A2220" s="364" t="s">
        <v>1154</v>
      </c>
      <c r="B2220" s="361" t="s">
        <v>1155</v>
      </c>
      <c r="C2220" t="s">
        <v>1922</v>
      </c>
      <c r="D2220" s="361">
        <v>1</v>
      </c>
      <c r="E2220" s="364"/>
      <c r="F2220" s="361" t="s">
        <v>1917</v>
      </c>
      <c r="T2220" s="361">
        <v>23.46</v>
      </c>
    </row>
    <row r="2221" spans="1:20" x14ac:dyDescent="0.25">
      <c r="A2221" s="364" t="s">
        <v>1156</v>
      </c>
      <c r="B2221" s="361" t="s">
        <v>1157</v>
      </c>
      <c r="C2221" t="s">
        <v>1916</v>
      </c>
      <c r="D2221" s="361">
        <v>2</v>
      </c>
      <c r="E2221" s="364"/>
      <c r="F2221" s="361" t="s">
        <v>1917</v>
      </c>
      <c r="T2221" s="361">
        <v>3029.37</v>
      </c>
    </row>
    <row r="2222" spans="1:20" x14ac:dyDescent="0.25">
      <c r="A2222" s="364" t="s">
        <v>1158</v>
      </c>
      <c r="B2222" s="361" t="s">
        <v>1159</v>
      </c>
      <c r="C2222" t="s">
        <v>1922</v>
      </c>
      <c r="D2222" s="361">
        <v>1</v>
      </c>
      <c r="E2222" s="364"/>
      <c r="F2222" s="361" t="s">
        <v>1917</v>
      </c>
      <c r="T2222" s="361">
        <v>162.5</v>
      </c>
    </row>
    <row r="2223" spans="1:20" x14ac:dyDescent="0.25">
      <c r="A2223" s="364" t="s">
        <v>1160</v>
      </c>
      <c r="B2223" s="361" t="s">
        <v>1161</v>
      </c>
      <c r="C2223" t="s">
        <v>1922</v>
      </c>
      <c r="D2223" s="361">
        <v>1</v>
      </c>
      <c r="E2223" s="364"/>
      <c r="F2223" s="361" t="s">
        <v>1917</v>
      </c>
      <c r="T2223" s="361">
        <v>877.86500000000001</v>
      </c>
    </row>
    <row r="2224" spans="1:20" x14ac:dyDescent="0.25">
      <c r="A2224" s="364" t="s">
        <v>1162</v>
      </c>
      <c r="B2224" s="361" t="s">
        <v>1163</v>
      </c>
      <c r="C2224" t="s">
        <v>1922</v>
      </c>
      <c r="D2224" s="361">
        <v>1</v>
      </c>
      <c r="E2224" s="364"/>
      <c r="F2224" s="361" t="s">
        <v>1917</v>
      </c>
      <c r="T2224" s="361">
        <v>37.19</v>
      </c>
    </row>
    <row r="2225" spans="1:20" x14ac:dyDescent="0.25">
      <c r="A2225" s="364" t="s">
        <v>1164</v>
      </c>
      <c r="B2225" s="361" t="s">
        <v>1165</v>
      </c>
      <c r="C2225" t="s">
        <v>1922</v>
      </c>
      <c r="D2225" s="361">
        <v>1</v>
      </c>
      <c r="E2225" s="364"/>
      <c r="F2225" s="361" t="s">
        <v>1917</v>
      </c>
      <c r="T2225" s="361">
        <v>51.94</v>
      </c>
    </row>
    <row r="2226" spans="1:20" x14ac:dyDescent="0.25">
      <c r="A2226" s="364" t="s">
        <v>1166</v>
      </c>
      <c r="B2226" s="361" t="s">
        <v>1167</v>
      </c>
      <c r="C2226" t="s">
        <v>1922</v>
      </c>
      <c r="D2226" s="361">
        <v>1</v>
      </c>
      <c r="E2226" s="364"/>
      <c r="F2226" s="361" t="s">
        <v>1917</v>
      </c>
      <c r="T2226" s="361">
        <v>13.32</v>
      </c>
    </row>
    <row r="2227" spans="1:20" x14ac:dyDescent="0.25">
      <c r="A2227" s="364" t="s">
        <v>5424</v>
      </c>
      <c r="B2227" s="361" t="s">
        <v>5425</v>
      </c>
      <c r="C2227" t="s">
        <v>1920</v>
      </c>
      <c r="D2227" s="361">
        <v>18</v>
      </c>
      <c r="E2227" s="364"/>
      <c r="F2227" s="361" t="s">
        <v>1921</v>
      </c>
      <c r="T2227" s="361">
        <v>0.20630000000000001</v>
      </c>
    </row>
    <row r="2228" spans="1:20" x14ac:dyDescent="0.25">
      <c r="A2228" s="364" t="s">
        <v>5426</v>
      </c>
      <c r="B2228" s="361" t="s">
        <v>5427</v>
      </c>
      <c r="C2228" t="s">
        <v>1920</v>
      </c>
      <c r="D2228" s="361">
        <v>24</v>
      </c>
      <c r="E2228" s="364"/>
      <c r="F2228" s="361" t="s">
        <v>1921</v>
      </c>
      <c r="T2228" s="361">
        <v>5.5E-2</v>
      </c>
    </row>
    <row r="2229" spans="1:20" x14ac:dyDescent="0.25">
      <c r="A2229" s="364" t="s">
        <v>1168</v>
      </c>
      <c r="B2229" s="361" t="s">
        <v>1169</v>
      </c>
      <c r="C2229" t="s">
        <v>1922</v>
      </c>
      <c r="D2229" s="361">
        <v>1</v>
      </c>
      <c r="E2229" s="364"/>
      <c r="F2229" s="361" t="s">
        <v>1921</v>
      </c>
      <c r="T2229" s="361">
        <v>160.1</v>
      </c>
    </row>
    <row r="2230" spans="1:20" x14ac:dyDescent="0.25">
      <c r="A2230" s="364" t="s">
        <v>1170</v>
      </c>
      <c r="B2230" s="361" t="s">
        <v>1171</v>
      </c>
      <c r="C2230" t="s">
        <v>1922</v>
      </c>
      <c r="D2230" s="361">
        <v>1</v>
      </c>
      <c r="E2230" s="364"/>
      <c r="F2230" s="361" t="s">
        <v>1917</v>
      </c>
      <c r="T2230" s="361">
        <v>32</v>
      </c>
    </row>
    <row r="2231" spans="1:20" x14ac:dyDescent="0.25">
      <c r="A2231" s="364" t="s">
        <v>1172</v>
      </c>
      <c r="B2231" s="361" t="s">
        <v>1173</v>
      </c>
      <c r="C2231" t="s">
        <v>1922</v>
      </c>
      <c r="D2231" s="361">
        <v>1</v>
      </c>
      <c r="E2231" s="364"/>
      <c r="F2231" s="361" t="s">
        <v>1917</v>
      </c>
      <c r="T2231" s="361">
        <v>138.5</v>
      </c>
    </row>
    <row r="2232" spans="1:20" x14ac:dyDescent="0.25">
      <c r="A2232" s="364" t="s">
        <v>1174</v>
      </c>
      <c r="B2232" s="361" t="s">
        <v>1175</v>
      </c>
      <c r="C2232" t="s">
        <v>1922</v>
      </c>
      <c r="D2232" s="361">
        <v>1</v>
      </c>
      <c r="E2232" s="364"/>
      <c r="F2232" s="361" t="s">
        <v>1917</v>
      </c>
      <c r="T2232" s="361">
        <v>420</v>
      </c>
    </row>
    <row r="2233" spans="1:20" x14ac:dyDescent="0.25">
      <c r="A2233" s="364" t="s">
        <v>5428</v>
      </c>
      <c r="B2233" s="361" t="s">
        <v>5429</v>
      </c>
      <c r="C2233" t="s">
        <v>1920</v>
      </c>
      <c r="D2233" s="361">
        <v>18</v>
      </c>
      <c r="E2233" s="364"/>
      <c r="F2233" s="361" t="s">
        <v>1921</v>
      </c>
      <c r="T2233" s="361">
        <v>0.27922000000000002</v>
      </c>
    </row>
    <row r="2234" spans="1:20" x14ac:dyDescent="0.25">
      <c r="A2234" s="364" t="s">
        <v>5430</v>
      </c>
      <c r="B2234" s="361" t="s">
        <v>5431</v>
      </c>
      <c r="C2234" t="s">
        <v>1920</v>
      </c>
      <c r="D2234" s="361">
        <v>24</v>
      </c>
      <c r="E2234" s="364"/>
      <c r="F2234" s="361" t="s">
        <v>1921</v>
      </c>
      <c r="T2234" s="361">
        <v>0.10100000000000001</v>
      </c>
    </row>
    <row r="2235" spans="1:20" x14ac:dyDescent="0.25">
      <c r="A2235" s="364" t="s">
        <v>1176</v>
      </c>
      <c r="B2235" s="361" t="s">
        <v>1177</v>
      </c>
      <c r="C2235" t="s">
        <v>1916</v>
      </c>
      <c r="D2235" s="361">
        <v>2</v>
      </c>
      <c r="E2235" s="364"/>
      <c r="F2235" s="361" t="s">
        <v>1917</v>
      </c>
      <c r="T2235" s="361">
        <v>2500</v>
      </c>
    </row>
    <row r="2236" spans="1:20" x14ac:dyDescent="0.25">
      <c r="A2236" s="364" t="s">
        <v>5432</v>
      </c>
      <c r="B2236" s="361" t="s">
        <v>4264</v>
      </c>
      <c r="C2236" t="s">
        <v>1920</v>
      </c>
      <c r="D2236" s="361">
        <v>15</v>
      </c>
      <c r="E2236" s="364"/>
      <c r="F2236" s="361" t="s">
        <v>1917</v>
      </c>
      <c r="T2236" s="361">
        <v>49.6</v>
      </c>
    </row>
    <row r="2237" spans="1:20" x14ac:dyDescent="0.25">
      <c r="A2237" s="364" t="s">
        <v>5433</v>
      </c>
      <c r="B2237" s="361" t="s">
        <v>4159</v>
      </c>
      <c r="C2237" t="s">
        <v>1920</v>
      </c>
      <c r="D2237" s="361">
        <v>24</v>
      </c>
      <c r="E2237" s="364"/>
      <c r="F2237" s="361" t="s">
        <v>1921</v>
      </c>
      <c r="T2237" s="361">
        <v>0.17712</v>
      </c>
    </row>
    <row r="2238" spans="1:20" x14ac:dyDescent="0.25">
      <c r="A2238" s="364" t="s">
        <v>5434</v>
      </c>
      <c r="B2238" s="361" t="s">
        <v>4226</v>
      </c>
      <c r="C2238" t="s">
        <v>1920</v>
      </c>
      <c r="D2238" s="361">
        <v>15</v>
      </c>
      <c r="E2238" s="364"/>
      <c r="F2238" s="361" t="s">
        <v>1917</v>
      </c>
      <c r="T2238" s="361">
        <v>39.4</v>
      </c>
    </row>
    <row r="2239" spans="1:20" x14ac:dyDescent="0.25">
      <c r="A2239" s="364" t="s">
        <v>5435</v>
      </c>
      <c r="B2239" s="361" t="s">
        <v>4628</v>
      </c>
      <c r="C2239" t="s">
        <v>1920</v>
      </c>
      <c r="D2239" s="361">
        <v>24</v>
      </c>
      <c r="E2239" s="364"/>
      <c r="F2239" s="361" t="s">
        <v>1921</v>
      </c>
      <c r="T2239" s="361">
        <v>0.22144</v>
      </c>
    </row>
    <row r="2240" spans="1:20" x14ac:dyDescent="0.25">
      <c r="A2240" s="364" t="s">
        <v>5436</v>
      </c>
      <c r="B2240" s="361" t="s">
        <v>4228</v>
      </c>
      <c r="C2240" t="s">
        <v>1920</v>
      </c>
      <c r="D2240" s="361">
        <v>15</v>
      </c>
      <c r="E2240" s="364"/>
      <c r="F2240" s="361" t="s">
        <v>1917</v>
      </c>
      <c r="T2240" s="361">
        <v>39.4</v>
      </c>
    </row>
    <row r="2241" spans="1:20" x14ac:dyDescent="0.25">
      <c r="A2241" s="364" t="s">
        <v>5437</v>
      </c>
      <c r="B2241" s="361" t="s">
        <v>4161</v>
      </c>
      <c r="C2241" t="s">
        <v>1920</v>
      </c>
      <c r="D2241" s="361">
        <v>24</v>
      </c>
      <c r="E2241" s="364"/>
      <c r="F2241" s="361" t="s">
        <v>1921</v>
      </c>
      <c r="T2241" s="361">
        <v>0.22982</v>
      </c>
    </row>
    <row r="2242" spans="1:20" x14ac:dyDescent="0.25">
      <c r="A2242" s="364" t="s">
        <v>5438</v>
      </c>
      <c r="B2242" s="361" t="s">
        <v>4163</v>
      </c>
      <c r="C2242" t="s">
        <v>1920</v>
      </c>
      <c r="D2242" s="361">
        <v>20</v>
      </c>
      <c r="E2242" s="364"/>
      <c r="F2242" s="361" t="s">
        <v>1921</v>
      </c>
      <c r="T2242" s="361">
        <v>3.4200000000000001E-2</v>
      </c>
    </row>
    <row r="2243" spans="1:20" x14ac:dyDescent="0.25">
      <c r="A2243" s="364" t="s">
        <v>5439</v>
      </c>
      <c r="B2243" s="361" t="s">
        <v>5440</v>
      </c>
      <c r="C2243" t="s">
        <v>1920</v>
      </c>
      <c r="D2243" s="361">
        <v>11</v>
      </c>
      <c r="E2243" s="364"/>
      <c r="F2243" s="361" t="s">
        <v>1921</v>
      </c>
      <c r="T2243" s="361">
        <v>0.54047999999999996</v>
      </c>
    </row>
    <row r="2244" spans="1:20" x14ac:dyDescent="0.25">
      <c r="A2244" s="364" t="s">
        <v>5441</v>
      </c>
      <c r="B2244" s="361" t="s">
        <v>5442</v>
      </c>
      <c r="C2244" t="s">
        <v>1920</v>
      </c>
      <c r="D2244" s="361">
        <v>11</v>
      </c>
      <c r="E2244" s="364"/>
      <c r="F2244" s="361" t="s">
        <v>1921</v>
      </c>
      <c r="T2244" s="361">
        <v>0.68388000000000004</v>
      </c>
    </row>
    <row r="2245" spans="1:20" x14ac:dyDescent="0.25">
      <c r="A2245" s="364" t="s">
        <v>5443</v>
      </c>
      <c r="B2245" s="361" t="s">
        <v>2003</v>
      </c>
      <c r="C2245" t="s">
        <v>1920</v>
      </c>
      <c r="D2245" s="361">
        <v>15</v>
      </c>
      <c r="E2245" s="364"/>
      <c r="F2245" s="361" t="s">
        <v>1917</v>
      </c>
      <c r="T2245" s="361">
        <v>25.7</v>
      </c>
    </row>
    <row r="2246" spans="1:20" x14ac:dyDescent="0.25">
      <c r="A2246" s="364" t="s">
        <v>5444</v>
      </c>
      <c r="B2246" s="361" t="s">
        <v>4404</v>
      </c>
      <c r="C2246" t="s">
        <v>1920</v>
      </c>
      <c r="D2246" s="361">
        <v>24</v>
      </c>
      <c r="E2246" s="364"/>
      <c r="F2246" s="361" t="s">
        <v>1921</v>
      </c>
      <c r="T2246" s="361">
        <v>0.11638999999999999</v>
      </c>
    </row>
    <row r="2247" spans="1:20" x14ac:dyDescent="0.25">
      <c r="A2247" s="364" t="s">
        <v>5445</v>
      </c>
      <c r="B2247" s="361" t="s">
        <v>5065</v>
      </c>
      <c r="C2247" t="s">
        <v>1920</v>
      </c>
      <c r="D2247" s="361">
        <v>20</v>
      </c>
      <c r="E2247" s="364"/>
      <c r="F2247" s="361" t="s">
        <v>1921</v>
      </c>
      <c r="T2247" s="361">
        <v>3.0810000000000001E-2</v>
      </c>
    </row>
    <row r="2248" spans="1:20" x14ac:dyDescent="0.25">
      <c r="A2248" s="364" t="s">
        <v>5446</v>
      </c>
      <c r="B2248" s="361" t="s">
        <v>5063</v>
      </c>
      <c r="C2248" t="s">
        <v>1920</v>
      </c>
      <c r="D2248" s="361">
        <v>20</v>
      </c>
      <c r="E2248" s="364"/>
      <c r="F2248" s="361" t="s">
        <v>1921</v>
      </c>
      <c r="T2248" s="361">
        <v>3.0810000000000001E-2</v>
      </c>
    </row>
    <row r="2249" spans="1:20" x14ac:dyDescent="0.25">
      <c r="A2249" s="364" t="s">
        <v>5447</v>
      </c>
      <c r="B2249" s="361" t="s">
        <v>5448</v>
      </c>
      <c r="C2249" t="s">
        <v>1920</v>
      </c>
      <c r="D2249" s="361">
        <v>18</v>
      </c>
      <c r="E2249" s="364"/>
      <c r="F2249" s="361" t="s">
        <v>1921</v>
      </c>
      <c r="T2249" s="361">
        <v>0.26200000000000001</v>
      </c>
    </row>
    <row r="2250" spans="1:20" x14ac:dyDescent="0.25">
      <c r="A2250" s="364" t="s">
        <v>5449</v>
      </c>
      <c r="B2250" s="361" t="s">
        <v>4534</v>
      </c>
      <c r="C2250" t="s">
        <v>1920</v>
      </c>
      <c r="D2250" s="361">
        <v>18</v>
      </c>
      <c r="E2250" s="364"/>
      <c r="F2250" s="361" t="s">
        <v>1921</v>
      </c>
      <c r="T2250" s="361">
        <v>0.31291000000000002</v>
      </c>
    </row>
    <row r="2251" spans="1:20" x14ac:dyDescent="0.25">
      <c r="A2251" s="364" t="s">
        <v>5450</v>
      </c>
      <c r="B2251" s="361" t="s">
        <v>5451</v>
      </c>
      <c r="C2251" t="s">
        <v>1920</v>
      </c>
      <c r="D2251" s="361">
        <v>18</v>
      </c>
      <c r="E2251" s="364"/>
      <c r="F2251" s="361" t="s">
        <v>1921</v>
      </c>
      <c r="T2251" s="361">
        <v>0.20100000000000001</v>
      </c>
    </row>
    <row r="2252" spans="1:20" x14ac:dyDescent="0.25">
      <c r="A2252" s="364" t="s">
        <v>5452</v>
      </c>
      <c r="B2252" s="361" t="s">
        <v>4024</v>
      </c>
      <c r="C2252" t="s">
        <v>1920</v>
      </c>
      <c r="D2252" s="361">
        <v>18</v>
      </c>
      <c r="E2252" s="364"/>
      <c r="F2252" s="361" t="s">
        <v>1921</v>
      </c>
      <c r="T2252" s="361">
        <v>0.24349999999999999</v>
      </c>
    </row>
    <row r="2253" spans="1:20" x14ac:dyDescent="0.25">
      <c r="A2253" s="364" t="s">
        <v>5453</v>
      </c>
      <c r="B2253" s="361" t="s">
        <v>4026</v>
      </c>
      <c r="C2253" t="s">
        <v>1920</v>
      </c>
      <c r="D2253" s="361">
        <v>18</v>
      </c>
      <c r="E2253" s="364"/>
      <c r="F2253" s="361" t="s">
        <v>1921</v>
      </c>
      <c r="T2253" s="361">
        <v>0.28129999999999999</v>
      </c>
    </row>
    <row r="2254" spans="1:20" x14ac:dyDescent="0.25">
      <c r="A2254" s="364" t="s">
        <v>5454</v>
      </c>
      <c r="B2254" s="361" t="s">
        <v>4028</v>
      </c>
      <c r="C2254" t="s">
        <v>1920</v>
      </c>
      <c r="D2254" s="361">
        <v>18</v>
      </c>
      <c r="E2254" s="364"/>
      <c r="F2254" s="361" t="s">
        <v>1921</v>
      </c>
      <c r="T2254" s="361">
        <v>0.31419999999999998</v>
      </c>
    </row>
    <row r="2255" spans="1:20" x14ac:dyDescent="0.25">
      <c r="A2255" s="364" t="s">
        <v>5455</v>
      </c>
      <c r="B2255" s="361" t="s">
        <v>4030</v>
      </c>
      <c r="C2255" t="s">
        <v>1920</v>
      </c>
      <c r="D2255" s="361">
        <v>18</v>
      </c>
      <c r="E2255" s="364"/>
      <c r="F2255" s="361" t="s">
        <v>1921</v>
      </c>
      <c r="T2255" s="361">
        <v>0.24349999999999999</v>
      </c>
    </row>
    <row r="2256" spans="1:20" x14ac:dyDescent="0.25">
      <c r="A2256" s="364" t="s">
        <v>5456</v>
      </c>
      <c r="B2256" s="361" t="s">
        <v>5457</v>
      </c>
      <c r="C2256" t="s">
        <v>1920</v>
      </c>
      <c r="D2256" s="361">
        <v>18</v>
      </c>
      <c r="E2256" s="364"/>
      <c r="F2256" s="361" t="s">
        <v>1921</v>
      </c>
      <c r="T2256" s="361">
        <v>0.28170000000000001</v>
      </c>
    </row>
    <row r="2257" spans="1:20" x14ac:dyDescent="0.25">
      <c r="A2257" s="364" t="s">
        <v>5458</v>
      </c>
      <c r="B2257" s="361" t="s">
        <v>5459</v>
      </c>
      <c r="C2257" t="s">
        <v>1920</v>
      </c>
      <c r="D2257" s="361">
        <v>18</v>
      </c>
      <c r="E2257" s="364"/>
      <c r="F2257" s="361" t="s">
        <v>1921</v>
      </c>
      <c r="T2257" s="361">
        <v>0.32950000000000002</v>
      </c>
    </row>
    <row r="2258" spans="1:20" x14ac:dyDescent="0.25">
      <c r="A2258" s="364" t="s">
        <v>5460</v>
      </c>
      <c r="B2258" s="361" t="s">
        <v>5461</v>
      </c>
      <c r="C2258" t="s">
        <v>1920</v>
      </c>
      <c r="D2258" s="361">
        <v>18</v>
      </c>
      <c r="E2258" s="364"/>
      <c r="F2258" s="361" t="s">
        <v>1921</v>
      </c>
      <c r="T2258" s="361">
        <v>0.2107</v>
      </c>
    </row>
    <row r="2259" spans="1:20" x14ac:dyDescent="0.25">
      <c r="A2259" s="364" t="s">
        <v>5462</v>
      </c>
      <c r="B2259" s="361" t="s">
        <v>5463</v>
      </c>
      <c r="C2259" t="s">
        <v>1920</v>
      </c>
      <c r="D2259" s="361">
        <v>18</v>
      </c>
      <c r="E2259" s="364"/>
      <c r="F2259" s="361" t="s">
        <v>1921</v>
      </c>
      <c r="T2259" s="361">
        <v>0.24349999999999999</v>
      </c>
    </row>
    <row r="2260" spans="1:20" x14ac:dyDescent="0.25">
      <c r="A2260" s="364" t="s">
        <v>5464</v>
      </c>
      <c r="B2260" s="361" t="s">
        <v>5465</v>
      </c>
      <c r="C2260" t="s">
        <v>1920</v>
      </c>
      <c r="D2260" s="361">
        <v>18</v>
      </c>
      <c r="E2260" s="364"/>
      <c r="F2260" s="361" t="s">
        <v>1921</v>
      </c>
      <c r="T2260" s="361">
        <v>0.28010000000000002</v>
      </c>
    </row>
    <row r="2261" spans="1:20" x14ac:dyDescent="0.25">
      <c r="A2261" s="364" t="s">
        <v>5466</v>
      </c>
      <c r="B2261" s="361" t="s">
        <v>4044</v>
      </c>
      <c r="C2261" t="s">
        <v>1920</v>
      </c>
      <c r="D2261" s="361">
        <v>18</v>
      </c>
      <c r="E2261" s="364"/>
      <c r="F2261" s="361" t="s">
        <v>1921</v>
      </c>
      <c r="T2261" s="361">
        <v>0.25879999999999997</v>
      </c>
    </row>
    <row r="2262" spans="1:20" x14ac:dyDescent="0.25">
      <c r="A2262" s="364" t="s">
        <v>5467</v>
      </c>
      <c r="B2262" s="361" t="s">
        <v>4046</v>
      </c>
      <c r="C2262" t="s">
        <v>1920</v>
      </c>
      <c r="D2262" s="361">
        <v>18</v>
      </c>
      <c r="E2262" s="364"/>
      <c r="F2262" s="361" t="s">
        <v>1921</v>
      </c>
      <c r="T2262" s="361">
        <v>0.28010000000000002</v>
      </c>
    </row>
    <row r="2263" spans="1:20" x14ac:dyDescent="0.25">
      <c r="A2263" s="364" t="s">
        <v>5468</v>
      </c>
      <c r="B2263" s="361" t="s">
        <v>5469</v>
      </c>
      <c r="C2263" t="s">
        <v>1920</v>
      </c>
      <c r="D2263" s="361">
        <v>18</v>
      </c>
      <c r="E2263" s="364"/>
      <c r="F2263" s="361" t="s">
        <v>1921</v>
      </c>
      <c r="T2263" s="361">
        <v>0.29829</v>
      </c>
    </row>
    <row r="2264" spans="1:20" x14ac:dyDescent="0.25">
      <c r="A2264" s="364" t="s">
        <v>5470</v>
      </c>
      <c r="B2264" s="361" t="s">
        <v>4538</v>
      </c>
      <c r="C2264" t="s">
        <v>1920</v>
      </c>
      <c r="D2264" s="361">
        <v>18</v>
      </c>
      <c r="E2264" s="364"/>
      <c r="F2264" s="361" t="s">
        <v>1921</v>
      </c>
      <c r="T2264" s="361">
        <v>0.28149999999999997</v>
      </c>
    </row>
    <row r="2265" spans="1:20" x14ac:dyDescent="0.25">
      <c r="A2265" s="364" t="s">
        <v>5471</v>
      </c>
      <c r="B2265" s="361" t="s">
        <v>5472</v>
      </c>
      <c r="C2265" t="s">
        <v>1920</v>
      </c>
      <c r="D2265" s="361">
        <v>18</v>
      </c>
      <c r="E2265" s="364"/>
      <c r="F2265" s="361" t="s">
        <v>1921</v>
      </c>
      <c r="T2265" s="361">
        <v>0.26619999999999999</v>
      </c>
    </row>
    <row r="2266" spans="1:20" x14ac:dyDescent="0.25">
      <c r="A2266" s="364" t="s">
        <v>5473</v>
      </c>
      <c r="B2266" s="361" t="s">
        <v>5474</v>
      </c>
      <c r="C2266" t="s">
        <v>1920</v>
      </c>
      <c r="D2266" s="361">
        <v>18</v>
      </c>
      <c r="E2266" s="364"/>
      <c r="F2266" s="361" t="s">
        <v>1921</v>
      </c>
      <c r="T2266" s="361">
        <v>0.3</v>
      </c>
    </row>
    <row r="2267" spans="1:20" x14ac:dyDescent="0.25">
      <c r="A2267" s="364" t="s">
        <v>5475</v>
      </c>
      <c r="B2267" s="361" t="s">
        <v>5476</v>
      </c>
      <c r="C2267" t="s">
        <v>1920</v>
      </c>
      <c r="D2267" s="361">
        <v>18</v>
      </c>
      <c r="E2267" s="364"/>
      <c r="F2267" s="361" t="s">
        <v>1921</v>
      </c>
      <c r="T2267" s="361">
        <v>0.26619999999999999</v>
      </c>
    </row>
    <row r="2268" spans="1:20" x14ac:dyDescent="0.25">
      <c r="A2268" s="364" t="s">
        <v>5477</v>
      </c>
      <c r="B2268" s="361" t="s">
        <v>5478</v>
      </c>
      <c r="C2268" t="s">
        <v>1920</v>
      </c>
      <c r="D2268" s="361">
        <v>18</v>
      </c>
      <c r="E2268" s="364"/>
      <c r="F2268" s="361" t="s">
        <v>1921</v>
      </c>
      <c r="T2268" s="361">
        <v>0.23336000000000001</v>
      </c>
    </row>
    <row r="2269" spans="1:20" x14ac:dyDescent="0.25">
      <c r="A2269" s="364" t="s">
        <v>5479</v>
      </c>
      <c r="B2269" s="361" t="s">
        <v>5480</v>
      </c>
      <c r="C2269" t="s">
        <v>1920</v>
      </c>
      <c r="D2269" s="361">
        <v>18</v>
      </c>
      <c r="E2269" s="364"/>
      <c r="F2269" s="361" t="s">
        <v>1921</v>
      </c>
      <c r="T2269" s="361">
        <v>0.30280000000000001</v>
      </c>
    </row>
    <row r="2270" spans="1:20" x14ac:dyDescent="0.25">
      <c r="A2270" s="364" t="s">
        <v>5481</v>
      </c>
      <c r="B2270" s="361" t="s">
        <v>5482</v>
      </c>
      <c r="C2270" t="s">
        <v>1920</v>
      </c>
      <c r="D2270" s="361">
        <v>18</v>
      </c>
      <c r="E2270" s="364"/>
      <c r="F2270" s="361" t="s">
        <v>1921</v>
      </c>
      <c r="T2270" s="361">
        <v>0.36377999999999999</v>
      </c>
    </row>
    <row r="2271" spans="1:20" x14ac:dyDescent="0.25">
      <c r="A2271" s="364" t="s">
        <v>5483</v>
      </c>
      <c r="B2271" s="361" t="s">
        <v>5484</v>
      </c>
      <c r="C2271" t="s">
        <v>1920</v>
      </c>
      <c r="D2271" s="361">
        <v>18</v>
      </c>
      <c r="E2271" s="364"/>
      <c r="F2271" s="361" t="s">
        <v>1921</v>
      </c>
      <c r="T2271" s="361">
        <v>0.316</v>
      </c>
    </row>
    <row r="2272" spans="1:20" x14ac:dyDescent="0.25">
      <c r="A2272" s="364" t="s">
        <v>5485</v>
      </c>
      <c r="B2272" s="361" t="s">
        <v>5486</v>
      </c>
      <c r="C2272" t="s">
        <v>1920</v>
      </c>
      <c r="D2272" s="361">
        <v>18</v>
      </c>
      <c r="E2272" s="364"/>
      <c r="F2272" s="361" t="s">
        <v>1921</v>
      </c>
      <c r="T2272" s="361">
        <v>0.26619999999999999</v>
      </c>
    </row>
    <row r="2273" spans="1:20" x14ac:dyDescent="0.25">
      <c r="A2273" s="364" t="s">
        <v>5487</v>
      </c>
      <c r="B2273" s="361" t="s">
        <v>5488</v>
      </c>
      <c r="C2273" t="s">
        <v>1920</v>
      </c>
      <c r="D2273" s="361">
        <v>18</v>
      </c>
      <c r="E2273" s="364"/>
      <c r="F2273" s="361" t="s">
        <v>1921</v>
      </c>
      <c r="T2273" s="361">
        <v>0.29699999999999999</v>
      </c>
    </row>
    <row r="2274" spans="1:20" x14ac:dyDescent="0.25">
      <c r="A2274" s="364" t="s">
        <v>5489</v>
      </c>
      <c r="B2274" s="361" t="s">
        <v>5490</v>
      </c>
      <c r="C2274" t="s">
        <v>1920</v>
      </c>
      <c r="D2274" s="361">
        <v>24</v>
      </c>
      <c r="E2274" s="364"/>
      <c r="F2274" s="361" t="s">
        <v>1921</v>
      </c>
      <c r="T2274" s="361">
        <v>4.4970000000000003E-2</v>
      </c>
    </row>
    <row r="2275" spans="1:20" x14ac:dyDescent="0.25">
      <c r="A2275" s="364" t="s">
        <v>5491</v>
      </c>
      <c r="B2275" s="361" t="s">
        <v>5492</v>
      </c>
      <c r="C2275" t="s">
        <v>1920</v>
      </c>
      <c r="D2275" s="361">
        <v>24</v>
      </c>
      <c r="E2275" s="364"/>
      <c r="F2275" s="361" t="s">
        <v>1921</v>
      </c>
      <c r="T2275" s="361">
        <v>6.6030000000000005E-2</v>
      </c>
    </row>
    <row r="2276" spans="1:20" x14ac:dyDescent="0.25">
      <c r="A2276" s="364" t="s">
        <v>5493</v>
      </c>
      <c r="B2276" s="361" t="s">
        <v>5494</v>
      </c>
      <c r="C2276" t="s">
        <v>1920</v>
      </c>
      <c r="D2276" s="361">
        <v>24</v>
      </c>
      <c r="E2276" s="364"/>
      <c r="F2276" s="361" t="s">
        <v>1921</v>
      </c>
      <c r="T2276" s="361">
        <v>0.18115000000000001</v>
      </c>
    </row>
    <row r="2277" spans="1:20" x14ac:dyDescent="0.25">
      <c r="A2277" s="364" t="s">
        <v>5495</v>
      </c>
      <c r="B2277" s="361" t="s">
        <v>5496</v>
      </c>
      <c r="C2277" t="s">
        <v>1920</v>
      </c>
      <c r="D2277" s="361">
        <v>24</v>
      </c>
      <c r="E2277" s="364"/>
      <c r="F2277" s="361" t="s">
        <v>1921</v>
      </c>
      <c r="T2277" s="361">
        <v>0.25553999999999999</v>
      </c>
    </row>
    <row r="2278" spans="1:20" x14ac:dyDescent="0.25">
      <c r="A2278" s="364" t="s">
        <v>5497</v>
      </c>
      <c r="B2278" s="361" t="s">
        <v>5498</v>
      </c>
      <c r="C2278" t="s">
        <v>1920</v>
      </c>
      <c r="D2278" s="361">
        <v>24</v>
      </c>
      <c r="E2278" s="364"/>
      <c r="F2278" s="361" t="s">
        <v>1921</v>
      </c>
      <c r="T2278" s="361">
        <v>7.3999999999999996E-2</v>
      </c>
    </row>
    <row r="2279" spans="1:20" x14ac:dyDescent="0.25">
      <c r="A2279" s="364" t="s">
        <v>5499</v>
      </c>
      <c r="B2279" s="361" t="s">
        <v>5500</v>
      </c>
      <c r="C2279" t="s">
        <v>1920</v>
      </c>
      <c r="D2279" s="361">
        <v>24</v>
      </c>
      <c r="E2279" s="364"/>
      <c r="F2279" s="361" t="s">
        <v>1921</v>
      </c>
      <c r="T2279" s="361">
        <v>0.15723999999999999</v>
      </c>
    </row>
    <row r="2280" spans="1:20" x14ac:dyDescent="0.25">
      <c r="A2280" s="364" t="s">
        <v>5501</v>
      </c>
      <c r="B2280" s="361" t="s">
        <v>5502</v>
      </c>
      <c r="C2280" t="s">
        <v>1920</v>
      </c>
      <c r="D2280" s="361">
        <v>24</v>
      </c>
      <c r="E2280" s="364"/>
      <c r="F2280" s="361" t="s">
        <v>1921</v>
      </c>
      <c r="T2280" s="361">
        <v>0.13481000000000001</v>
      </c>
    </row>
    <row r="2281" spans="1:20" x14ac:dyDescent="0.25">
      <c r="A2281" s="364" t="s">
        <v>5503</v>
      </c>
      <c r="B2281" s="361" t="s">
        <v>5504</v>
      </c>
      <c r="C2281" t="s">
        <v>1920</v>
      </c>
      <c r="D2281" s="361">
        <v>50</v>
      </c>
      <c r="E2281" s="364"/>
      <c r="F2281" s="361" t="s">
        <v>1921</v>
      </c>
      <c r="T2281" s="361">
        <v>8.7400000000000005E-2</v>
      </c>
    </row>
    <row r="2282" spans="1:20" x14ac:dyDescent="0.25">
      <c r="A2282" s="364" t="s">
        <v>5505</v>
      </c>
      <c r="B2282" s="361" t="s">
        <v>5506</v>
      </c>
      <c r="C2282" t="s">
        <v>1920</v>
      </c>
      <c r="D2282" s="361">
        <v>54</v>
      </c>
      <c r="E2282" s="364"/>
      <c r="F2282" s="361" t="s">
        <v>1921</v>
      </c>
      <c r="T2282" s="361">
        <v>0.3493</v>
      </c>
    </row>
    <row r="2283" spans="1:20" x14ac:dyDescent="0.25">
      <c r="A2283" s="364" t="s">
        <v>1178</v>
      </c>
      <c r="B2283" s="361" t="s">
        <v>1179</v>
      </c>
      <c r="C2283" t="s">
        <v>1916</v>
      </c>
      <c r="D2283" s="361">
        <v>2</v>
      </c>
      <c r="E2283" s="364"/>
      <c r="F2283" s="361" t="s">
        <v>1917</v>
      </c>
      <c r="T2283" s="361">
        <v>388.4</v>
      </c>
    </row>
    <row r="2284" spans="1:20" x14ac:dyDescent="0.25">
      <c r="A2284" s="364" t="s">
        <v>5507</v>
      </c>
      <c r="B2284" s="361" t="s">
        <v>5508</v>
      </c>
      <c r="C2284" t="s">
        <v>1920</v>
      </c>
      <c r="D2284" s="361">
        <v>50</v>
      </c>
      <c r="E2284" s="364"/>
      <c r="F2284" s="361" t="s">
        <v>1921</v>
      </c>
      <c r="T2284" s="361">
        <v>5.1180000000000003E-2</v>
      </c>
    </row>
    <row r="2285" spans="1:20" x14ac:dyDescent="0.25">
      <c r="A2285" s="364" t="s">
        <v>5509</v>
      </c>
      <c r="B2285" s="361" t="s">
        <v>5510</v>
      </c>
      <c r="C2285" t="s">
        <v>1920</v>
      </c>
      <c r="D2285" s="361">
        <v>50</v>
      </c>
      <c r="E2285" s="364"/>
      <c r="F2285" s="361" t="s">
        <v>1921</v>
      </c>
      <c r="T2285" s="361">
        <v>5.1180000000000003E-2</v>
      </c>
    </row>
    <row r="2286" spans="1:20" x14ac:dyDescent="0.25">
      <c r="A2286" s="364" t="s">
        <v>5511</v>
      </c>
      <c r="B2286" s="361" t="s">
        <v>5512</v>
      </c>
      <c r="C2286" t="s">
        <v>1920</v>
      </c>
      <c r="D2286" s="361">
        <v>26</v>
      </c>
      <c r="E2286" s="364"/>
      <c r="F2286" s="361" t="s">
        <v>1921</v>
      </c>
      <c r="T2286" s="361">
        <v>0.29599999999999999</v>
      </c>
    </row>
    <row r="2287" spans="1:20" x14ac:dyDescent="0.25">
      <c r="A2287" s="364" t="s">
        <v>5513</v>
      </c>
      <c r="B2287" s="361" t="s">
        <v>5514</v>
      </c>
      <c r="C2287" t="s">
        <v>1920</v>
      </c>
      <c r="D2287" s="361">
        <v>26</v>
      </c>
      <c r="E2287" s="364"/>
      <c r="F2287" s="361" t="s">
        <v>1921</v>
      </c>
      <c r="T2287" s="361">
        <v>0.29599999999999999</v>
      </c>
    </row>
    <row r="2288" spans="1:20" x14ac:dyDescent="0.25">
      <c r="A2288" s="364" t="s">
        <v>5515</v>
      </c>
      <c r="B2288" s="361" t="s">
        <v>5516</v>
      </c>
      <c r="C2288" t="s">
        <v>1920</v>
      </c>
      <c r="D2288" s="361">
        <v>26</v>
      </c>
      <c r="E2288" s="364"/>
      <c r="F2288" s="361" t="s">
        <v>1921</v>
      </c>
      <c r="T2288" s="361">
        <v>0.42599999999999999</v>
      </c>
    </row>
    <row r="2289" spans="1:20" x14ac:dyDescent="0.25">
      <c r="A2289" s="364" t="s">
        <v>5517</v>
      </c>
      <c r="B2289" s="361" t="s">
        <v>5518</v>
      </c>
      <c r="C2289" t="s">
        <v>1920</v>
      </c>
      <c r="D2289" s="361">
        <v>26</v>
      </c>
      <c r="E2289" s="364"/>
      <c r="F2289" s="361" t="s">
        <v>1921</v>
      </c>
      <c r="T2289" s="361">
        <v>0.36799999999999999</v>
      </c>
    </row>
    <row r="2290" spans="1:20" x14ac:dyDescent="0.25">
      <c r="A2290" s="364" t="s">
        <v>5519</v>
      </c>
      <c r="B2290" s="361" t="s">
        <v>5520</v>
      </c>
      <c r="C2290" t="s">
        <v>1920</v>
      </c>
      <c r="D2290" s="361">
        <v>26</v>
      </c>
      <c r="E2290" s="364"/>
      <c r="F2290" s="361" t="s">
        <v>1921</v>
      </c>
      <c r="T2290" s="361">
        <v>0.36799999999999999</v>
      </c>
    </row>
    <row r="2291" spans="1:20" x14ac:dyDescent="0.25">
      <c r="A2291" s="364" t="s">
        <v>5521</v>
      </c>
      <c r="B2291" s="361" t="s">
        <v>5522</v>
      </c>
      <c r="C2291" t="s">
        <v>1920</v>
      </c>
      <c r="D2291" s="361">
        <v>26</v>
      </c>
      <c r="E2291" s="364"/>
      <c r="F2291" s="361" t="s">
        <v>1921</v>
      </c>
      <c r="T2291" s="361">
        <v>0.36799999999999999</v>
      </c>
    </row>
    <row r="2292" spans="1:20" x14ac:dyDescent="0.25">
      <c r="A2292" s="364" t="s">
        <v>5523</v>
      </c>
      <c r="B2292" s="361" t="s">
        <v>5524</v>
      </c>
      <c r="C2292" t="s">
        <v>1920</v>
      </c>
      <c r="D2292" s="361">
        <v>26</v>
      </c>
      <c r="E2292" s="364"/>
      <c r="F2292" s="361" t="s">
        <v>1921</v>
      </c>
      <c r="T2292" s="361">
        <v>0.36799999999999999</v>
      </c>
    </row>
    <row r="2293" spans="1:20" x14ac:dyDescent="0.25">
      <c r="A2293" s="364" t="s">
        <v>5525</v>
      </c>
      <c r="B2293" s="361" t="s">
        <v>5526</v>
      </c>
      <c r="C2293" t="s">
        <v>1920</v>
      </c>
      <c r="D2293" s="361">
        <v>27</v>
      </c>
      <c r="E2293" s="364"/>
      <c r="F2293" s="361" t="s">
        <v>1921</v>
      </c>
      <c r="T2293" s="361">
        <v>1.0149999999999999</v>
      </c>
    </row>
    <row r="2294" spans="1:20" x14ac:dyDescent="0.25">
      <c r="A2294" s="364" t="s">
        <v>5527</v>
      </c>
      <c r="B2294" s="361" t="s">
        <v>5528</v>
      </c>
      <c r="C2294" t="s">
        <v>1920</v>
      </c>
      <c r="D2294" s="361">
        <v>27</v>
      </c>
      <c r="E2294" s="364"/>
      <c r="F2294" s="361" t="s">
        <v>1921</v>
      </c>
      <c r="T2294" s="361">
        <v>1.01</v>
      </c>
    </row>
    <row r="2295" spans="1:20" x14ac:dyDescent="0.25">
      <c r="A2295" s="364" t="s">
        <v>5529</v>
      </c>
      <c r="B2295" s="361" t="s">
        <v>5530</v>
      </c>
      <c r="C2295" t="s">
        <v>1920</v>
      </c>
      <c r="D2295" s="361">
        <v>27</v>
      </c>
      <c r="E2295" s="364"/>
      <c r="F2295" s="361" t="s">
        <v>1921</v>
      </c>
      <c r="T2295" s="361">
        <v>0.98799999999999999</v>
      </c>
    </row>
    <row r="2296" spans="1:20" x14ac:dyDescent="0.25">
      <c r="A2296" s="364" t="s">
        <v>5531</v>
      </c>
      <c r="B2296" s="361" t="s">
        <v>5532</v>
      </c>
      <c r="C2296" t="s">
        <v>1920</v>
      </c>
      <c r="D2296" s="361">
        <v>27</v>
      </c>
      <c r="E2296" s="364"/>
      <c r="F2296" s="361" t="s">
        <v>1921</v>
      </c>
      <c r="T2296" s="361">
        <v>0.39800000000000002</v>
      </c>
    </row>
    <row r="2297" spans="1:20" x14ac:dyDescent="0.25">
      <c r="A2297" s="364" t="s">
        <v>5533</v>
      </c>
      <c r="B2297" s="361" t="s">
        <v>5534</v>
      </c>
      <c r="C2297" t="s">
        <v>1920</v>
      </c>
      <c r="D2297" s="361">
        <v>27</v>
      </c>
      <c r="E2297" s="364"/>
      <c r="F2297" s="361" t="s">
        <v>1921</v>
      </c>
      <c r="T2297" s="361">
        <v>0.32300000000000001</v>
      </c>
    </row>
    <row r="2298" spans="1:20" x14ac:dyDescent="0.25">
      <c r="A2298" s="364" t="s">
        <v>5535</v>
      </c>
      <c r="B2298" s="361" t="s">
        <v>5536</v>
      </c>
      <c r="C2298" t="s">
        <v>1920</v>
      </c>
      <c r="D2298" s="361">
        <v>12</v>
      </c>
      <c r="E2298" s="364"/>
      <c r="F2298" s="361" t="s">
        <v>1921</v>
      </c>
      <c r="T2298" s="361">
        <v>0.14499999999999999</v>
      </c>
    </row>
    <row r="2299" spans="1:20" x14ac:dyDescent="0.25">
      <c r="A2299" s="364" t="s">
        <v>5537</v>
      </c>
      <c r="B2299" s="361" t="s">
        <v>5538</v>
      </c>
      <c r="C2299" t="s">
        <v>1920</v>
      </c>
      <c r="D2299" s="361">
        <v>12</v>
      </c>
      <c r="E2299" s="364"/>
      <c r="F2299" s="361" t="s">
        <v>1921</v>
      </c>
      <c r="T2299" s="361">
        <v>5.3999999999999999E-2</v>
      </c>
    </row>
    <row r="2300" spans="1:20" x14ac:dyDescent="0.25">
      <c r="A2300" s="364" t="s">
        <v>5539</v>
      </c>
      <c r="B2300" s="361" t="s">
        <v>5540</v>
      </c>
      <c r="C2300" t="s">
        <v>1920</v>
      </c>
      <c r="D2300" s="361">
        <v>20</v>
      </c>
      <c r="E2300" s="364"/>
      <c r="F2300" s="361" t="s">
        <v>1921</v>
      </c>
      <c r="T2300" s="361">
        <v>3.8199999999999998E-2</v>
      </c>
    </row>
    <row r="2301" spans="1:20" x14ac:dyDescent="0.25">
      <c r="A2301" s="364" t="s">
        <v>5541</v>
      </c>
      <c r="B2301" s="361" t="s">
        <v>5542</v>
      </c>
      <c r="C2301" t="s">
        <v>1920</v>
      </c>
      <c r="D2301" s="361">
        <v>24</v>
      </c>
      <c r="E2301" s="364"/>
      <c r="F2301" s="361" t="s">
        <v>1921</v>
      </c>
      <c r="T2301" s="361">
        <v>0.1245</v>
      </c>
    </row>
    <row r="2302" spans="1:20" x14ac:dyDescent="0.25">
      <c r="A2302" s="364" t="s">
        <v>5543</v>
      </c>
      <c r="B2302" s="361" t="s">
        <v>5544</v>
      </c>
      <c r="C2302" t="s">
        <v>1920</v>
      </c>
      <c r="D2302" s="361">
        <v>20</v>
      </c>
      <c r="E2302" s="364"/>
      <c r="F2302" s="361" t="s">
        <v>1921</v>
      </c>
      <c r="T2302" s="361">
        <v>1.8120000000000001E-2</v>
      </c>
    </row>
    <row r="2303" spans="1:20" x14ac:dyDescent="0.25">
      <c r="A2303" s="364" t="s">
        <v>5545</v>
      </c>
      <c r="B2303" s="361" t="s">
        <v>5546</v>
      </c>
      <c r="C2303" t="s">
        <v>1920</v>
      </c>
      <c r="D2303" s="361">
        <v>24</v>
      </c>
      <c r="E2303" s="364"/>
      <c r="F2303" s="361" t="s">
        <v>1921</v>
      </c>
      <c r="T2303" s="361">
        <v>6.7000000000000004E-2</v>
      </c>
    </row>
    <row r="2304" spans="1:20" x14ac:dyDescent="0.25">
      <c r="A2304" s="364" t="s">
        <v>5547</v>
      </c>
      <c r="B2304" s="361" t="s">
        <v>5548</v>
      </c>
      <c r="C2304" t="s">
        <v>1920</v>
      </c>
      <c r="D2304" s="361">
        <v>10</v>
      </c>
      <c r="E2304" s="364"/>
      <c r="F2304" s="361" t="s">
        <v>1921</v>
      </c>
      <c r="T2304" s="361">
        <v>0.124</v>
      </c>
    </row>
    <row r="2305" spans="1:20" x14ac:dyDescent="0.25">
      <c r="A2305" s="364" t="s">
        <v>5549</v>
      </c>
      <c r="B2305" s="361" t="s">
        <v>5550</v>
      </c>
      <c r="C2305" t="s">
        <v>1920</v>
      </c>
      <c r="D2305" s="361">
        <v>12</v>
      </c>
      <c r="E2305" s="364"/>
      <c r="F2305" s="361" t="s">
        <v>1921</v>
      </c>
      <c r="T2305" s="361">
        <v>0.14499999999999999</v>
      </c>
    </row>
    <row r="2306" spans="1:20" x14ac:dyDescent="0.25">
      <c r="A2306" s="364" t="s">
        <v>5551</v>
      </c>
      <c r="B2306" s="361" t="s">
        <v>5552</v>
      </c>
      <c r="C2306" t="s">
        <v>1920</v>
      </c>
      <c r="D2306" s="361">
        <v>27</v>
      </c>
      <c r="E2306" s="364"/>
      <c r="F2306" s="361" t="s">
        <v>1921</v>
      </c>
      <c r="T2306" s="361">
        <v>0.59699999999999998</v>
      </c>
    </row>
    <row r="2307" spans="1:20" x14ac:dyDescent="0.25">
      <c r="A2307" s="364" t="s">
        <v>5553</v>
      </c>
      <c r="B2307" s="361" t="s">
        <v>5554</v>
      </c>
      <c r="C2307" t="s">
        <v>1920</v>
      </c>
      <c r="D2307" s="361">
        <v>20</v>
      </c>
      <c r="E2307" s="364"/>
      <c r="F2307" s="361" t="s">
        <v>1921</v>
      </c>
      <c r="T2307" s="361">
        <v>5.7000000000000002E-2</v>
      </c>
    </row>
    <row r="2308" spans="1:20" x14ac:dyDescent="0.25">
      <c r="A2308" s="364" t="s">
        <v>5555</v>
      </c>
      <c r="B2308" s="361" t="s">
        <v>5556</v>
      </c>
      <c r="C2308" t="s">
        <v>1920</v>
      </c>
      <c r="D2308" s="361">
        <v>24</v>
      </c>
      <c r="E2308" s="364"/>
      <c r="F2308" s="361" t="s">
        <v>1921</v>
      </c>
      <c r="T2308" s="361">
        <v>0.159</v>
      </c>
    </row>
    <row r="2309" spans="1:20" x14ac:dyDescent="0.25">
      <c r="A2309" s="364" t="s">
        <v>5557</v>
      </c>
      <c r="B2309" s="361" t="s">
        <v>5558</v>
      </c>
      <c r="C2309" t="s">
        <v>1920</v>
      </c>
      <c r="D2309" s="361">
        <v>54</v>
      </c>
      <c r="E2309" s="364"/>
      <c r="F2309" s="361" t="s">
        <v>2201</v>
      </c>
      <c r="T2309" s="361">
        <v>276</v>
      </c>
    </row>
    <row r="2310" spans="1:20" x14ac:dyDescent="0.25">
      <c r="A2310" s="364" t="s">
        <v>1180</v>
      </c>
      <c r="B2310" s="361" t="s">
        <v>1181</v>
      </c>
      <c r="C2310" t="s">
        <v>1922</v>
      </c>
      <c r="D2310" s="361">
        <v>1</v>
      </c>
      <c r="E2310" s="364"/>
      <c r="F2310" s="361" t="s">
        <v>1917</v>
      </c>
      <c r="T2310" s="361">
        <v>32</v>
      </c>
    </row>
    <row r="2311" spans="1:20" x14ac:dyDescent="0.25">
      <c r="A2311" s="364" t="s">
        <v>1182</v>
      </c>
      <c r="B2311" s="361" t="s">
        <v>1183</v>
      </c>
      <c r="C2311" t="s">
        <v>1916</v>
      </c>
      <c r="D2311" s="361">
        <v>2</v>
      </c>
      <c r="E2311" s="364"/>
      <c r="F2311" s="361" t="s">
        <v>1917</v>
      </c>
      <c r="T2311" s="361">
        <v>798.68</v>
      </c>
    </row>
    <row r="2312" spans="1:20" x14ac:dyDescent="0.25">
      <c r="A2312" s="364" t="s">
        <v>1184</v>
      </c>
      <c r="B2312" s="361" t="s">
        <v>1185</v>
      </c>
      <c r="C2312" t="s">
        <v>1922</v>
      </c>
      <c r="D2312" s="361">
        <v>1</v>
      </c>
      <c r="E2312" s="364"/>
      <c r="F2312" s="361" t="s">
        <v>1917</v>
      </c>
      <c r="T2312" s="361">
        <v>127.58</v>
      </c>
    </row>
    <row r="2313" spans="1:20" x14ac:dyDescent="0.25">
      <c r="A2313" s="364" t="s">
        <v>1186</v>
      </c>
      <c r="B2313" s="361" t="s">
        <v>1187</v>
      </c>
      <c r="C2313" t="s">
        <v>1922</v>
      </c>
      <c r="D2313" s="361">
        <v>1</v>
      </c>
      <c r="E2313" s="364"/>
      <c r="F2313" s="361" t="s">
        <v>1917</v>
      </c>
      <c r="T2313" s="361">
        <v>144</v>
      </c>
    </row>
    <row r="2314" spans="1:20" x14ac:dyDescent="0.25">
      <c r="A2314" s="364" t="s">
        <v>1188</v>
      </c>
      <c r="B2314" s="361" t="s">
        <v>1189</v>
      </c>
      <c r="C2314" t="s">
        <v>1922</v>
      </c>
      <c r="D2314" s="361">
        <v>1</v>
      </c>
      <c r="E2314" s="364"/>
      <c r="F2314" s="361" t="s">
        <v>1917</v>
      </c>
      <c r="T2314" s="361">
        <v>118.49</v>
      </c>
    </row>
    <row r="2315" spans="1:20" x14ac:dyDescent="0.25">
      <c r="A2315" s="364" t="s">
        <v>5559</v>
      </c>
      <c r="B2315" s="361" t="s">
        <v>5560</v>
      </c>
      <c r="C2315" t="s">
        <v>1920</v>
      </c>
      <c r="D2315" s="361">
        <v>20</v>
      </c>
      <c r="E2315" s="364"/>
      <c r="F2315" s="361" t="s">
        <v>1921</v>
      </c>
      <c r="T2315" s="361">
        <v>3.5999999999999997E-2</v>
      </c>
    </row>
    <row r="2316" spans="1:20" x14ac:dyDescent="0.25">
      <c r="A2316" s="364" t="s">
        <v>5561</v>
      </c>
      <c r="B2316" s="361" t="s">
        <v>5562</v>
      </c>
      <c r="C2316" t="s">
        <v>1920</v>
      </c>
      <c r="D2316" s="361">
        <v>59</v>
      </c>
      <c r="E2316" s="364"/>
      <c r="F2316" s="361" t="s">
        <v>1921</v>
      </c>
      <c r="T2316" s="361">
        <v>4.2000000000000003E-2</v>
      </c>
    </row>
    <row r="2317" spans="1:20" x14ac:dyDescent="0.25">
      <c r="A2317" s="364" t="s">
        <v>1190</v>
      </c>
      <c r="B2317" s="361" t="s">
        <v>1191</v>
      </c>
      <c r="C2317" t="s">
        <v>1922</v>
      </c>
      <c r="D2317" s="361">
        <v>1</v>
      </c>
      <c r="E2317" s="364"/>
      <c r="F2317" s="361" t="s">
        <v>1917</v>
      </c>
      <c r="T2317" s="361">
        <v>46.5</v>
      </c>
    </row>
    <row r="2318" spans="1:20" x14ac:dyDescent="0.25">
      <c r="A2318" s="364" t="s">
        <v>1192</v>
      </c>
      <c r="B2318" s="361" t="s">
        <v>1193</v>
      </c>
      <c r="C2318" t="s">
        <v>1922</v>
      </c>
      <c r="D2318" s="361">
        <v>1</v>
      </c>
      <c r="E2318" s="364"/>
      <c r="F2318" s="361" t="s">
        <v>1917</v>
      </c>
      <c r="T2318" s="361">
        <v>84.21</v>
      </c>
    </row>
    <row r="2319" spans="1:20" x14ac:dyDescent="0.25">
      <c r="A2319" s="364" t="s">
        <v>1194</v>
      </c>
      <c r="B2319" s="361" t="s">
        <v>1195</v>
      </c>
      <c r="C2319" t="s">
        <v>1916</v>
      </c>
      <c r="D2319" s="361">
        <v>2</v>
      </c>
      <c r="E2319" s="364"/>
      <c r="F2319" s="361" t="s">
        <v>1917</v>
      </c>
      <c r="T2319" s="361">
        <v>37.5</v>
      </c>
    </row>
    <row r="2320" spans="1:20" x14ac:dyDescent="0.25">
      <c r="A2320" s="364" t="s">
        <v>5563</v>
      </c>
      <c r="B2320" s="361" t="s">
        <v>5564</v>
      </c>
      <c r="C2320" t="s">
        <v>1920</v>
      </c>
      <c r="D2320" s="361">
        <v>15</v>
      </c>
      <c r="E2320" s="364"/>
      <c r="F2320" s="361" t="s">
        <v>1917</v>
      </c>
      <c r="T2320" s="361">
        <v>24.4</v>
      </c>
    </row>
    <row r="2321" spans="1:20" x14ac:dyDescent="0.25">
      <c r="A2321" s="364" t="s">
        <v>5565</v>
      </c>
      <c r="B2321" s="361" t="s">
        <v>5566</v>
      </c>
      <c r="C2321" t="s">
        <v>1920</v>
      </c>
      <c r="D2321" s="361">
        <v>24</v>
      </c>
      <c r="E2321" s="364"/>
      <c r="F2321" s="361" t="s">
        <v>1921</v>
      </c>
      <c r="T2321" s="361">
        <v>6.5000000000000002E-2</v>
      </c>
    </row>
    <row r="2322" spans="1:20" x14ac:dyDescent="0.25">
      <c r="A2322" s="364" t="s">
        <v>5567</v>
      </c>
      <c r="B2322" s="361" t="s">
        <v>5568</v>
      </c>
      <c r="C2322" t="s">
        <v>2419</v>
      </c>
      <c r="D2322" s="361">
        <v>4</v>
      </c>
      <c r="E2322" s="364"/>
      <c r="F2322" s="361" t="s">
        <v>1921</v>
      </c>
      <c r="T2322" s="361">
        <v>1.0000000000000001E-5</v>
      </c>
    </row>
    <row r="2323" spans="1:20" x14ac:dyDescent="0.25">
      <c r="A2323" s="364" t="s">
        <v>5569</v>
      </c>
      <c r="B2323" s="361" t="s">
        <v>5570</v>
      </c>
      <c r="C2323" t="s">
        <v>1920</v>
      </c>
      <c r="D2323" s="361">
        <v>22</v>
      </c>
      <c r="E2323" s="364"/>
      <c r="F2323" s="361" t="s">
        <v>1921</v>
      </c>
      <c r="T2323" s="361">
        <v>0.17499999999999999</v>
      </c>
    </row>
    <row r="2324" spans="1:20" x14ac:dyDescent="0.25">
      <c r="A2324" s="364" t="s">
        <v>5571</v>
      </c>
      <c r="B2324" s="361" t="s">
        <v>5572</v>
      </c>
      <c r="C2324" t="s">
        <v>1920</v>
      </c>
      <c r="D2324" s="361">
        <v>24</v>
      </c>
      <c r="E2324" s="364"/>
      <c r="F2324" s="361" t="s">
        <v>1921</v>
      </c>
      <c r="T2324" s="361">
        <v>0.26500000000000001</v>
      </c>
    </row>
    <row r="2325" spans="1:20" x14ac:dyDescent="0.25">
      <c r="A2325" s="364" t="s">
        <v>1196</v>
      </c>
      <c r="B2325" s="361" t="s">
        <v>1197</v>
      </c>
      <c r="C2325" t="s">
        <v>1922</v>
      </c>
      <c r="D2325" s="361">
        <v>1</v>
      </c>
      <c r="E2325" s="364"/>
      <c r="F2325" s="361" t="s">
        <v>1917</v>
      </c>
      <c r="T2325" s="361">
        <v>100</v>
      </c>
    </row>
    <row r="2326" spans="1:20" x14ac:dyDescent="0.25">
      <c r="A2326" s="364" t="s">
        <v>1198</v>
      </c>
      <c r="B2326" s="361" t="s">
        <v>1199</v>
      </c>
      <c r="C2326" t="s">
        <v>1922</v>
      </c>
      <c r="D2326" s="361">
        <v>1</v>
      </c>
      <c r="E2326" s="364"/>
      <c r="F2326" s="361" t="s">
        <v>1917</v>
      </c>
      <c r="T2326" s="361">
        <v>23.65</v>
      </c>
    </row>
    <row r="2327" spans="1:20" x14ac:dyDescent="0.25">
      <c r="A2327" s="364" t="s">
        <v>1200</v>
      </c>
      <c r="B2327" s="361" t="s">
        <v>1201</v>
      </c>
      <c r="C2327" t="s">
        <v>1922</v>
      </c>
      <c r="D2327" s="361">
        <v>1</v>
      </c>
      <c r="E2327" s="364"/>
      <c r="F2327" s="361" t="s">
        <v>1917</v>
      </c>
      <c r="T2327" s="361">
        <v>9.94</v>
      </c>
    </row>
    <row r="2328" spans="1:20" x14ac:dyDescent="0.25">
      <c r="A2328" s="364" t="s">
        <v>1202</v>
      </c>
      <c r="B2328" s="361" t="s">
        <v>1203</v>
      </c>
      <c r="C2328" t="s">
        <v>1922</v>
      </c>
      <c r="D2328" s="361">
        <v>1</v>
      </c>
      <c r="E2328" s="364"/>
      <c r="F2328" s="361" t="s">
        <v>1917</v>
      </c>
      <c r="T2328" s="361">
        <v>21.6</v>
      </c>
    </row>
    <row r="2329" spans="1:20" x14ac:dyDescent="0.25">
      <c r="A2329" s="364" t="s">
        <v>1204</v>
      </c>
      <c r="B2329" s="361" t="s">
        <v>1205</v>
      </c>
      <c r="C2329" t="s">
        <v>1922</v>
      </c>
      <c r="D2329" s="361">
        <v>1</v>
      </c>
      <c r="E2329" s="364"/>
      <c r="F2329" s="361" t="s">
        <v>1917</v>
      </c>
      <c r="T2329" s="361">
        <v>33.4</v>
      </c>
    </row>
    <row r="2330" spans="1:20" x14ac:dyDescent="0.25">
      <c r="A2330" s="364" t="s">
        <v>5573</v>
      </c>
      <c r="B2330" s="361" t="s">
        <v>5574</v>
      </c>
      <c r="C2330" t="s">
        <v>1920</v>
      </c>
      <c r="D2330" s="361">
        <v>26</v>
      </c>
      <c r="E2330" s="364"/>
      <c r="F2330" s="361" t="s">
        <v>1921</v>
      </c>
      <c r="T2330" s="361">
        <v>0.65500000000000003</v>
      </c>
    </row>
    <row r="2331" spans="1:20" x14ac:dyDescent="0.25">
      <c r="A2331" s="364" t="s">
        <v>1206</v>
      </c>
      <c r="B2331" s="361" t="s">
        <v>1207</v>
      </c>
      <c r="C2331" t="s">
        <v>1922</v>
      </c>
      <c r="D2331" s="361">
        <v>1</v>
      </c>
      <c r="E2331" s="364"/>
      <c r="F2331" s="361" t="s">
        <v>1917</v>
      </c>
      <c r="T2331" s="361">
        <v>3.5499999999999997E-2</v>
      </c>
    </row>
    <row r="2332" spans="1:20" x14ac:dyDescent="0.25">
      <c r="A2332" s="364" t="s">
        <v>5575</v>
      </c>
      <c r="B2332" s="361" t="s">
        <v>5576</v>
      </c>
      <c r="C2332" t="s">
        <v>1920</v>
      </c>
      <c r="D2332" s="361">
        <v>24</v>
      </c>
      <c r="E2332" s="364"/>
      <c r="F2332" s="361" t="s">
        <v>1921</v>
      </c>
      <c r="T2332" s="361">
        <v>0.28799999999999998</v>
      </c>
    </row>
    <row r="2333" spans="1:20" x14ac:dyDescent="0.25">
      <c r="A2333" s="364" t="s">
        <v>5577</v>
      </c>
      <c r="B2333" s="361" t="s">
        <v>5578</v>
      </c>
      <c r="C2333" t="s">
        <v>1920</v>
      </c>
      <c r="D2333" s="361">
        <v>24</v>
      </c>
      <c r="E2333" s="364"/>
      <c r="F2333" s="361" t="s">
        <v>1921</v>
      </c>
      <c r="T2333" s="361">
        <v>0.47799999999999998</v>
      </c>
    </row>
    <row r="2334" spans="1:20" x14ac:dyDescent="0.25">
      <c r="A2334" s="364" t="s">
        <v>5579</v>
      </c>
      <c r="B2334" s="361" t="s">
        <v>5580</v>
      </c>
      <c r="C2334" t="s">
        <v>1920</v>
      </c>
      <c r="D2334" s="361">
        <v>24</v>
      </c>
      <c r="E2334" s="364"/>
      <c r="F2334" s="361" t="s">
        <v>1921</v>
      </c>
      <c r="T2334" s="361">
        <v>0.47799999999999998</v>
      </c>
    </row>
    <row r="2335" spans="1:20" x14ac:dyDescent="0.25">
      <c r="A2335" s="364" t="s">
        <v>5581</v>
      </c>
      <c r="B2335" s="361" t="s">
        <v>5582</v>
      </c>
      <c r="C2335" t="s">
        <v>1920</v>
      </c>
      <c r="D2335" s="361">
        <v>24</v>
      </c>
      <c r="E2335" s="364"/>
      <c r="F2335" s="361" t="s">
        <v>1921</v>
      </c>
      <c r="T2335" s="361">
        <v>0.999</v>
      </c>
    </row>
    <row r="2336" spans="1:20" x14ac:dyDescent="0.25">
      <c r="A2336" s="364" t="s">
        <v>5583</v>
      </c>
      <c r="B2336" s="361" t="s">
        <v>5584</v>
      </c>
      <c r="C2336" t="s">
        <v>1920</v>
      </c>
      <c r="D2336" s="361">
        <v>24</v>
      </c>
      <c r="E2336" s="364"/>
      <c r="F2336" s="361" t="s">
        <v>1921</v>
      </c>
      <c r="T2336" s="361">
        <v>0.999</v>
      </c>
    </row>
    <row r="2337" spans="1:20" x14ac:dyDescent="0.25">
      <c r="A2337" s="364" t="s">
        <v>5585</v>
      </c>
      <c r="B2337" s="361" t="s">
        <v>5586</v>
      </c>
      <c r="C2337" t="s">
        <v>2419</v>
      </c>
      <c r="D2337" s="361">
        <v>4</v>
      </c>
      <c r="E2337" s="364"/>
      <c r="F2337" s="361" t="s">
        <v>1921</v>
      </c>
      <c r="T2337" s="361">
        <v>1.0000000000000001E-5</v>
      </c>
    </row>
    <row r="2338" spans="1:20" x14ac:dyDescent="0.25">
      <c r="A2338" s="364" t="s">
        <v>5587</v>
      </c>
      <c r="B2338" s="361" t="s">
        <v>5588</v>
      </c>
      <c r="C2338" t="s">
        <v>2419</v>
      </c>
      <c r="D2338" s="361">
        <v>4</v>
      </c>
      <c r="E2338" s="364"/>
      <c r="F2338" s="361" t="s">
        <v>1921</v>
      </c>
      <c r="T2338" s="361">
        <v>1.0000000000000001E-5</v>
      </c>
    </row>
    <row r="2339" spans="1:20" x14ac:dyDescent="0.25">
      <c r="A2339" s="364" t="s">
        <v>5589</v>
      </c>
      <c r="B2339" s="361" t="s">
        <v>5590</v>
      </c>
      <c r="C2339" t="s">
        <v>2419</v>
      </c>
      <c r="D2339" s="361">
        <v>4</v>
      </c>
      <c r="E2339" s="364"/>
      <c r="F2339" s="361" t="s">
        <v>1921</v>
      </c>
      <c r="T2339" s="361">
        <v>1.0000000000000001E-5</v>
      </c>
    </row>
    <row r="2340" spans="1:20" x14ac:dyDescent="0.25">
      <c r="A2340" s="364" t="s">
        <v>5591</v>
      </c>
      <c r="B2340" s="361" t="s">
        <v>5592</v>
      </c>
      <c r="C2340" t="s">
        <v>2419</v>
      </c>
      <c r="D2340" s="361">
        <v>4</v>
      </c>
      <c r="E2340" s="364"/>
      <c r="F2340" s="361" t="s">
        <v>1921</v>
      </c>
      <c r="T2340" s="361">
        <v>1.0000000000000001E-5</v>
      </c>
    </row>
    <row r="2341" spans="1:20" x14ac:dyDescent="0.25">
      <c r="A2341" s="364" t="s">
        <v>5593</v>
      </c>
      <c r="B2341" s="361" t="s">
        <v>5594</v>
      </c>
      <c r="C2341" t="s">
        <v>2419</v>
      </c>
      <c r="D2341" s="361">
        <v>4</v>
      </c>
      <c r="E2341" s="364"/>
      <c r="F2341" s="361" t="s">
        <v>1921</v>
      </c>
      <c r="T2341" s="361">
        <v>1.0000000000000001E-5</v>
      </c>
    </row>
    <row r="2342" spans="1:20" x14ac:dyDescent="0.25">
      <c r="A2342" s="364" t="s">
        <v>5595</v>
      </c>
      <c r="B2342" s="361" t="s">
        <v>5596</v>
      </c>
      <c r="C2342" t="s">
        <v>1920</v>
      </c>
      <c r="D2342" s="361">
        <v>45</v>
      </c>
      <c r="E2342" s="364"/>
      <c r="F2342" s="361" t="s">
        <v>1917</v>
      </c>
      <c r="T2342" s="361">
        <v>25.9</v>
      </c>
    </row>
    <row r="2343" spans="1:20" x14ac:dyDescent="0.25">
      <c r="A2343" s="364" t="s">
        <v>5597</v>
      </c>
      <c r="B2343" s="361" t="s">
        <v>5598</v>
      </c>
      <c r="C2343" t="s">
        <v>1920</v>
      </c>
      <c r="D2343" s="361">
        <v>15</v>
      </c>
      <c r="E2343" s="364"/>
      <c r="F2343" s="361" t="s">
        <v>1917</v>
      </c>
      <c r="T2343" s="361">
        <v>31.5</v>
      </c>
    </row>
    <row r="2344" spans="1:20" x14ac:dyDescent="0.25">
      <c r="A2344" s="364" t="s">
        <v>5599</v>
      </c>
      <c r="B2344" s="361" t="s">
        <v>4149</v>
      </c>
      <c r="C2344" t="s">
        <v>1920</v>
      </c>
      <c r="D2344" s="361">
        <v>24</v>
      </c>
      <c r="E2344" s="364"/>
      <c r="F2344" s="361" t="s">
        <v>1921</v>
      </c>
      <c r="T2344" s="361">
        <v>9.4640000000000002E-2</v>
      </c>
    </row>
    <row r="2345" spans="1:20" x14ac:dyDescent="0.25">
      <c r="A2345" s="364" t="s">
        <v>5600</v>
      </c>
      <c r="B2345" s="361" t="s">
        <v>5601</v>
      </c>
      <c r="C2345" t="s">
        <v>1920</v>
      </c>
      <c r="D2345" s="361">
        <v>15</v>
      </c>
      <c r="E2345" s="364"/>
      <c r="F2345" s="361" t="s">
        <v>1917</v>
      </c>
      <c r="T2345" s="361">
        <v>26.8</v>
      </c>
    </row>
    <row r="2346" spans="1:20" x14ac:dyDescent="0.25">
      <c r="A2346" s="364" t="s">
        <v>5602</v>
      </c>
      <c r="B2346" s="361" t="s">
        <v>5603</v>
      </c>
      <c r="C2346" t="s">
        <v>1920</v>
      </c>
      <c r="D2346" s="361">
        <v>24</v>
      </c>
      <c r="E2346" s="364"/>
      <c r="F2346" s="361" t="s">
        <v>1921</v>
      </c>
      <c r="T2346" s="361">
        <v>0.18027000000000001</v>
      </c>
    </row>
    <row r="2347" spans="1:20" x14ac:dyDescent="0.25">
      <c r="A2347" s="364" t="s">
        <v>5604</v>
      </c>
      <c r="B2347" s="361" t="s">
        <v>5605</v>
      </c>
      <c r="C2347" t="s">
        <v>1920</v>
      </c>
      <c r="D2347" s="361">
        <v>59</v>
      </c>
      <c r="E2347" s="364"/>
      <c r="F2347" s="361" t="s">
        <v>1917</v>
      </c>
      <c r="T2347" s="361">
        <v>14.94</v>
      </c>
    </row>
    <row r="2348" spans="1:20" x14ac:dyDescent="0.25">
      <c r="A2348" s="364" t="s">
        <v>5606</v>
      </c>
      <c r="B2348" s="361" t="s">
        <v>5607</v>
      </c>
      <c r="C2348" t="s">
        <v>1920</v>
      </c>
      <c r="D2348" s="361">
        <v>52</v>
      </c>
      <c r="E2348" s="364"/>
      <c r="F2348" s="361" t="s">
        <v>1921</v>
      </c>
      <c r="T2348" s="361">
        <v>3.245E-2</v>
      </c>
    </row>
    <row r="2349" spans="1:20" x14ac:dyDescent="0.25">
      <c r="A2349" s="364" t="s">
        <v>5608</v>
      </c>
      <c r="B2349" s="361" t="s">
        <v>5099</v>
      </c>
      <c r="C2349" t="s">
        <v>1920</v>
      </c>
      <c r="D2349" s="361">
        <v>54</v>
      </c>
      <c r="E2349" s="364"/>
      <c r="F2349" s="361" t="s">
        <v>1921</v>
      </c>
      <c r="T2349" s="361">
        <v>8.5999999999999993E-2</v>
      </c>
    </row>
    <row r="2350" spans="1:20" x14ac:dyDescent="0.25">
      <c r="A2350" s="364" t="s">
        <v>5609</v>
      </c>
      <c r="B2350" s="361" t="s">
        <v>5101</v>
      </c>
      <c r="C2350" t="s">
        <v>1920</v>
      </c>
      <c r="D2350" s="361">
        <v>54</v>
      </c>
      <c r="E2350" s="364"/>
      <c r="F2350" s="361" t="s">
        <v>1921</v>
      </c>
      <c r="T2350" s="361">
        <v>0.115</v>
      </c>
    </row>
    <row r="2351" spans="1:20" x14ac:dyDescent="0.25">
      <c r="A2351" s="364" t="s">
        <v>5610</v>
      </c>
      <c r="B2351" s="361" t="s">
        <v>5103</v>
      </c>
      <c r="C2351" t="s">
        <v>1920</v>
      </c>
      <c r="D2351" s="361">
        <v>54</v>
      </c>
      <c r="E2351" s="364"/>
      <c r="F2351" s="361" t="s">
        <v>1921</v>
      </c>
      <c r="T2351" s="361">
        <v>0.129</v>
      </c>
    </row>
    <row r="2352" spans="1:20" x14ac:dyDescent="0.25">
      <c r="A2352" s="364" t="s">
        <v>5611</v>
      </c>
      <c r="B2352" s="361" t="s">
        <v>5612</v>
      </c>
      <c r="C2352">
        <v>2</v>
      </c>
      <c r="D2352" s="361">
        <v>97</v>
      </c>
      <c r="E2352" s="364"/>
      <c r="F2352" s="361" t="s">
        <v>1921</v>
      </c>
      <c r="T2352" s="361">
        <v>343</v>
      </c>
    </row>
    <row r="2353" spans="1:20" x14ac:dyDescent="0.25">
      <c r="A2353" s="364" t="s">
        <v>5613</v>
      </c>
      <c r="B2353" s="361" t="s">
        <v>5614</v>
      </c>
      <c r="C2353" t="s">
        <v>1920</v>
      </c>
      <c r="D2353" s="361">
        <v>15</v>
      </c>
      <c r="E2353" s="364"/>
      <c r="F2353" s="361" t="s">
        <v>1917</v>
      </c>
      <c r="T2353" s="361">
        <v>44.6</v>
      </c>
    </row>
    <row r="2354" spans="1:20" x14ac:dyDescent="0.25">
      <c r="A2354" s="364" t="s">
        <v>5615</v>
      </c>
      <c r="B2354" s="361" t="s">
        <v>5616</v>
      </c>
      <c r="C2354" t="s">
        <v>1920</v>
      </c>
      <c r="D2354" s="361">
        <v>24</v>
      </c>
      <c r="E2354" s="364"/>
      <c r="F2354" s="361" t="s">
        <v>1921</v>
      </c>
      <c r="T2354" s="361">
        <v>0.12889999999999999</v>
      </c>
    </row>
    <row r="2355" spans="1:20" x14ac:dyDescent="0.25">
      <c r="A2355" s="364" t="s">
        <v>5617</v>
      </c>
      <c r="B2355" s="361" t="s">
        <v>5618</v>
      </c>
      <c r="C2355" t="s">
        <v>1920</v>
      </c>
      <c r="D2355" s="361">
        <v>15</v>
      </c>
      <c r="E2355" s="364"/>
      <c r="F2355" s="361" t="s">
        <v>1917</v>
      </c>
      <c r="T2355" s="361">
        <v>38.64</v>
      </c>
    </row>
    <row r="2356" spans="1:20" x14ac:dyDescent="0.25">
      <c r="A2356" s="364" t="s">
        <v>5619</v>
      </c>
      <c r="B2356" s="361" t="s">
        <v>5620</v>
      </c>
      <c r="C2356" t="s">
        <v>1920</v>
      </c>
      <c r="D2356" s="361">
        <v>24</v>
      </c>
      <c r="E2356" s="364"/>
      <c r="F2356" s="361" t="s">
        <v>1921</v>
      </c>
      <c r="T2356" s="361">
        <v>8.659E-2</v>
      </c>
    </row>
    <row r="2357" spans="1:20" x14ac:dyDescent="0.25">
      <c r="A2357" s="364" t="s">
        <v>5621</v>
      </c>
      <c r="B2357" s="361" t="s">
        <v>5622</v>
      </c>
      <c r="C2357" t="s">
        <v>1920</v>
      </c>
      <c r="D2357" s="361">
        <v>15</v>
      </c>
      <c r="E2357" s="364"/>
      <c r="F2357" s="361" t="s">
        <v>1917</v>
      </c>
      <c r="T2357" s="361">
        <v>17.95</v>
      </c>
    </row>
    <row r="2358" spans="1:20" x14ac:dyDescent="0.25">
      <c r="A2358" s="364" t="s">
        <v>5623</v>
      </c>
      <c r="B2358" s="361" t="s">
        <v>4426</v>
      </c>
      <c r="C2358" t="s">
        <v>1920</v>
      </c>
      <c r="D2358" s="361">
        <v>24</v>
      </c>
      <c r="E2358" s="364"/>
      <c r="F2358" s="361" t="s">
        <v>1921</v>
      </c>
      <c r="T2358" s="361">
        <v>0.19877</v>
      </c>
    </row>
    <row r="2359" spans="1:20" x14ac:dyDescent="0.25">
      <c r="A2359" s="364" t="s">
        <v>5624</v>
      </c>
      <c r="B2359" s="361" t="s">
        <v>5625</v>
      </c>
      <c r="C2359" t="s">
        <v>1920</v>
      </c>
      <c r="D2359" s="361">
        <v>15</v>
      </c>
      <c r="E2359" s="364"/>
      <c r="F2359" s="361" t="s">
        <v>1917</v>
      </c>
      <c r="T2359" s="361">
        <v>39.4</v>
      </c>
    </row>
    <row r="2360" spans="1:20" x14ac:dyDescent="0.25">
      <c r="A2360" s="364" t="s">
        <v>5626</v>
      </c>
      <c r="B2360" s="361" t="s">
        <v>5627</v>
      </c>
      <c r="C2360" t="s">
        <v>1920</v>
      </c>
      <c r="D2360" s="361">
        <v>24</v>
      </c>
      <c r="E2360" s="364"/>
      <c r="F2360" s="361" t="s">
        <v>1921</v>
      </c>
      <c r="T2360" s="361">
        <v>0.11854000000000001</v>
      </c>
    </row>
    <row r="2361" spans="1:20" x14ac:dyDescent="0.25">
      <c r="A2361" s="364" t="s">
        <v>5628</v>
      </c>
      <c r="B2361" s="361" t="s">
        <v>5629</v>
      </c>
      <c r="C2361" t="s">
        <v>2419</v>
      </c>
      <c r="D2361" s="361">
        <v>4</v>
      </c>
      <c r="E2361" s="364"/>
      <c r="F2361" s="361" t="s">
        <v>1921</v>
      </c>
      <c r="T2361" s="361">
        <v>1.0000000000000001E-5</v>
      </c>
    </row>
    <row r="2362" spans="1:20" x14ac:dyDescent="0.25">
      <c r="A2362" s="364" t="s">
        <v>5630</v>
      </c>
      <c r="B2362" s="361" t="s">
        <v>5631</v>
      </c>
      <c r="C2362" t="s">
        <v>2419</v>
      </c>
      <c r="D2362" s="361">
        <v>4</v>
      </c>
      <c r="E2362" s="364"/>
      <c r="F2362" s="361" t="s">
        <v>1921</v>
      </c>
      <c r="T2362" s="361">
        <v>1.0000000000000001E-5</v>
      </c>
    </row>
    <row r="2363" spans="1:20" x14ac:dyDescent="0.25">
      <c r="A2363" s="364" t="s">
        <v>5632</v>
      </c>
      <c r="B2363" s="361" t="s">
        <v>5633</v>
      </c>
      <c r="C2363" t="s">
        <v>2419</v>
      </c>
      <c r="D2363" s="361">
        <v>4</v>
      </c>
      <c r="E2363" s="364"/>
      <c r="F2363" s="361" t="s">
        <v>1921</v>
      </c>
      <c r="T2363" s="361">
        <v>1.0000000000000001E-5</v>
      </c>
    </row>
    <row r="2364" spans="1:20" x14ac:dyDescent="0.25">
      <c r="A2364" s="364" t="s">
        <v>5634</v>
      </c>
      <c r="B2364" s="361" t="s">
        <v>5635</v>
      </c>
      <c r="C2364" t="s">
        <v>2419</v>
      </c>
      <c r="D2364" s="361">
        <v>4</v>
      </c>
      <c r="E2364" s="364"/>
      <c r="F2364" s="361" t="s">
        <v>1921</v>
      </c>
      <c r="T2364" s="361">
        <v>1.0000000000000001E-5</v>
      </c>
    </row>
    <row r="2365" spans="1:20" x14ac:dyDescent="0.25">
      <c r="A2365" s="364" t="s">
        <v>5636</v>
      </c>
      <c r="B2365" s="361" t="s">
        <v>5637</v>
      </c>
      <c r="C2365" t="s">
        <v>2419</v>
      </c>
      <c r="D2365" s="361">
        <v>4</v>
      </c>
      <c r="E2365" s="364"/>
      <c r="F2365" s="361" t="s">
        <v>1921</v>
      </c>
      <c r="T2365" s="361">
        <v>1.0000000000000001E-5</v>
      </c>
    </row>
    <row r="2366" spans="1:20" x14ac:dyDescent="0.25">
      <c r="A2366" s="364" t="s">
        <v>5638</v>
      </c>
      <c r="B2366" s="361" t="s">
        <v>5639</v>
      </c>
      <c r="C2366" t="s">
        <v>2419</v>
      </c>
      <c r="D2366" s="361">
        <v>4</v>
      </c>
      <c r="E2366" s="364"/>
      <c r="F2366" s="361" t="s">
        <v>1921</v>
      </c>
      <c r="T2366" s="361">
        <v>1.0000000000000001E-5</v>
      </c>
    </row>
    <row r="2367" spans="1:20" x14ac:dyDescent="0.25">
      <c r="A2367" s="364" t="s">
        <v>5640</v>
      </c>
      <c r="B2367" s="361" t="s">
        <v>5641</v>
      </c>
      <c r="C2367" t="s">
        <v>2419</v>
      </c>
      <c r="D2367" s="361">
        <v>4</v>
      </c>
      <c r="E2367" s="364"/>
      <c r="F2367" s="361" t="s">
        <v>1921</v>
      </c>
      <c r="T2367" s="361">
        <v>1.0000000000000001E-5</v>
      </c>
    </row>
    <row r="2368" spans="1:20" x14ac:dyDescent="0.25">
      <c r="A2368" s="364" t="s">
        <v>5642</v>
      </c>
      <c r="B2368" s="361" t="s">
        <v>5643</v>
      </c>
      <c r="C2368" t="s">
        <v>2419</v>
      </c>
      <c r="D2368" s="361">
        <v>4</v>
      </c>
      <c r="E2368" s="364"/>
      <c r="F2368" s="361" t="s">
        <v>1921</v>
      </c>
      <c r="T2368" s="361">
        <v>1.0000000000000001E-5</v>
      </c>
    </row>
    <row r="2369" spans="1:20" x14ac:dyDescent="0.25">
      <c r="A2369" s="364" t="s">
        <v>5644</v>
      </c>
      <c r="B2369" s="361" t="s">
        <v>5645</v>
      </c>
      <c r="C2369" t="s">
        <v>2419</v>
      </c>
      <c r="D2369" s="361">
        <v>4</v>
      </c>
      <c r="E2369" s="364"/>
      <c r="F2369" s="361" t="s">
        <v>1921</v>
      </c>
      <c r="T2369" s="361">
        <v>1.0000000000000001E-5</v>
      </c>
    </row>
    <row r="2370" spans="1:20" x14ac:dyDescent="0.25">
      <c r="A2370" s="364" t="s">
        <v>5646</v>
      </c>
      <c r="B2370" s="361" t="s">
        <v>5647</v>
      </c>
      <c r="C2370" t="s">
        <v>1920</v>
      </c>
      <c r="D2370" s="361">
        <v>24</v>
      </c>
      <c r="E2370" s="364"/>
      <c r="F2370" s="361" t="s">
        <v>1921</v>
      </c>
      <c r="T2370" s="361">
        <v>0.1358</v>
      </c>
    </row>
    <row r="2371" spans="1:20" x14ac:dyDescent="0.25">
      <c r="A2371" s="364" t="s">
        <v>5648</v>
      </c>
      <c r="B2371" s="361" t="s">
        <v>5649</v>
      </c>
      <c r="C2371" t="s">
        <v>1920</v>
      </c>
      <c r="D2371" s="361">
        <v>24</v>
      </c>
      <c r="E2371" s="364"/>
      <c r="F2371" s="361" t="s">
        <v>1921</v>
      </c>
      <c r="T2371" s="361">
        <v>0.15941</v>
      </c>
    </row>
    <row r="2372" spans="1:20" x14ac:dyDescent="0.25">
      <c r="A2372" s="364" t="s">
        <v>5650</v>
      </c>
      <c r="B2372" s="361" t="s">
        <v>5651</v>
      </c>
      <c r="C2372" t="s">
        <v>1920</v>
      </c>
      <c r="D2372" s="361">
        <v>15</v>
      </c>
      <c r="E2372" s="364"/>
      <c r="F2372" s="361" t="s">
        <v>1917</v>
      </c>
      <c r="T2372" s="361">
        <v>31.5</v>
      </c>
    </row>
    <row r="2373" spans="1:20" x14ac:dyDescent="0.25">
      <c r="A2373" s="364" t="s">
        <v>5652</v>
      </c>
      <c r="B2373" s="361" t="s">
        <v>5653</v>
      </c>
      <c r="C2373" t="s">
        <v>1920</v>
      </c>
      <c r="D2373" s="361">
        <v>15</v>
      </c>
      <c r="E2373" s="364"/>
      <c r="F2373" s="361" t="s">
        <v>1917</v>
      </c>
      <c r="T2373" s="361">
        <v>39.4</v>
      </c>
    </row>
    <row r="2374" spans="1:20" x14ac:dyDescent="0.25">
      <c r="A2374" s="364" t="s">
        <v>5654</v>
      </c>
      <c r="B2374" s="361" t="s">
        <v>5655</v>
      </c>
      <c r="C2374" t="s">
        <v>1920</v>
      </c>
      <c r="D2374" s="361">
        <v>11</v>
      </c>
      <c r="E2374" s="364"/>
      <c r="F2374" s="361" t="s">
        <v>1921</v>
      </c>
      <c r="T2374" s="361">
        <v>5.1999999999999998E-2</v>
      </c>
    </row>
    <row r="2375" spans="1:20" x14ac:dyDescent="0.25">
      <c r="A2375" s="364" t="s">
        <v>5656</v>
      </c>
      <c r="B2375" s="361" t="s">
        <v>5657</v>
      </c>
      <c r="C2375" t="s">
        <v>1920</v>
      </c>
      <c r="D2375" s="361">
        <v>12</v>
      </c>
      <c r="E2375" s="364"/>
      <c r="F2375" s="361" t="s">
        <v>1921</v>
      </c>
      <c r="T2375" s="361">
        <v>0.128</v>
      </c>
    </row>
    <row r="2376" spans="1:20" x14ac:dyDescent="0.25">
      <c r="A2376" s="364" t="s">
        <v>5658</v>
      </c>
      <c r="B2376" s="361" t="s">
        <v>5659</v>
      </c>
      <c r="C2376" t="s">
        <v>1920</v>
      </c>
      <c r="D2376" s="361">
        <v>50</v>
      </c>
      <c r="E2376" s="364"/>
      <c r="F2376" s="361" t="s">
        <v>1921</v>
      </c>
      <c r="T2376" s="361">
        <v>3.4200000000000001E-2</v>
      </c>
    </row>
    <row r="2377" spans="1:20" x14ac:dyDescent="0.25">
      <c r="A2377" s="364" t="s">
        <v>5660</v>
      </c>
      <c r="B2377" s="361" t="s">
        <v>5661</v>
      </c>
      <c r="C2377" t="s">
        <v>1920</v>
      </c>
      <c r="D2377" s="361">
        <v>27</v>
      </c>
      <c r="E2377" s="364"/>
      <c r="F2377" s="361" t="s">
        <v>1921</v>
      </c>
      <c r="T2377" s="361">
        <v>0.35199999999999998</v>
      </c>
    </row>
    <row r="2378" spans="1:20" x14ac:dyDescent="0.25">
      <c r="A2378" s="364" t="s">
        <v>5662</v>
      </c>
      <c r="B2378" s="361" t="s">
        <v>5663</v>
      </c>
      <c r="C2378" t="s">
        <v>1920</v>
      </c>
      <c r="D2378" s="361">
        <v>50</v>
      </c>
      <c r="E2378" s="364"/>
      <c r="F2378" s="361" t="s">
        <v>1921</v>
      </c>
      <c r="T2378" s="361">
        <v>3.4200000000000001E-2</v>
      </c>
    </row>
    <row r="2379" spans="1:20" x14ac:dyDescent="0.25">
      <c r="A2379" s="364" t="s">
        <v>5664</v>
      </c>
      <c r="B2379" s="361" t="s">
        <v>5665</v>
      </c>
      <c r="C2379" t="s">
        <v>1920</v>
      </c>
      <c r="D2379" s="361">
        <v>50</v>
      </c>
      <c r="E2379" s="364"/>
      <c r="F2379" s="361" t="s">
        <v>1921</v>
      </c>
      <c r="T2379" s="361">
        <v>3.4200000000000001E-2</v>
      </c>
    </row>
    <row r="2380" spans="1:20" x14ac:dyDescent="0.25">
      <c r="A2380" s="364" t="s">
        <v>5666</v>
      </c>
      <c r="B2380" s="361" t="s">
        <v>5667</v>
      </c>
      <c r="C2380" t="s">
        <v>1920</v>
      </c>
      <c r="D2380" s="361">
        <v>50</v>
      </c>
      <c r="E2380" s="364"/>
      <c r="F2380" s="361" t="s">
        <v>1921</v>
      </c>
      <c r="T2380" s="361">
        <v>3.4200000000000001E-2</v>
      </c>
    </row>
    <row r="2381" spans="1:20" x14ac:dyDescent="0.25">
      <c r="A2381" s="364" t="s">
        <v>5668</v>
      </c>
      <c r="B2381" s="361" t="s">
        <v>5669</v>
      </c>
      <c r="C2381" t="s">
        <v>1920</v>
      </c>
      <c r="D2381" s="361">
        <v>50</v>
      </c>
      <c r="E2381" s="364"/>
      <c r="F2381" s="361" t="s">
        <v>1921</v>
      </c>
      <c r="T2381" s="361">
        <v>3.4200000000000001E-2</v>
      </c>
    </row>
    <row r="2382" spans="1:20" x14ac:dyDescent="0.25">
      <c r="A2382" s="364" t="s">
        <v>5670</v>
      </c>
      <c r="B2382" s="361" t="s">
        <v>5671</v>
      </c>
      <c r="C2382" t="s">
        <v>1920</v>
      </c>
      <c r="D2382" s="361">
        <v>50</v>
      </c>
      <c r="E2382" s="364"/>
      <c r="F2382" s="361" t="s">
        <v>1921</v>
      </c>
      <c r="T2382" s="361">
        <v>3.4200000000000001E-2</v>
      </c>
    </row>
    <row r="2383" spans="1:20" x14ac:dyDescent="0.25">
      <c r="A2383" s="364" t="s">
        <v>5672</v>
      </c>
      <c r="B2383" s="361" t="s">
        <v>5673</v>
      </c>
      <c r="C2383" t="s">
        <v>1920</v>
      </c>
      <c r="D2383" s="361">
        <v>50</v>
      </c>
      <c r="E2383" s="364"/>
      <c r="F2383" s="361" t="s">
        <v>1921</v>
      </c>
      <c r="T2383" s="361">
        <v>3.4200000000000001E-2</v>
      </c>
    </row>
    <row r="2384" spans="1:20" x14ac:dyDescent="0.25">
      <c r="A2384" s="364" t="s">
        <v>5674</v>
      </c>
      <c r="B2384" s="361" t="s">
        <v>5675</v>
      </c>
      <c r="C2384" t="s">
        <v>1920</v>
      </c>
      <c r="D2384" s="361">
        <v>50</v>
      </c>
      <c r="E2384" s="364"/>
      <c r="F2384" s="361" t="s">
        <v>1921</v>
      </c>
      <c r="T2384" s="361">
        <v>3.4200000000000001E-2</v>
      </c>
    </row>
    <row r="2385" spans="1:20" x14ac:dyDescent="0.25">
      <c r="A2385" s="364" t="s">
        <v>5676</v>
      </c>
      <c r="B2385" s="361" t="s">
        <v>5677</v>
      </c>
      <c r="C2385" t="s">
        <v>1920</v>
      </c>
      <c r="D2385" s="361">
        <v>50</v>
      </c>
      <c r="E2385" s="364"/>
      <c r="F2385" s="361" t="s">
        <v>1921</v>
      </c>
      <c r="T2385" s="361">
        <v>3.2300000000000002E-2</v>
      </c>
    </row>
    <row r="2386" spans="1:20" x14ac:dyDescent="0.25">
      <c r="A2386" s="364" t="s">
        <v>5678</v>
      </c>
      <c r="B2386" s="361" t="s">
        <v>5679</v>
      </c>
      <c r="C2386" t="s">
        <v>1920</v>
      </c>
      <c r="D2386" s="361">
        <v>50</v>
      </c>
      <c r="E2386" s="364"/>
      <c r="F2386" s="361" t="s">
        <v>1921</v>
      </c>
      <c r="T2386" s="361">
        <v>3.2300000000000002E-2</v>
      </c>
    </row>
    <row r="2387" spans="1:20" x14ac:dyDescent="0.25">
      <c r="A2387" s="364" t="s">
        <v>5680</v>
      </c>
      <c r="B2387" s="361" t="s">
        <v>5681</v>
      </c>
      <c r="C2387" t="s">
        <v>1920</v>
      </c>
      <c r="D2387" s="361">
        <v>50</v>
      </c>
      <c r="E2387" s="364"/>
      <c r="F2387" s="361" t="s">
        <v>1921</v>
      </c>
      <c r="T2387" s="361">
        <v>3.2300000000000002E-2</v>
      </c>
    </row>
    <row r="2388" spans="1:20" x14ac:dyDescent="0.25">
      <c r="A2388" s="364" t="s">
        <v>5682</v>
      </c>
      <c r="B2388" s="361" t="s">
        <v>5683</v>
      </c>
      <c r="C2388" t="s">
        <v>1920</v>
      </c>
      <c r="D2388" s="361">
        <v>50</v>
      </c>
      <c r="E2388" s="364"/>
      <c r="F2388" s="361" t="s">
        <v>1921</v>
      </c>
      <c r="T2388" s="361">
        <v>3.2300000000000002E-2</v>
      </c>
    </row>
    <row r="2389" spans="1:20" x14ac:dyDescent="0.25">
      <c r="A2389" s="364" t="s">
        <v>5684</v>
      </c>
      <c r="B2389" s="361" t="s">
        <v>5685</v>
      </c>
      <c r="C2389" t="s">
        <v>1920</v>
      </c>
      <c r="D2389" s="361">
        <v>50</v>
      </c>
      <c r="E2389" s="364"/>
      <c r="F2389" s="361" t="s">
        <v>1921</v>
      </c>
      <c r="T2389" s="361">
        <v>3.2300000000000002E-2</v>
      </c>
    </row>
    <row r="2390" spans="1:20" x14ac:dyDescent="0.25">
      <c r="A2390" s="364" t="s">
        <v>5686</v>
      </c>
      <c r="B2390" s="361" t="s">
        <v>5687</v>
      </c>
      <c r="C2390" t="s">
        <v>1920</v>
      </c>
      <c r="D2390" s="361">
        <v>50</v>
      </c>
      <c r="E2390" s="364"/>
      <c r="F2390" s="361" t="s">
        <v>1921</v>
      </c>
      <c r="T2390" s="361">
        <v>3.2300000000000002E-2</v>
      </c>
    </row>
    <row r="2391" spans="1:20" x14ac:dyDescent="0.25">
      <c r="A2391" s="364" t="s">
        <v>5688</v>
      </c>
      <c r="B2391" s="361" t="s">
        <v>5689</v>
      </c>
      <c r="C2391" t="s">
        <v>1920</v>
      </c>
      <c r="D2391" s="361">
        <v>50</v>
      </c>
      <c r="E2391" s="364"/>
      <c r="F2391" s="361" t="s">
        <v>1921</v>
      </c>
      <c r="T2391" s="361">
        <v>3.0810000000000001E-2</v>
      </c>
    </row>
    <row r="2392" spans="1:20" x14ac:dyDescent="0.25">
      <c r="A2392" s="364" t="s">
        <v>5690</v>
      </c>
      <c r="B2392" s="361" t="s">
        <v>5689</v>
      </c>
      <c r="C2392" t="s">
        <v>1920</v>
      </c>
      <c r="D2392" s="361">
        <v>50</v>
      </c>
      <c r="E2392" s="364"/>
      <c r="F2392" s="361" t="s">
        <v>1921</v>
      </c>
      <c r="T2392" s="361">
        <v>3.0810000000000001E-2</v>
      </c>
    </row>
    <row r="2393" spans="1:20" x14ac:dyDescent="0.25">
      <c r="A2393" s="364" t="s">
        <v>5691</v>
      </c>
      <c r="B2393" s="361" t="s">
        <v>5692</v>
      </c>
      <c r="C2393" t="s">
        <v>1920</v>
      </c>
      <c r="D2393" s="361">
        <v>50</v>
      </c>
      <c r="E2393" s="364"/>
      <c r="F2393" s="361" t="s">
        <v>1921</v>
      </c>
      <c r="T2393" s="361">
        <v>3.0810000000000001E-2</v>
      </c>
    </row>
    <row r="2394" spans="1:20" x14ac:dyDescent="0.25">
      <c r="A2394" s="364" t="s">
        <v>5693</v>
      </c>
      <c r="B2394" s="361" t="s">
        <v>5692</v>
      </c>
      <c r="C2394" t="s">
        <v>1920</v>
      </c>
      <c r="D2394" s="361">
        <v>50</v>
      </c>
      <c r="E2394" s="364"/>
      <c r="F2394" s="361" t="s">
        <v>1921</v>
      </c>
      <c r="T2394" s="361">
        <v>3.0810000000000001E-2</v>
      </c>
    </row>
    <row r="2395" spans="1:20" x14ac:dyDescent="0.25">
      <c r="A2395" s="364" t="s">
        <v>5694</v>
      </c>
      <c r="B2395" s="361" t="s">
        <v>5695</v>
      </c>
      <c r="C2395" t="s">
        <v>1920</v>
      </c>
      <c r="D2395" s="361">
        <v>12</v>
      </c>
      <c r="E2395" s="364"/>
      <c r="F2395" s="361" t="s">
        <v>1921</v>
      </c>
      <c r="T2395" s="361">
        <v>0.129</v>
      </c>
    </row>
    <row r="2396" spans="1:20" x14ac:dyDescent="0.25">
      <c r="A2396" s="364" t="s">
        <v>5696</v>
      </c>
      <c r="B2396" s="361" t="s">
        <v>4248</v>
      </c>
      <c r="C2396" t="s">
        <v>1920</v>
      </c>
      <c r="D2396" s="361">
        <v>15</v>
      </c>
      <c r="E2396" s="364"/>
      <c r="F2396" s="361" t="s">
        <v>1917</v>
      </c>
      <c r="T2396" s="361">
        <v>39.4</v>
      </c>
    </row>
    <row r="2397" spans="1:20" x14ac:dyDescent="0.25">
      <c r="A2397" s="364" t="s">
        <v>5697</v>
      </c>
      <c r="B2397" s="361" t="s">
        <v>4246</v>
      </c>
      <c r="C2397" t="s">
        <v>1920</v>
      </c>
      <c r="D2397" s="361">
        <v>24</v>
      </c>
      <c r="E2397" s="364"/>
      <c r="F2397" s="361" t="s">
        <v>1921</v>
      </c>
      <c r="T2397" s="361">
        <v>0.16270000000000001</v>
      </c>
    </row>
    <row r="2398" spans="1:20" x14ac:dyDescent="0.25">
      <c r="A2398" s="364" t="s">
        <v>5698</v>
      </c>
      <c r="B2398" s="361" t="s">
        <v>4326</v>
      </c>
      <c r="C2398" t="s">
        <v>1920</v>
      </c>
      <c r="D2398" s="361">
        <v>15</v>
      </c>
      <c r="E2398" s="364"/>
      <c r="F2398" s="361" t="s">
        <v>1917</v>
      </c>
      <c r="T2398" s="361">
        <v>49.6</v>
      </c>
    </row>
    <row r="2399" spans="1:20" x14ac:dyDescent="0.25">
      <c r="A2399" s="364" t="s">
        <v>5699</v>
      </c>
      <c r="B2399" s="361" t="s">
        <v>4324</v>
      </c>
      <c r="C2399" t="s">
        <v>1920</v>
      </c>
      <c r="D2399" s="361">
        <v>24</v>
      </c>
      <c r="E2399" s="364"/>
      <c r="F2399" s="361" t="s">
        <v>1921</v>
      </c>
      <c r="T2399" s="361">
        <v>0.16270000000000001</v>
      </c>
    </row>
    <row r="2400" spans="1:20" x14ac:dyDescent="0.25">
      <c r="A2400" s="364" t="s">
        <v>5700</v>
      </c>
      <c r="B2400" s="361" t="s">
        <v>5701</v>
      </c>
      <c r="C2400" t="s">
        <v>2419</v>
      </c>
      <c r="D2400" s="361">
        <v>4</v>
      </c>
      <c r="E2400" s="364"/>
      <c r="F2400" s="361" t="s">
        <v>1921</v>
      </c>
      <c r="T2400" s="361">
        <v>4.1700000000000001E-2</v>
      </c>
    </row>
    <row r="2401" spans="1:20" x14ac:dyDescent="0.25">
      <c r="A2401" s="364" t="s">
        <v>5702</v>
      </c>
      <c r="B2401" s="361" t="s">
        <v>5703</v>
      </c>
      <c r="C2401" t="s">
        <v>2419</v>
      </c>
      <c r="D2401" s="361">
        <v>4</v>
      </c>
      <c r="E2401" s="364"/>
      <c r="F2401" s="361" t="s">
        <v>1921</v>
      </c>
      <c r="T2401" s="361">
        <v>6.2300000000000001E-2</v>
      </c>
    </row>
    <row r="2402" spans="1:20" x14ac:dyDescent="0.25">
      <c r="A2402" s="364" t="s">
        <v>5704</v>
      </c>
      <c r="B2402" s="361" t="s">
        <v>5705</v>
      </c>
      <c r="C2402" t="s">
        <v>2419</v>
      </c>
      <c r="D2402" s="361">
        <v>4</v>
      </c>
      <c r="E2402" s="364"/>
      <c r="F2402" s="361" t="s">
        <v>1921</v>
      </c>
      <c r="T2402" s="361">
        <v>0.22600000000000001</v>
      </c>
    </row>
    <row r="2403" spans="1:20" x14ac:dyDescent="0.25">
      <c r="A2403" s="364" t="s">
        <v>5706</v>
      </c>
      <c r="B2403" s="361" t="s">
        <v>5127</v>
      </c>
      <c r="C2403" t="s">
        <v>1920</v>
      </c>
      <c r="D2403" s="361">
        <v>24</v>
      </c>
      <c r="E2403" s="364"/>
      <c r="F2403" s="361" t="s">
        <v>1921</v>
      </c>
      <c r="T2403" s="361">
        <v>0.17777999999999999</v>
      </c>
    </row>
    <row r="2404" spans="1:20" x14ac:dyDescent="0.25">
      <c r="A2404" s="364" t="s">
        <v>5707</v>
      </c>
      <c r="B2404" s="361" t="s">
        <v>5708</v>
      </c>
      <c r="C2404" t="s">
        <v>1920</v>
      </c>
      <c r="D2404" s="361">
        <v>15</v>
      </c>
      <c r="E2404" s="364"/>
      <c r="F2404" s="361" t="s">
        <v>1917</v>
      </c>
      <c r="T2404" s="361">
        <v>23.6</v>
      </c>
    </row>
    <row r="2405" spans="1:20" x14ac:dyDescent="0.25">
      <c r="A2405" s="364" t="s">
        <v>5709</v>
      </c>
      <c r="B2405" s="361" t="s">
        <v>5710</v>
      </c>
      <c r="C2405" t="s">
        <v>1920</v>
      </c>
      <c r="D2405" s="361">
        <v>15</v>
      </c>
      <c r="E2405" s="364"/>
      <c r="F2405" s="361" t="s">
        <v>1917</v>
      </c>
      <c r="T2405" s="361">
        <v>35.07</v>
      </c>
    </row>
    <row r="2406" spans="1:20" x14ac:dyDescent="0.25">
      <c r="A2406" s="364" t="s">
        <v>5711</v>
      </c>
      <c r="B2406" s="361" t="s">
        <v>5712</v>
      </c>
      <c r="C2406" t="s">
        <v>1920</v>
      </c>
      <c r="D2406" s="361">
        <v>15</v>
      </c>
      <c r="E2406" s="364"/>
      <c r="F2406" s="361" t="s">
        <v>1917</v>
      </c>
      <c r="T2406" s="361">
        <v>52.82</v>
      </c>
    </row>
    <row r="2407" spans="1:20" x14ac:dyDescent="0.25">
      <c r="A2407" s="364" t="s">
        <v>5713</v>
      </c>
      <c r="B2407" s="361" t="s">
        <v>5714</v>
      </c>
      <c r="C2407" t="s">
        <v>1920</v>
      </c>
      <c r="D2407" s="361">
        <v>24</v>
      </c>
      <c r="E2407" s="364"/>
      <c r="F2407" s="361" t="s">
        <v>1921</v>
      </c>
      <c r="T2407" s="361">
        <v>6.6119999999999998E-2</v>
      </c>
    </row>
    <row r="2408" spans="1:20" x14ac:dyDescent="0.25">
      <c r="A2408" s="364" t="s">
        <v>5715</v>
      </c>
      <c r="B2408" s="361" t="s">
        <v>5716</v>
      </c>
      <c r="C2408" t="s">
        <v>1920</v>
      </c>
      <c r="D2408" s="361">
        <v>24</v>
      </c>
      <c r="E2408" s="364"/>
      <c r="F2408" s="361" t="s">
        <v>1921</v>
      </c>
      <c r="T2408" s="361">
        <v>0.08</v>
      </c>
    </row>
    <row r="2409" spans="1:20" x14ac:dyDescent="0.25">
      <c r="A2409" s="364" t="s">
        <v>5717</v>
      </c>
      <c r="B2409" s="361" t="s">
        <v>5018</v>
      </c>
      <c r="C2409" t="s">
        <v>1920</v>
      </c>
      <c r="D2409" s="361">
        <v>15</v>
      </c>
      <c r="E2409" s="364"/>
      <c r="F2409" s="361" t="s">
        <v>1917</v>
      </c>
      <c r="T2409" s="361">
        <v>34.799999999999997</v>
      </c>
    </row>
    <row r="2410" spans="1:20" x14ac:dyDescent="0.25">
      <c r="A2410" s="364" t="s">
        <v>5718</v>
      </c>
      <c r="B2410" s="361" t="s">
        <v>5719</v>
      </c>
      <c r="C2410" t="s">
        <v>1920</v>
      </c>
      <c r="D2410" s="361">
        <v>24</v>
      </c>
      <c r="E2410" s="364"/>
      <c r="F2410" s="361" t="s">
        <v>1921</v>
      </c>
      <c r="T2410" s="361">
        <v>6.4259999999999998E-2</v>
      </c>
    </row>
    <row r="2411" spans="1:20" x14ac:dyDescent="0.25">
      <c r="A2411" s="364" t="s">
        <v>5720</v>
      </c>
      <c r="B2411" s="361" t="s">
        <v>5721</v>
      </c>
      <c r="C2411" t="s">
        <v>1920</v>
      </c>
      <c r="D2411" s="361">
        <v>15</v>
      </c>
      <c r="E2411" s="364"/>
      <c r="F2411" s="361" t="s">
        <v>1917</v>
      </c>
      <c r="T2411" s="361">
        <v>39.4</v>
      </c>
    </row>
    <row r="2412" spans="1:20" x14ac:dyDescent="0.25">
      <c r="A2412" s="364" t="s">
        <v>5722</v>
      </c>
      <c r="B2412" s="361" t="s">
        <v>5723</v>
      </c>
      <c r="C2412" t="s">
        <v>1920</v>
      </c>
      <c r="D2412" s="361">
        <v>24</v>
      </c>
      <c r="E2412" s="364"/>
      <c r="F2412" s="361" t="s">
        <v>1921</v>
      </c>
      <c r="T2412" s="361">
        <v>0.12595000000000001</v>
      </c>
    </row>
    <row r="2413" spans="1:20" x14ac:dyDescent="0.25">
      <c r="A2413" s="364" t="s">
        <v>1208</v>
      </c>
      <c r="B2413" s="361" t="s">
        <v>1209</v>
      </c>
      <c r="C2413" t="s">
        <v>1922</v>
      </c>
      <c r="D2413" s="361">
        <v>1</v>
      </c>
      <c r="E2413" s="364"/>
      <c r="F2413" s="361" t="s">
        <v>1917</v>
      </c>
      <c r="T2413" s="361">
        <v>29.42</v>
      </c>
    </row>
    <row r="2414" spans="1:20" x14ac:dyDescent="0.25">
      <c r="A2414" s="364" t="s">
        <v>5724</v>
      </c>
      <c r="B2414" s="361" t="s">
        <v>5725</v>
      </c>
      <c r="C2414" t="s">
        <v>1920</v>
      </c>
      <c r="D2414" s="361">
        <v>15</v>
      </c>
      <c r="E2414" s="364"/>
      <c r="F2414" s="361" t="s">
        <v>1917</v>
      </c>
      <c r="T2414" s="361">
        <v>37.299999999999997</v>
      </c>
    </row>
    <row r="2415" spans="1:20" x14ac:dyDescent="0.25">
      <c r="A2415" s="364" t="s">
        <v>5726</v>
      </c>
      <c r="B2415" s="361" t="s">
        <v>5727</v>
      </c>
      <c r="C2415" t="s">
        <v>1920</v>
      </c>
      <c r="D2415" s="361">
        <v>54</v>
      </c>
      <c r="E2415" s="364"/>
      <c r="F2415" s="361" t="s">
        <v>1921</v>
      </c>
      <c r="T2415" s="361">
        <v>0.26469999999999999</v>
      </c>
    </row>
    <row r="2416" spans="1:20" x14ac:dyDescent="0.25">
      <c r="A2416" s="364" t="s">
        <v>5728</v>
      </c>
      <c r="B2416" s="361" t="s">
        <v>5729</v>
      </c>
      <c r="C2416" t="s">
        <v>1920</v>
      </c>
      <c r="D2416" s="361">
        <v>54</v>
      </c>
      <c r="E2416" s="364"/>
      <c r="F2416" s="361" t="s">
        <v>1921</v>
      </c>
      <c r="T2416" s="361">
        <v>0.26469999999999999</v>
      </c>
    </row>
    <row r="2417" spans="1:20" x14ac:dyDescent="0.25">
      <c r="A2417" s="364" t="s">
        <v>5730</v>
      </c>
      <c r="B2417" s="361" t="s">
        <v>5731</v>
      </c>
      <c r="C2417" t="s">
        <v>1920</v>
      </c>
      <c r="D2417" s="361">
        <v>54</v>
      </c>
      <c r="E2417" s="364"/>
      <c r="F2417" s="361" t="s">
        <v>1921</v>
      </c>
      <c r="T2417" s="361">
        <v>0.49099999999999999</v>
      </c>
    </row>
    <row r="2418" spans="1:20" x14ac:dyDescent="0.25">
      <c r="A2418" s="364" t="s">
        <v>5732</v>
      </c>
      <c r="B2418" s="361" t="s">
        <v>2172</v>
      </c>
      <c r="C2418" t="s">
        <v>1920</v>
      </c>
      <c r="D2418" s="361">
        <v>16</v>
      </c>
      <c r="E2418" s="364"/>
      <c r="F2418" s="361" t="s">
        <v>1917</v>
      </c>
      <c r="T2418" s="361">
        <v>3.6</v>
      </c>
    </row>
    <row r="2419" spans="1:20" x14ac:dyDescent="0.25">
      <c r="A2419" s="364" t="s">
        <v>5733</v>
      </c>
      <c r="B2419" s="361" t="s">
        <v>4270</v>
      </c>
      <c r="C2419" t="s">
        <v>1920</v>
      </c>
      <c r="D2419" s="361">
        <v>20</v>
      </c>
      <c r="E2419" s="364"/>
      <c r="F2419" s="361" t="s">
        <v>1921</v>
      </c>
      <c r="T2419" s="361">
        <v>5.7000000000000002E-2</v>
      </c>
    </row>
    <row r="2420" spans="1:20" x14ac:dyDescent="0.25">
      <c r="A2420" s="364" t="s">
        <v>5734</v>
      </c>
      <c r="B2420" s="361" t="s">
        <v>4278</v>
      </c>
      <c r="C2420" t="s">
        <v>1920</v>
      </c>
      <c r="D2420" s="361">
        <v>24</v>
      </c>
      <c r="E2420" s="364"/>
      <c r="F2420" s="361" t="s">
        <v>1921</v>
      </c>
      <c r="T2420" s="361">
        <v>0.50971</v>
      </c>
    </row>
    <row r="2421" spans="1:20" x14ac:dyDescent="0.25">
      <c r="A2421" s="364" t="s">
        <v>5735</v>
      </c>
      <c r="B2421" s="361" t="s">
        <v>5736</v>
      </c>
      <c r="C2421" t="s">
        <v>1920</v>
      </c>
      <c r="D2421" s="361">
        <v>27</v>
      </c>
      <c r="E2421" s="364"/>
      <c r="F2421" s="361" t="s">
        <v>1921</v>
      </c>
      <c r="T2421" s="361">
        <v>1.131</v>
      </c>
    </row>
    <row r="2422" spans="1:20" x14ac:dyDescent="0.25">
      <c r="A2422" s="364" t="s">
        <v>5737</v>
      </c>
      <c r="B2422" s="361" t="s">
        <v>5738</v>
      </c>
      <c r="C2422" t="s">
        <v>1920</v>
      </c>
      <c r="D2422" s="361">
        <v>27</v>
      </c>
      <c r="E2422" s="364"/>
      <c r="F2422" s="361" t="s">
        <v>1921</v>
      </c>
      <c r="T2422" s="361">
        <v>1.05</v>
      </c>
    </row>
    <row r="2423" spans="1:20" x14ac:dyDescent="0.25">
      <c r="A2423" s="364" t="s">
        <v>5739</v>
      </c>
      <c r="B2423" s="361" t="s">
        <v>5740</v>
      </c>
      <c r="C2423" t="s">
        <v>1920</v>
      </c>
      <c r="D2423" s="361">
        <v>15</v>
      </c>
      <c r="E2423" s="364"/>
      <c r="F2423" s="361" t="s">
        <v>1917</v>
      </c>
      <c r="T2423" s="361">
        <v>15.95</v>
      </c>
    </row>
    <row r="2424" spans="1:20" x14ac:dyDescent="0.25">
      <c r="A2424" s="364" t="s">
        <v>5741</v>
      </c>
      <c r="B2424" s="361" t="s">
        <v>5742</v>
      </c>
      <c r="C2424" t="s">
        <v>1920</v>
      </c>
      <c r="D2424" s="361">
        <v>24</v>
      </c>
      <c r="E2424" s="364"/>
      <c r="F2424" s="361" t="s">
        <v>1921</v>
      </c>
      <c r="T2424" s="361">
        <v>0.3972</v>
      </c>
    </row>
    <row r="2425" spans="1:20" x14ac:dyDescent="0.25">
      <c r="A2425" s="364" t="s">
        <v>5743</v>
      </c>
      <c r="B2425" s="361" t="s">
        <v>5744</v>
      </c>
      <c r="C2425" t="s">
        <v>1920</v>
      </c>
      <c r="D2425" s="361">
        <v>27</v>
      </c>
      <c r="E2425" s="364"/>
      <c r="F2425" s="361" t="s">
        <v>1921</v>
      </c>
      <c r="T2425" s="361">
        <v>0.91800000000000004</v>
      </c>
    </row>
    <row r="2426" spans="1:20" x14ac:dyDescent="0.25">
      <c r="A2426" s="364" t="s">
        <v>5745</v>
      </c>
      <c r="B2426" s="361" t="s">
        <v>3903</v>
      </c>
      <c r="C2426" t="s">
        <v>1920</v>
      </c>
      <c r="D2426" s="361">
        <v>20</v>
      </c>
      <c r="E2426" s="364"/>
      <c r="F2426" s="361" t="s">
        <v>1921</v>
      </c>
      <c r="T2426" s="361">
        <v>0.12842000000000001</v>
      </c>
    </row>
    <row r="2427" spans="1:20" x14ac:dyDescent="0.25">
      <c r="A2427" s="364" t="s">
        <v>5746</v>
      </c>
      <c r="B2427" s="361" t="s">
        <v>3489</v>
      </c>
      <c r="C2427" t="s">
        <v>1920</v>
      </c>
      <c r="D2427" s="361">
        <v>24</v>
      </c>
      <c r="E2427" s="364"/>
      <c r="F2427" s="361" t="s">
        <v>1921</v>
      </c>
      <c r="T2427" s="361">
        <v>0.51170000000000004</v>
      </c>
    </row>
    <row r="2428" spans="1:20" x14ac:dyDescent="0.25">
      <c r="A2428" s="364" t="s">
        <v>5747</v>
      </c>
      <c r="B2428" s="361" t="s">
        <v>5748</v>
      </c>
      <c r="C2428" t="s">
        <v>1920</v>
      </c>
      <c r="D2428" s="361">
        <v>15</v>
      </c>
      <c r="E2428" s="364"/>
      <c r="F2428" s="361" t="s">
        <v>1917</v>
      </c>
      <c r="T2428" s="361">
        <v>39.4</v>
      </c>
    </row>
    <row r="2429" spans="1:20" x14ac:dyDescent="0.25">
      <c r="A2429" s="364" t="s">
        <v>5749</v>
      </c>
      <c r="B2429" s="361" t="s">
        <v>5750</v>
      </c>
      <c r="C2429" t="s">
        <v>1920</v>
      </c>
      <c r="D2429" s="361">
        <v>24</v>
      </c>
      <c r="E2429" s="364"/>
      <c r="F2429" s="361" t="s">
        <v>1921</v>
      </c>
      <c r="T2429" s="361">
        <v>0.26834999999999998</v>
      </c>
    </row>
    <row r="2430" spans="1:20" x14ac:dyDescent="0.25">
      <c r="A2430" s="364" t="s">
        <v>5751</v>
      </c>
      <c r="B2430" s="361" t="s">
        <v>5752</v>
      </c>
      <c r="C2430" t="s">
        <v>1920</v>
      </c>
      <c r="D2430" s="361">
        <v>15</v>
      </c>
      <c r="E2430" s="364"/>
      <c r="F2430" s="361" t="s">
        <v>1917</v>
      </c>
      <c r="T2430" s="361">
        <v>39.4</v>
      </c>
    </row>
    <row r="2431" spans="1:20" x14ac:dyDescent="0.25">
      <c r="A2431" s="364" t="s">
        <v>5753</v>
      </c>
      <c r="B2431" s="361" t="s">
        <v>5754</v>
      </c>
      <c r="C2431" t="s">
        <v>1920</v>
      </c>
      <c r="D2431" s="361">
        <v>24</v>
      </c>
      <c r="E2431" s="364"/>
      <c r="F2431" s="361" t="s">
        <v>1921</v>
      </c>
      <c r="T2431" s="361">
        <v>0.19964999999999999</v>
      </c>
    </row>
    <row r="2432" spans="1:20" x14ac:dyDescent="0.25">
      <c r="A2432" s="364" t="s">
        <v>5755</v>
      </c>
      <c r="B2432" s="361" t="s">
        <v>5756</v>
      </c>
      <c r="C2432" t="s">
        <v>1920</v>
      </c>
      <c r="D2432" s="361">
        <v>20</v>
      </c>
      <c r="E2432" s="364"/>
      <c r="F2432" s="361" t="s">
        <v>1921</v>
      </c>
      <c r="T2432" s="361">
        <v>4.8800000000000003E-2</v>
      </c>
    </row>
    <row r="2433" spans="1:20" x14ac:dyDescent="0.25">
      <c r="A2433" s="364" t="s">
        <v>5757</v>
      </c>
      <c r="B2433" s="361" t="s">
        <v>5758</v>
      </c>
      <c r="C2433" t="s">
        <v>1920</v>
      </c>
      <c r="D2433" s="361">
        <v>22</v>
      </c>
      <c r="E2433" s="364"/>
      <c r="F2433" s="361" t="s">
        <v>1921</v>
      </c>
      <c r="T2433" s="361">
        <v>5.7000000000000002E-2</v>
      </c>
    </row>
    <row r="2434" spans="1:20" x14ac:dyDescent="0.25">
      <c r="A2434" s="364" t="s">
        <v>5759</v>
      </c>
      <c r="B2434" s="361" t="s">
        <v>5760</v>
      </c>
      <c r="C2434" t="s">
        <v>1920</v>
      </c>
      <c r="D2434" s="361">
        <v>59</v>
      </c>
      <c r="E2434" s="364"/>
      <c r="F2434" s="361" t="s">
        <v>1921</v>
      </c>
      <c r="T2434" s="361">
        <v>0.14599999999999999</v>
      </c>
    </row>
    <row r="2435" spans="1:20" x14ac:dyDescent="0.25">
      <c r="A2435" s="364" t="s">
        <v>5761</v>
      </c>
      <c r="B2435" s="361" t="s">
        <v>5375</v>
      </c>
      <c r="C2435" t="s">
        <v>1920</v>
      </c>
      <c r="D2435" s="361">
        <v>20</v>
      </c>
      <c r="E2435" s="364"/>
      <c r="F2435" s="361" t="s">
        <v>1921</v>
      </c>
      <c r="T2435" s="361">
        <v>4.8300000000000003E-2</v>
      </c>
    </row>
    <row r="2436" spans="1:20" x14ac:dyDescent="0.25">
      <c r="A2436" s="364" t="s">
        <v>5762</v>
      </c>
      <c r="B2436" s="361" t="s">
        <v>5383</v>
      </c>
      <c r="C2436" t="s">
        <v>1920</v>
      </c>
      <c r="D2436" s="361">
        <v>20</v>
      </c>
      <c r="E2436" s="364"/>
      <c r="F2436" s="361" t="s">
        <v>1921</v>
      </c>
      <c r="T2436" s="361">
        <v>4.1000000000000002E-2</v>
      </c>
    </row>
    <row r="2437" spans="1:20" x14ac:dyDescent="0.25">
      <c r="A2437" s="364" t="s">
        <v>5763</v>
      </c>
      <c r="B2437" s="361" t="s">
        <v>5764</v>
      </c>
      <c r="C2437" t="s">
        <v>1920</v>
      </c>
      <c r="D2437" s="361">
        <v>18</v>
      </c>
      <c r="E2437" s="364"/>
      <c r="F2437" s="361" t="s">
        <v>1921</v>
      </c>
      <c r="T2437" s="361">
        <v>0.20635999999999999</v>
      </c>
    </row>
    <row r="2438" spans="1:20" x14ac:dyDescent="0.25">
      <c r="A2438" s="364" t="s">
        <v>5765</v>
      </c>
      <c r="B2438" s="361" t="s">
        <v>5395</v>
      </c>
      <c r="C2438" t="s">
        <v>1920</v>
      </c>
      <c r="D2438" s="361">
        <v>18</v>
      </c>
      <c r="E2438" s="364"/>
      <c r="F2438" s="361" t="s">
        <v>1921</v>
      </c>
      <c r="T2438" s="361">
        <v>0.27614</v>
      </c>
    </row>
    <row r="2439" spans="1:20" x14ac:dyDescent="0.25">
      <c r="A2439" s="364" t="s">
        <v>5766</v>
      </c>
      <c r="B2439" s="361" t="s">
        <v>5399</v>
      </c>
      <c r="C2439" t="s">
        <v>1920</v>
      </c>
      <c r="D2439" s="361">
        <v>18</v>
      </c>
      <c r="E2439" s="364"/>
      <c r="F2439" s="361" t="s">
        <v>1921</v>
      </c>
      <c r="T2439" s="361">
        <v>0.35916999999999999</v>
      </c>
    </row>
    <row r="2440" spans="1:20" x14ac:dyDescent="0.25">
      <c r="A2440" s="364" t="s">
        <v>5767</v>
      </c>
      <c r="B2440" s="361" t="s">
        <v>5768</v>
      </c>
      <c r="C2440" t="s">
        <v>1920</v>
      </c>
      <c r="D2440" s="361">
        <v>24</v>
      </c>
      <c r="E2440" s="364"/>
      <c r="F2440" s="361" t="s">
        <v>1921</v>
      </c>
      <c r="T2440" s="361">
        <v>5.6399999999999999E-2</v>
      </c>
    </row>
    <row r="2441" spans="1:20" x14ac:dyDescent="0.25">
      <c r="A2441" s="364" t="s">
        <v>5769</v>
      </c>
      <c r="B2441" s="361" t="s">
        <v>5397</v>
      </c>
      <c r="C2441" t="s">
        <v>1920</v>
      </c>
      <c r="D2441" s="361">
        <v>24</v>
      </c>
      <c r="E2441" s="364"/>
      <c r="F2441" s="361" t="s">
        <v>1921</v>
      </c>
      <c r="T2441" s="361">
        <v>0.10100000000000001</v>
      </c>
    </row>
    <row r="2442" spans="1:20" x14ac:dyDescent="0.25">
      <c r="A2442" s="364" t="s">
        <v>5770</v>
      </c>
      <c r="B2442" s="361" t="s">
        <v>5401</v>
      </c>
      <c r="C2442" t="s">
        <v>1920</v>
      </c>
      <c r="D2442" s="361">
        <v>24</v>
      </c>
      <c r="E2442" s="364"/>
      <c r="F2442" s="361" t="s">
        <v>1921</v>
      </c>
      <c r="T2442" s="361">
        <v>0.19919999999999999</v>
      </c>
    </row>
    <row r="2443" spans="1:20" x14ac:dyDescent="0.25">
      <c r="A2443" s="364" t="s">
        <v>5771</v>
      </c>
      <c r="B2443" s="361" t="s">
        <v>4262</v>
      </c>
      <c r="C2443" t="s">
        <v>1920</v>
      </c>
      <c r="D2443" s="361">
        <v>20</v>
      </c>
      <c r="E2443" s="364"/>
      <c r="F2443" s="361" t="s">
        <v>1921</v>
      </c>
      <c r="T2443" s="361">
        <v>3.4200000000000001E-2</v>
      </c>
    </row>
    <row r="2444" spans="1:20" x14ac:dyDescent="0.25">
      <c r="A2444" s="364" t="s">
        <v>5772</v>
      </c>
      <c r="B2444" s="361" t="s">
        <v>3769</v>
      </c>
      <c r="C2444" t="s">
        <v>1920</v>
      </c>
      <c r="D2444" s="361">
        <v>20</v>
      </c>
      <c r="E2444" s="364"/>
      <c r="F2444" s="361" t="s">
        <v>1921</v>
      </c>
      <c r="T2444" s="361">
        <v>0.15296999999999999</v>
      </c>
    </row>
    <row r="2445" spans="1:20" x14ac:dyDescent="0.25">
      <c r="A2445" s="364" t="s">
        <v>5773</v>
      </c>
      <c r="B2445" s="361" t="s">
        <v>5774</v>
      </c>
      <c r="C2445" t="s">
        <v>1920</v>
      </c>
      <c r="D2445" s="361">
        <v>20</v>
      </c>
      <c r="E2445" s="364"/>
      <c r="F2445" s="361" t="s">
        <v>1921</v>
      </c>
      <c r="T2445" s="361">
        <v>5.1180000000000003E-2</v>
      </c>
    </row>
    <row r="2446" spans="1:20" x14ac:dyDescent="0.25">
      <c r="A2446" s="364" t="s">
        <v>5775</v>
      </c>
      <c r="B2446" s="361" t="s">
        <v>5776</v>
      </c>
      <c r="C2446" t="s">
        <v>1920</v>
      </c>
      <c r="D2446" s="361">
        <v>15</v>
      </c>
      <c r="E2446" s="364"/>
      <c r="F2446" s="361" t="s">
        <v>1917</v>
      </c>
      <c r="T2446" s="361">
        <v>25.9</v>
      </c>
    </row>
    <row r="2447" spans="1:20" x14ac:dyDescent="0.25">
      <c r="A2447" s="364" t="s">
        <v>5777</v>
      </c>
      <c r="B2447" s="361" t="s">
        <v>5778</v>
      </c>
      <c r="C2447" t="s">
        <v>1920</v>
      </c>
      <c r="D2447" s="361">
        <v>24</v>
      </c>
      <c r="E2447" s="364"/>
      <c r="F2447" s="361" t="s">
        <v>1921</v>
      </c>
      <c r="T2447" s="361">
        <v>6.3960000000000003E-2</v>
      </c>
    </row>
    <row r="2448" spans="1:20" x14ac:dyDescent="0.25">
      <c r="A2448" s="364" t="s">
        <v>5779</v>
      </c>
      <c r="B2448" s="361" t="s">
        <v>5780</v>
      </c>
      <c r="C2448" t="s">
        <v>2095</v>
      </c>
      <c r="D2448" s="361">
        <v>95</v>
      </c>
      <c r="E2448" s="364"/>
      <c r="F2448" s="361" t="s">
        <v>1921</v>
      </c>
      <c r="T2448" s="361">
        <v>1.0000000000000001E-5</v>
      </c>
    </row>
    <row r="2449" spans="1:20" x14ac:dyDescent="0.25">
      <c r="A2449" s="364" t="s">
        <v>5781</v>
      </c>
      <c r="B2449" s="361" t="s">
        <v>5782</v>
      </c>
      <c r="C2449" t="s">
        <v>1920</v>
      </c>
      <c r="D2449" s="361">
        <v>95</v>
      </c>
      <c r="E2449" s="364"/>
      <c r="F2449" s="361" t="s">
        <v>1921</v>
      </c>
      <c r="T2449" s="361">
        <v>6.8720000000000003E-2</v>
      </c>
    </row>
    <row r="2450" spans="1:20" x14ac:dyDescent="0.25">
      <c r="A2450" s="364" t="s">
        <v>5783</v>
      </c>
      <c r="B2450" s="361" t="s">
        <v>5784</v>
      </c>
      <c r="C2450" t="s">
        <v>1920</v>
      </c>
      <c r="D2450" s="361">
        <v>59</v>
      </c>
      <c r="E2450" s="364"/>
      <c r="F2450" s="361" t="s">
        <v>1921</v>
      </c>
      <c r="T2450" s="361">
        <v>2.69</v>
      </c>
    </row>
    <row r="2451" spans="1:20" x14ac:dyDescent="0.25">
      <c r="A2451" s="364" t="s">
        <v>5785</v>
      </c>
      <c r="B2451" s="361" t="s">
        <v>5786</v>
      </c>
      <c r="C2451" t="s">
        <v>1920</v>
      </c>
      <c r="D2451" s="361">
        <v>20</v>
      </c>
      <c r="E2451" s="364"/>
      <c r="F2451" s="361" t="s">
        <v>1921</v>
      </c>
      <c r="T2451" s="361">
        <v>3.4200000000000001E-2</v>
      </c>
    </row>
    <row r="2452" spans="1:20" x14ac:dyDescent="0.25">
      <c r="A2452" s="364" t="s">
        <v>5787</v>
      </c>
      <c r="B2452" s="361" t="s">
        <v>5788</v>
      </c>
      <c r="C2452" t="s">
        <v>1920</v>
      </c>
      <c r="D2452" s="361">
        <v>20</v>
      </c>
      <c r="E2452" s="364"/>
      <c r="F2452" s="361" t="s">
        <v>1921</v>
      </c>
      <c r="T2452" s="361">
        <v>3.4200000000000001E-2</v>
      </c>
    </row>
    <row r="2453" spans="1:20" x14ac:dyDescent="0.25">
      <c r="A2453" s="364" t="s">
        <v>1210</v>
      </c>
      <c r="B2453" s="361" t="s">
        <v>1211</v>
      </c>
      <c r="C2453" t="s">
        <v>1922</v>
      </c>
      <c r="D2453" s="361">
        <v>1</v>
      </c>
      <c r="E2453" s="364"/>
      <c r="F2453" s="361" t="s">
        <v>1917</v>
      </c>
      <c r="T2453" s="361">
        <v>13.53</v>
      </c>
    </row>
    <row r="2454" spans="1:20" x14ac:dyDescent="0.25">
      <c r="A2454" s="364" t="s">
        <v>5789</v>
      </c>
      <c r="B2454" s="361" t="s">
        <v>5790</v>
      </c>
      <c r="C2454" t="s">
        <v>1920</v>
      </c>
      <c r="D2454" s="361">
        <v>59</v>
      </c>
      <c r="E2454" s="364"/>
      <c r="F2454" s="361" t="s">
        <v>1921</v>
      </c>
      <c r="T2454" s="361">
        <v>0.67979999999999996</v>
      </c>
    </row>
    <row r="2455" spans="1:20" x14ac:dyDescent="0.25">
      <c r="A2455" s="364" t="s">
        <v>5791</v>
      </c>
      <c r="B2455" s="361" t="s">
        <v>5792</v>
      </c>
      <c r="C2455" t="s">
        <v>1920</v>
      </c>
      <c r="D2455" s="361">
        <v>59</v>
      </c>
      <c r="E2455" s="364"/>
      <c r="F2455" s="361" t="s">
        <v>1921</v>
      </c>
      <c r="T2455" s="361">
        <v>0.188</v>
      </c>
    </row>
    <row r="2456" spans="1:20" x14ac:dyDescent="0.25">
      <c r="A2456" s="364" t="s">
        <v>5793</v>
      </c>
      <c r="B2456" s="361" t="s">
        <v>5794</v>
      </c>
      <c r="C2456" t="s">
        <v>1920</v>
      </c>
      <c r="D2456" s="361">
        <v>33</v>
      </c>
      <c r="E2456" s="364"/>
      <c r="F2456" s="361" t="s">
        <v>1917</v>
      </c>
      <c r="T2456" s="361">
        <v>3.35</v>
      </c>
    </row>
    <row r="2457" spans="1:20" x14ac:dyDescent="0.25">
      <c r="A2457" s="364" t="s">
        <v>5795</v>
      </c>
      <c r="B2457" s="361" t="s">
        <v>5796</v>
      </c>
      <c r="C2457" t="s">
        <v>1920</v>
      </c>
      <c r="D2457" s="361">
        <v>15</v>
      </c>
      <c r="E2457" s="364"/>
      <c r="F2457" s="361" t="s">
        <v>1917</v>
      </c>
      <c r="T2457" s="361">
        <v>23</v>
      </c>
    </row>
    <row r="2458" spans="1:20" x14ac:dyDescent="0.25">
      <c r="A2458" s="364" t="s">
        <v>5797</v>
      </c>
      <c r="B2458" s="361" t="s">
        <v>5798</v>
      </c>
      <c r="C2458" t="s">
        <v>1920</v>
      </c>
      <c r="D2458" s="361">
        <v>16</v>
      </c>
      <c r="E2458" s="364"/>
      <c r="F2458" s="361" t="s">
        <v>1917</v>
      </c>
      <c r="T2458" s="361">
        <v>3.9</v>
      </c>
    </row>
    <row r="2459" spans="1:20" x14ac:dyDescent="0.25">
      <c r="A2459" s="364" t="s">
        <v>5799</v>
      </c>
      <c r="B2459" s="361" t="s">
        <v>5800</v>
      </c>
      <c r="C2459" t="s">
        <v>1920</v>
      </c>
      <c r="D2459" s="361">
        <v>16</v>
      </c>
      <c r="E2459" s="364"/>
      <c r="F2459" s="361" t="s">
        <v>1917</v>
      </c>
      <c r="T2459" s="361">
        <v>3.9</v>
      </c>
    </row>
    <row r="2460" spans="1:20" x14ac:dyDescent="0.25">
      <c r="A2460" s="364" t="s">
        <v>5801</v>
      </c>
      <c r="B2460" s="361" t="s">
        <v>5802</v>
      </c>
      <c r="C2460" t="s">
        <v>1920</v>
      </c>
      <c r="D2460" s="361">
        <v>24</v>
      </c>
      <c r="E2460" s="364"/>
      <c r="F2460" s="361" t="s">
        <v>1921</v>
      </c>
      <c r="T2460" s="361">
        <v>3.15E-2</v>
      </c>
    </row>
    <row r="2461" spans="1:20" x14ac:dyDescent="0.25">
      <c r="A2461" s="364" t="s">
        <v>5803</v>
      </c>
      <c r="B2461" s="361" t="s">
        <v>5804</v>
      </c>
      <c r="C2461" t="s">
        <v>1920</v>
      </c>
      <c r="D2461" s="361">
        <v>24</v>
      </c>
      <c r="E2461" s="364"/>
      <c r="F2461" s="361" t="s">
        <v>1921</v>
      </c>
      <c r="T2461" s="361">
        <v>6.2E-2</v>
      </c>
    </row>
    <row r="2462" spans="1:20" x14ac:dyDescent="0.25">
      <c r="A2462" s="364" t="s">
        <v>5805</v>
      </c>
      <c r="B2462" s="361" t="s">
        <v>5806</v>
      </c>
      <c r="C2462" t="s">
        <v>1920</v>
      </c>
      <c r="D2462" s="361">
        <v>26</v>
      </c>
      <c r="E2462" s="364"/>
      <c r="F2462" s="361" t="s">
        <v>1921</v>
      </c>
      <c r="T2462" s="361">
        <v>0.42599999999999999</v>
      </c>
    </row>
    <row r="2463" spans="1:20" x14ac:dyDescent="0.25">
      <c r="A2463" s="364" t="s">
        <v>5807</v>
      </c>
      <c r="B2463" s="361" t="s">
        <v>5808</v>
      </c>
      <c r="C2463" t="s">
        <v>1920</v>
      </c>
      <c r="D2463" s="361">
        <v>26</v>
      </c>
      <c r="E2463" s="364"/>
      <c r="F2463" s="361" t="s">
        <v>1921</v>
      </c>
      <c r="T2463" s="361">
        <v>0.42599999999999999</v>
      </c>
    </row>
    <row r="2464" spans="1:20" x14ac:dyDescent="0.25">
      <c r="A2464" s="364" t="s">
        <v>5809</v>
      </c>
      <c r="B2464" s="361" t="s">
        <v>5810</v>
      </c>
      <c r="C2464" t="s">
        <v>1920</v>
      </c>
      <c r="D2464" s="361">
        <v>26</v>
      </c>
      <c r="E2464" s="364"/>
      <c r="F2464" s="361" t="s">
        <v>1921</v>
      </c>
      <c r="T2464" s="361">
        <v>0.42599999999999999</v>
      </c>
    </row>
    <row r="2465" spans="1:20" x14ac:dyDescent="0.25">
      <c r="A2465" s="364" t="s">
        <v>5811</v>
      </c>
      <c r="B2465" s="361" t="s">
        <v>5812</v>
      </c>
      <c r="C2465" t="s">
        <v>1920</v>
      </c>
      <c r="D2465" s="361">
        <v>26</v>
      </c>
      <c r="E2465" s="364"/>
      <c r="F2465" s="361" t="s">
        <v>1921</v>
      </c>
      <c r="T2465" s="361">
        <v>0.42599999999999999</v>
      </c>
    </row>
    <row r="2466" spans="1:20" x14ac:dyDescent="0.25">
      <c r="A2466" s="364" t="s">
        <v>5813</v>
      </c>
      <c r="B2466" s="361" t="s">
        <v>5814</v>
      </c>
      <c r="C2466" t="s">
        <v>1920</v>
      </c>
      <c r="D2466" s="361">
        <v>54</v>
      </c>
      <c r="E2466" s="364"/>
      <c r="F2466" s="361" t="s">
        <v>1921</v>
      </c>
      <c r="T2466" s="361">
        <v>0.18204000000000001</v>
      </c>
    </row>
    <row r="2467" spans="1:20" x14ac:dyDescent="0.25">
      <c r="A2467" s="364" t="s">
        <v>5815</v>
      </c>
      <c r="B2467" s="361" t="s">
        <v>5816</v>
      </c>
      <c r="C2467" t="s">
        <v>1920</v>
      </c>
      <c r="D2467" s="361">
        <v>24</v>
      </c>
      <c r="E2467" s="364"/>
      <c r="F2467" s="361" t="s">
        <v>1921</v>
      </c>
      <c r="T2467" s="361">
        <v>0.37879000000000002</v>
      </c>
    </row>
    <row r="2468" spans="1:20" x14ac:dyDescent="0.25">
      <c r="A2468" s="364" t="s">
        <v>5817</v>
      </c>
      <c r="B2468" s="361" t="s">
        <v>5818</v>
      </c>
      <c r="C2468" t="s">
        <v>1920</v>
      </c>
      <c r="D2468" s="361">
        <v>15</v>
      </c>
      <c r="E2468" s="364"/>
      <c r="F2468" s="361" t="s">
        <v>1917</v>
      </c>
      <c r="T2468" s="361">
        <v>49.6</v>
      </c>
    </row>
    <row r="2469" spans="1:20" x14ac:dyDescent="0.25">
      <c r="A2469" s="364" t="s">
        <v>5819</v>
      </c>
      <c r="B2469" s="361" t="s">
        <v>5820</v>
      </c>
      <c r="C2469" t="s">
        <v>1920</v>
      </c>
      <c r="D2469" s="361">
        <v>24</v>
      </c>
      <c r="E2469" s="364"/>
      <c r="F2469" s="361" t="s">
        <v>1921</v>
      </c>
      <c r="T2469" s="361">
        <v>0.19064999999999999</v>
      </c>
    </row>
    <row r="2470" spans="1:20" x14ac:dyDescent="0.25">
      <c r="A2470" s="364" t="s">
        <v>5821</v>
      </c>
      <c r="B2470" s="361" t="s">
        <v>5822</v>
      </c>
      <c r="C2470" t="s">
        <v>1920</v>
      </c>
      <c r="D2470" s="361">
        <v>12</v>
      </c>
      <c r="E2470" s="364"/>
      <c r="F2470" s="361" t="s">
        <v>1921</v>
      </c>
      <c r="T2470" s="361">
        <v>0.129</v>
      </c>
    </row>
    <row r="2471" spans="1:20" x14ac:dyDescent="0.25">
      <c r="A2471" s="364" t="s">
        <v>5823</v>
      </c>
      <c r="B2471" s="361" t="s">
        <v>5824</v>
      </c>
      <c r="C2471" t="s">
        <v>1920</v>
      </c>
      <c r="D2471" s="361">
        <v>12</v>
      </c>
      <c r="E2471" s="364"/>
      <c r="F2471" s="361" t="s">
        <v>1921</v>
      </c>
      <c r="T2471" s="361">
        <v>0.128</v>
      </c>
    </row>
    <row r="2472" spans="1:20" x14ac:dyDescent="0.25">
      <c r="A2472" s="364" t="s">
        <v>5825</v>
      </c>
      <c r="B2472" s="361" t="s">
        <v>5826</v>
      </c>
      <c r="C2472" t="s">
        <v>1920</v>
      </c>
      <c r="D2472" s="361">
        <v>52</v>
      </c>
      <c r="E2472" s="364"/>
      <c r="F2472" s="361" t="s">
        <v>1921</v>
      </c>
      <c r="T2472" s="361">
        <v>3.7350000000000001E-2</v>
      </c>
    </row>
    <row r="2473" spans="1:20" x14ac:dyDescent="0.25">
      <c r="A2473" s="364" t="s">
        <v>1212</v>
      </c>
      <c r="B2473" s="361" t="s">
        <v>1213</v>
      </c>
      <c r="C2473" t="s">
        <v>1922</v>
      </c>
      <c r="D2473" s="361">
        <v>1</v>
      </c>
      <c r="E2473" s="364"/>
      <c r="F2473" s="361" t="s">
        <v>1917</v>
      </c>
      <c r="T2473" s="361">
        <v>90</v>
      </c>
    </row>
    <row r="2474" spans="1:20" x14ac:dyDescent="0.25">
      <c r="A2474" s="364" t="s">
        <v>5827</v>
      </c>
      <c r="B2474" s="361" t="s">
        <v>5828</v>
      </c>
      <c r="C2474" t="s">
        <v>1920</v>
      </c>
      <c r="D2474" s="361">
        <v>59</v>
      </c>
      <c r="E2474" s="364"/>
      <c r="F2474" s="361" t="s">
        <v>1917</v>
      </c>
      <c r="T2474" s="361">
        <v>6.6</v>
      </c>
    </row>
    <row r="2475" spans="1:20" x14ac:dyDescent="0.25">
      <c r="A2475" s="364" t="s">
        <v>5829</v>
      </c>
      <c r="B2475" s="361" t="s">
        <v>5830</v>
      </c>
      <c r="C2475" t="s">
        <v>1920</v>
      </c>
      <c r="D2475" s="361">
        <v>56</v>
      </c>
      <c r="E2475" s="364"/>
      <c r="F2475" s="361" t="s">
        <v>1921</v>
      </c>
      <c r="T2475" s="361">
        <v>0.753</v>
      </c>
    </row>
    <row r="2476" spans="1:20" x14ac:dyDescent="0.25">
      <c r="A2476" s="364" t="s">
        <v>1214</v>
      </c>
      <c r="B2476" s="361" t="s">
        <v>1215</v>
      </c>
      <c r="C2476" t="s">
        <v>1922</v>
      </c>
      <c r="D2476" s="361">
        <v>59</v>
      </c>
      <c r="E2476" s="364"/>
      <c r="F2476" s="361" t="s">
        <v>1921</v>
      </c>
      <c r="T2476" s="361">
        <v>2.605E-2</v>
      </c>
    </row>
    <row r="2477" spans="1:20" x14ac:dyDescent="0.25">
      <c r="A2477" s="364" t="s">
        <v>5831</v>
      </c>
      <c r="B2477" s="361" t="s">
        <v>5832</v>
      </c>
      <c r="C2477" t="s">
        <v>1920</v>
      </c>
      <c r="D2477" s="361">
        <v>56</v>
      </c>
      <c r="E2477" s="364"/>
      <c r="F2477" s="361" t="s">
        <v>1921</v>
      </c>
      <c r="T2477" s="361">
        <v>0.96</v>
      </c>
    </row>
    <row r="2478" spans="1:20" x14ac:dyDescent="0.25">
      <c r="A2478" s="364" t="s">
        <v>5833</v>
      </c>
      <c r="B2478" s="361" t="s">
        <v>5834</v>
      </c>
      <c r="C2478" t="s">
        <v>1920</v>
      </c>
      <c r="D2478" s="361">
        <v>20</v>
      </c>
      <c r="E2478" s="364"/>
      <c r="F2478" s="361" t="s">
        <v>1921</v>
      </c>
      <c r="T2478" s="361">
        <v>5.7000000000000002E-2</v>
      </c>
    </row>
    <row r="2479" spans="1:20" x14ac:dyDescent="0.25">
      <c r="A2479" s="364" t="s">
        <v>5835</v>
      </c>
      <c r="B2479" s="361" t="s">
        <v>5836</v>
      </c>
      <c r="C2479" t="s">
        <v>1920</v>
      </c>
      <c r="D2479" s="361">
        <v>24</v>
      </c>
      <c r="E2479" s="364"/>
      <c r="F2479" s="361" t="s">
        <v>1921</v>
      </c>
      <c r="T2479" s="361">
        <v>0.32472000000000001</v>
      </c>
    </row>
    <row r="2480" spans="1:20" x14ac:dyDescent="0.25">
      <c r="A2480" s="364" t="s">
        <v>5837</v>
      </c>
      <c r="B2480" s="361" t="s">
        <v>4969</v>
      </c>
      <c r="C2480" t="s">
        <v>1920</v>
      </c>
      <c r="D2480" s="361">
        <v>20</v>
      </c>
      <c r="E2480" s="364"/>
      <c r="F2480" s="361" t="s">
        <v>1921</v>
      </c>
      <c r="T2480" s="361">
        <v>3.3119999999999997E-2</v>
      </c>
    </row>
    <row r="2481" spans="1:20" x14ac:dyDescent="0.25">
      <c r="A2481" s="364" t="s">
        <v>5838</v>
      </c>
      <c r="B2481" s="361" t="s">
        <v>5839</v>
      </c>
      <c r="C2481" t="s">
        <v>1920</v>
      </c>
      <c r="D2481" s="361">
        <v>54</v>
      </c>
      <c r="E2481" s="364"/>
      <c r="F2481" s="361" t="s">
        <v>1921</v>
      </c>
      <c r="T2481" s="361">
        <v>0.27504000000000001</v>
      </c>
    </row>
    <row r="2482" spans="1:20" x14ac:dyDescent="0.25">
      <c r="A2482" s="364" t="s">
        <v>5840</v>
      </c>
      <c r="B2482" s="361" t="s">
        <v>5841</v>
      </c>
      <c r="C2482" t="s">
        <v>1920</v>
      </c>
      <c r="D2482" s="361">
        <v>54</v>
      </c>
      <c r="E2482" s="364"/>
      <c r="F2482" s="361" t="s">
        <v>1921</v>
      </c>
      <c r="T2482" s="361">
        <v>0.19411</v>
      </c>
    </row>
    <row r="2483" spans="1:20" x14ac:dyDescent="0.25">
      <c r="A2483" s="364" t="s">
        <v>5842</v>
      </c>
      <c r="B2483" s="361" t="s">
        <v>5843</v>
      </c>
      <c r="C2483" t="s">
        <v>1920</v>
      </c>
      <c r="D2483" s="361">
        <v>54</v>
      </c>
      <c r="E2483" s="364"/>
      <c r="F2483" s="361" t="s">
        <v>1921</v>
      </c>
      <c r="T2483" s="361">
        <v>0.30547000000000002</v>
      </c>
    </row>
    <row r="2484" spans="1:20" x14ac:dyDescent="0.25">
      <c r="A2484" s="364" t="s">
        <v>5844</v>
      </c>
      <c r="B2484" s="361" t="s">
        <v>5845</v>
      </c>
      <c r="C2484" t="s">
        <v>1920</v>
      </c>
      <c r="D2484" s="361">
        <v>54</v>
      </c>
      <c r="E2484" s="364"/>
      <c r="F2484" s="361" t="s">
        <v>1921</v>
      </c>
      <c r="T2484" s="361">
        <v>0.27640999999999999</v>
      </c>
    </row>
    <row r="2485" spans="1:20" x14ac:dyDescent="0.25">
      <c r="A2485" s="364" t="s">
        <v>5846</v>
      </c>
      <c r="B2485" s="361" t="s">
        <v>5847</v>
      </c>
      <c r="C2485" t="s">
        <v>1920</v>
      </c>
      <c r="D2485" s="361">
        <v>45</v>
      </c>
      <c r="E2485" s="364"/>
      <c r="F2485" s="361" t="s">
        <v>1917</v>
      </c>
      <c r="T2485" s="361">
        <v>32.9</v>
      </c>
    </row>
    <row r="2486" spans="1:20" x14ac:dyDescent="0.25">
      <c r="A2486" s="364" t="s">
        <v>5848</v>
      </c>
      <c r="B2486" s="361" t="s">
        <v>5849</v>
      </c>
      <c r="C2486" t="s">
        <v>1920</v>
      </c>
      <c r="D2486" s="361">
        <v>52</v>
      </c>
      <c r="E2486" s="364"/>
      <c r="F2486" s="361" t="s">
        <v>1921</v>
      </c>
      <c r="T2486" s="361">
        <v>3.8240000000000003E-2</v>
      </c>
    </row>
    <row r="2487" spans="1:20" x14ac:dyDescent="0.25">
      <c r="A2487" s="364" t="s">
        <v>1216</v>
      </c>
      <c r="B2487" s="361" t="s">
        <v>1217</v>
      </c>
      <c r="C2487" t="s">
        <v>1922</v>
      </c>
      <c r="D2487" s="361">
        <v>1</v>
      </c>
      <c r="E2487" s="364"/>
      <c r="F2487" s="361" t="s">
        <v>1917</v>
      </c>
      <c r="T2487" s="361">
        <v>34</v>
      </c>
    </row>
    <row r="2488" spans="1:20" x14ac:dyDescent="0.25">
      <c r="A2488" s="364" t="s">
        <v>1218</v>
      </c>
      <c r="B2488" s="361" t="s">
        <v>1219</v>
      </c>
      <c r="C2488" t="s">
        <v>1922</v>
      </c>
      <c r="D2488" s="361">
        <v>1</v>
      </c>
      <c r="E2488" s="364"/>
      <c r="F2488" s="361" t="s">
        <v>1917</v>
      </c>
      <c r="T2488" s="361">
        <v>57.1</v>
      </c>
    </row>
    <row r="2489" spans="1:20" x14ac:dyDescent="0.25">
      <c r="A2489" s="364" t="s">
        <v>1220</v>
      </c>
      <c r="B2489" s="361" t="s">
        <v>1221</v>
      </c>
      <c r="C2489" t="s">
        <v>1922</v>
      </c>
      <c r="D2489" s="361">
        <v>1</v>
      </c>
      <c r="E2489" s="364"/>
      <c r="F2489" s="361" t="s">
        <v>1917</v>
      </c>
      <c r="T2489" s="361">
        <v>118.83</v>
      </c>
    </row>
    <row r="2490" spans="1:20" x14ac:dyDescent="0.25">
      <c r="A2490" s="364" t="s">
        <v>5850</v>
      </c>
      <c r="B2490" s="361" t="s">
        <v>5851</v>
      </c>
      <c r="C2490" t="s">
        <v>1920</v>
      </c>
      <c r="D2490" s="361">
        <v>24</v>
      </c>
      <c r="E2490" s="364"/>
      <c r="F2490" s="361" t="s">
        <v>1921</v>
      </c>
      <c r="T2490" s="361">
        <v>5.9040000000000002E-2</v>
      </c>
    </row>
    <row r="2491" spans="1:20" x14ac:dyDescent="0.25">
      <c r="A2491" s="364" t="s">
        <v>5852</v>
      </c>
      <c r="B2491" s="361" t="s">
        <v>5853</v>
      </c>
      <c r="C2491" t="s">
        <v>1920</v>
      </c>
      <c r="D2491" s="361">
        <v>15</v>
      </c>
      <c r="E2491" s="364"/>
      <c r="F2491" s="361" t="s">
        <v>1917</v>
      </c>
      <c r="T2491" s="361">
        <v>37.299999999999997</v>
      </c>
    </row>
    <row r="2492" spans="1:20" x14ac:dyDescent="0.25">
      <c r="A2492" s="364" t="s">
        <v>5854</v>
      </c>
      <c r="B2492" s="361" t="s">
        <v>3328</v>
      </c>
      <c r="C2492" t="s">
        <v>1920</v>
      </c>
      <c r="D2492" s="361">
        <v>15</v>
      </c>
      <c r="E2492" s="364"/>
      <c r="F2492" s="361" t="s">
        <v>1917</v>
      </c>
      <c r="T2492" s="361">
        <v>49.6</v>
      </c>
    </row>
    <row r="2493" spans="1:20" x14ac:dyDescent="0.25">
      <c r="A2493" s="364" t="s">
        <v>5855</v>
      </c>
      <c r="B2493" s="361" t="s">
        <v>5856</v>
      </c>
      <c r="C2493" t="s">
        <v>1920</v>
      </c>
      <c r="D2493" s="361">
        <v>24</v>
      </c>
      <c r="E2493" s="364"/>
      <c r="F2493" s="361" t="s">
        <v>1921</v>
      </c>
      <c r="T2493" s="361">
        <v>0.34842000000000001</v>
      </c>
    </row>
    <row r="2494" spans="1:20" x14ac:dyDescent="0.25">
      <c r="A2494" s="364" t="s">
        <v>5857</v>
      </c>
      <c r="B2494" s="361" t="s">
        <v>5858</v>
      </c>
      <c r="C2494" t="s">
        <v>1920</v>
      </c>
      <c r="D2494" s="361">
        <v>22</v>
      </c>
      <c r="E2494" s="364"/>
      <c r="F2494" s="361" t="s">
        <v>1921</v>
      </c>
      <c r="T2494" s="361">
        <v>6.9930000000000006E-2</v>
      </c>
    </row>
    <row r="2495" spans="1:20" x14ac:dyDescent="0.25">
      <c r="A2495" s="364" t="s">
        <v>5859</v>
      </c>
      <c r="B2495" s="361" t="s">
        <v>4588</v>
      </c>
      <c r="C2495" t="s">
        <v>1920</v>
      </c>
      <c r="D2495" s="361">
        <v>20</v>
      </c>
      <c r="E2495" s="364"/>
      <c r="F2495" s="361" t="s">
        <v>1921</v>
      </c>
      <c r="T2495" s="361">
        <v>3.4200000000000001E-2</v>
      </c>
    </row>
    <row r="2496" spans="1:20" x14ac:dyDescent="0.25">
      <c r="A2496" s="364" t="s">
        <v>5860</v>
      </c>
      <c r="B2496" s="361" t="s">
        <v>5385</v>
      </c>
      <c r="C2496" t="s">
        <v>1920</v>
      </c>
      <c r="D2496" s="361">
        <v>18</v>
      </c>
      <c r="E2496" s="364"/>
      <c r="F2496" s="361" t="s">
        <v>1921</v>
      </c>
      <c r="T2496" s="361">
        <v>0.19991999999999999</v>
      </c>
    </row>
    <row r="2497" spans="1:20" x14ac:dyDescent="0.25">
      <c r="A2497" s="364" t="s">
        <v>5861</v>
      </c>
      <c r="B2497" s="361" t="s">
        <v>5425</v>
      </c>
      <c r="C2497" t="s">
        <v>1920</v>
      </c>
      <c r="D2497" s="361">
        <v>18</v>
      </c>
      <c r="E2497" s="364"/>
      <c r="F2497" s="361" t="s">
        <v>1921</v>
      </c>
      <c r="T2497" s="361">
        <v>0.20630000000000001</v>
      </c>
    </row>
    <row r="2498" spans="1:20" x14ac:dyDescent="0.25">
      <c r="A2498" s="364" t="s">
        <v>5862</v>
      </c>
      <c r="B2498" s="361" t="s">
        <v>5429</v>
      </c>
      <c r="C2498" t="s">
        <v>1920</v>
      </c>
      <c r="D2498" s="361">
        <v>18</v>
      </c>
      <c r="E2498" s="364"/>
      <c r="F2498" s="361" t="s">
        <v>1921</v>
      </c>
      <c r="T2498" s="361">
        <v>0.27922000000000002</v>
      </c>
    </row>
    <row r="2499" spans="1:20" x14ac:dyDescent="0.25">
      <c r="A2499" s="364" t="s">
        <v>5863</v>
      </c>
      <c r="B2499" s="361" t="s">
        <v>5864</v>
      </c>
      <c r="C2499" t="s">
        <v>1920</v>
      </c>
      <c r="D2499" s="361">
        <v>45</v>
      </c>
      <c r="E2499" s="364"/>
      <c r="F2499" s="361" t="s">
        <v>1917</v>
      </c>
      <c r="T2499" s="361">
        <v>95.5</v>
      </c>
    </row>
    <row r="2500" spans="1:20" x14ac:dyDescent="0.25">
      <c r="A2500" s="364" t="s">
        <v>5865</v>
      </c>
      <c r="B2500" s="361" t="s">
        <v>5866</v>
      </c>
      <c r="C2500" t="s">
        <v>1920</v>
      </c>
      <c r="D2500" s="361">
        <v>59</v>
      </c>
      <c r="E2500" s="364"/>
      <c r="F2500" s="361" t="s">
        <v>1917</v>
      </c>
      <c r="T2500" s="361">
        <v>28.4</v>
      </c>
    </row>
    <row r="2501" spans="1:20" x14ac:dyDescent="0.25">
      <c r="A2501" s="364" t="s">
        <v>5867</v>
      </c>
      <c r="B2501" s="361" t="s">
        <v>5560</v>
      </c>
      <c r="C2501" t="s">
        <v>1920</v>
      </c>
      <c r="D2501" s="361">
        <v>20</v>
      </c>
      <c r="E2501" s="364"/>
      <c r="F2501" s="361" t="s">
        <v>1921</v>
      </c>
      <c r="T2501" s="361">
        <v>6.1100000000000002E-2</v>
      </c>
    </row>
    <row r="2502" spans="1:20" x14ac:dyDescent="0.25">
      <c r="A2502" s="364" t="s">
        <v>1222</v>
      </c>
      <c r="B2502" s="361" t="s">
        <v>1223</v>
      </c>
      <c r="C2502" t="s">
        <v>1922</v>
      </c>
      <c r="D2502" s="361">
        <v>1</v>
      </c>
      <c r="E2502" s="364"/>
      <c r="F2502" s="361" t="s">
        <v>1921</v>
      </c>
      <c r="T2502" s="361">
        <v>1.4390000000000001</v>
      </c>
    </row>
    <row r="2503" spans="1:20" x14ac:dyDescent="0.25">
      <c r="A2503" s="364" t="s">
        <v>5868</v>
      </c>
      <c r="B2503" s="361" t="s">
        <v>5869</v>
      </c>
      <c r="C2503" t="s">
        <v>1920</v>
      </c>
      <c r="D2503" s="361">
        <v>24</v>
      </c>
      <c r="E2503" s="364"/>
      <c r="F2503" s="361" t="s">
        <v>1921</v>
      </c>
      <c r="T2503" s="361">
        <v>0.88022999999999996</v>
      </c>
    </row>
    <row r="2504" spans="1:20" x14ac:dyDescent="0.25">
      <c r="A2504" s="364" t="s">
        <v>5870</v>
      </c>
      <c r="B2504" s="361" t="s">
        <v>5871</v>
      </c>
      <c r="C2504" t="s">
        <v>1920</v>
      </c>
      <c r="D2504" s="361">
        <v>24</v>
      </c>
      <c r="E2504" s="364"/>
      <c r="F2504" s="361" t="s">
        <v>1921</v>
      </c>
      <c r="T2504" s="361">
        <v>1.081</v>
      </c>
    </row>
    <row r="2505" spans="1:20" x14ac:dyDescent="0.25">
      <c r="A2505" s="364" t="s">
        <v>5872</v>
      </c>
      <c r="B2505" s="361" t="s">
        <v>5873</v>
      </c>
      <c r="C2505" t="s">
        <v>1920</v>
      </c>
      <c r="D2505" s="361">
        <v>24</v>
      </c>
      <c r="E2505" s="364"/>
      <c r="F2505" s="361" t="s">
        <v>1921</v>
      </c>
      <c r="T2505" s="361">
        <v>3.1259100000000002</v>
      </c>
    </row>
    <row r="2506" spans="1:20" x14ac:dyDescent="0.25">
      <c r="A2506" s="364" t="s">
        <v>5874</v>
      </c>
      <c r="B2506" s="361" t="s">
        <v>5875</v>
      </c>
      <c r="C2506" t="s">
        <v>1920</v>
      </c>
      <c r="D2506" s="361">
        <v>24</v>
      </c>
      <c r="E2506" s="364"/>
      <c r="F2506" s="361" t="s">
        <v>1921</v>
      </c>
      <c r="T2506" s="361">
        <v>1.59213</v>
      </c>
    </row>
    <row r="2507" spans="1:20" x14ac:dyDescent="0.25">
      <c r="A2507" s="364" t="s">
        <v>5876</v>
      </c>
      <c r="B2507" s="361" t="s">
        <v>5877</v>
      </c>
      <c r="C2507" t="s">
        <v>1920</v>
      </c>
      <c r="D2507" s="361">
        <v>24</v>
      </c>
      <c r="E2507" s="364"/>
      <c r="F2507" s="361" t="s">
        <v>1921</v>
      </c>
      <c r="T2507" s="361">
        <v>3.1259100000000002</v>
      </c>
    </row>
    <row r="2508" spans="1:20" x14ac:dyDescent="0.25">
      <c r="A2508" s="364" t="s">
        <v>5878</v>
      </c>
      <c r="B2508" s="361" t="s">
        <v>5879</v>
      </c>
      <c r="C2508" t="s">
        <v>1920</v>
      </c>
      <c r="D2508" s="361">
        <v>24</v>
      </c>
      <c r="E2508" s="364"/>
      <c r="F2508" s="361" t="s">
        <v>1921</v>
      </c>
      <c r="T2508" s="361">
        <v>3.1259100000000002</v>
      </c>
    </row>
    <row r="2509" spans="1:20" x14ac:dyDescent="0.25">
      <c r="A2509" s="364" t="s">
        <v>5880</v>
      </c>
      <c r="B2509" s="361" t="s">
        <v>5881</v>
      </c>
      <c r="C2509" t="s">
        <v>1920</v>
      </c>
      <c r="D2509" s="361">
        <v>27</v>
      </c>
      <c r="E2509" s="364"/>
      <c r="F2509" s="361" t="s">
        <v>1921</v>
      </c>
      <c r="T2509" s="361">
        <v>0.63400000000000001</v>
      </c>
    </row>
    <row r="2510" spans="1:20" x14ac:dyDescent="0.25">
      <c r="A2510" s="364" t="s">
        <v>5882</v>
      </c>
      <c r="B2510" s="361" t="s">
        <v>5883</v>
      </c>
      <c r="C2510" t="s">
        <v>1920</v>
      </c>
      <c r="D2510" s="361">
        <v>52</v>
      </c>
      <c r="E2510" s="364"/>
      <c r="F2510" s="361" t="s">
        <v>1921</v>
      </c>
      <c r="T2510" s="361">
        <v>0.1037</v>
      </c>
    </row>
    <row r="2511" spans="1:20" x14ac:dyDescent="0.25">
      <c r="A2511" s="364" t="s">
        <v>5884</v>
      </c>
      <c r="B2511" s="361" t="s">
        <v>5885</v>
      </c>
      <c r="C2511" t="s">
        <v>2419</v>
      </c>
      <c r="D2511" s="361">
        <v>4</v>
      </c>
      <c r="E2511" s="364"/>
      <c r="F2511" s="361" t="s">
        <v>1921</v>
      </c>
      <c r="T2511" s="361">
        <v>5.1150000000000001E-2</v>
      </c>
    </row>
    <row r="2512" spans="1:20" x14ac:dyDescent="0.25">
      <c r="A2512" s="364" t="s">
        <v>5886</v>
      </c>
      <c r="B2512" s="361" t="s">
        <v>5887</v>
      </c>
      <c r="C2512" t="s">
        <v>2419</v>
      </c>
      <c r="D2512" s="361">
        <v>4</v>
      </c>
      <c r="E2512" s="364"/>
      <c r="F2512" s="361" t="s">
        <v>1921</v>
      </c>
      <c r="T2512" s="361">
        <v>1.1129999999999999E-2</v>
      </c>
    </row>
    <row r="2513" spans="1:20" x14ac:dyDescent="0.25">
      <c r="A2513" s="364" t="s">
        <v>5888</v>
      </c>
      <c r="B2513" s="361" t="s">
        <v>5889</v>
      </c>
      <c r="C2513" t="s">
        <v>2419</v>
      </c>
      <c r="D2513" s="361">
        <v>4</v>
      </c>
      <c r="E2513" s="364"/>
      <c r="F2513" s="361" t="s">
        <v>1921</v>
      </c>
      <c r="T2513" s="361">
        <v>1.1310000000000001E-2</v>
      </c>
    </row>
    <row r="2514" spans="1:20" x14ac:dyDescent="0.25">
      <c r="A2514" s="364" t="s">
        <v>5890</v>
      </c>
      <c r="B2514" s="361" t="s">
        <v>5891</v>
      </c>
      <c r="C2514" t="s">
        <v>2419</v>
      </c>
      <c r="D2514" s="361">
        <v>4</v>
      </c>
      <c r="E2514" s="364"/>
      <c r="F2514" s="361" t="s">
        <v>1921</v>
      </c>
      <c r="T2514" s="361">
        <v>3.1899999999999998E-2</v>
      </c>
    </row>
    <row r="2515" spans="1:20" x14ac:dyDescent="0.25">
      <c r="A2515" s="364" t="s">
        <v>5892</v>
      </c>
      <c r="B2515" s="361" t="s">
        <v>5893</v>
      </c>
      <c r="C2515" t="s">
        <v>2419</v>
      </c>
      <c r="D2515" s="361">
        <v>4</v>
      </c>
      <c r="E2515" s="364"/>
      <c r="F2515" s="361" t="s">
        <v>1921</v>
      </c>
      <c r="T2515" s="361">
        <v>2.206E-2</v>
      </c>
    </row>
    <row r="2516" spans="1:20" x14ac:dyDescent="0.25">
      <c r="A2516" s="364" t="s">
        <v>5894</v>
      </c>
      <c r="B2516" s="361" t="s">
        <v>5895</v>
      </c>
      <c r="C2516" t="s">
        <v>2419</v>
      </c>
      <c r="D2516" s="361">
        <v>4</v>
      </c>
      <c r="E2516" s="364"/>
      <c r="F2516" s="361" t="s">
        <v>1921</v>
      </c>
      <c r="T2516" s="361">
        <v>7.9699999999999997E-3</v>
      </c>
    </row>
    <row r="2517" spans="1:20" x14ac:dyDescent="0.25">
      <c r="A2517" s="364" t="s">
        <v>5896</v>
      </c>
      <c r="B2517" s="361" t="s">
        <v>5897</v>
      </c>
      <c r="C2517" t="s">
        <v>2419</v>
      </c>
      <c r="D2517" s="361">
        <v>4</v>
      </c>
      <c r="E2517" s="364"/>
      <c r="F2517" s="361" t="s">
        <v>1921</v>
      </c>
      <c r="T2517" s="361">
        <v>2.196E-2</v>
      </c>
    </row>
    <row r="2518" spans="1:20" x14ac:dyDescent="0.25">
      <c r="A2518" s="364" t="s">
        <v>5898</v>
      </c>
      <c r="B2518" s="361" t="s">
        <v>5899</v>
      </c>
      <c r="C2518" t="s">
        <v>2419</v>
      </c>
      <c r="D2518" s="361">
        <v>4</v>
      </c>
      <c r="E2518" s="364"/>
      <c r="F2518" s="361" t="s">
        <v>1921</v>
      </c>
      <c r="T2518" s="361">
        <v>2.2780000000000002E-2</v>
      </c>
    </row>
    <row r="2519" spans="1:20" x14ac:dyDescent="0.25">
      <c r="A2519" s="364" t="s">
        <v>5900</v>
      </c>
      <c r="B2519" s="361" t="s">
        <v>5901</v>
      </c>
      <c r="C2519" t="s">
        <v>2419</v>
      </c>
      <c r="D2519" s="361">
        <v>4</v>
      </c>
      <c r="E2519" s="364"/>
      <c r="F2519" s="361" t="s">
        <v>1921</v>
      </c>
      <c r="T2519" s="361">
        <v>1.5429999999999999E-2</v>
      </c>
    </row>
    <row r="2520" spans="1:20" x14ac:dyDescent="0.25">
      <c r="A2520" s="364" t="s">
        <v>5902</v>
      </c>
      <c r="B2520" s="361" t="s">
        <v>5903</v>
      </c>
      <c r="C2520" t="s">
        <v>2419</v>
      </c>
      <c r="D2520" s="361">
        <v>4</v>
      </c>
      <c r="E2520" s="364"/>
      <c r="F2520" s="361" t="s">
        <v>1921</v>
      </c>
      <c r="T2520" s="361">
        <v>6.9720000000000004E-2</v>
      </c>
    </row>
    <row r="2521" spans="1:20" x14ac:dyDescent="0.25">
      <c r="A2521" s="364" t="s">
        <v>5904</v>
      </c>
      <c r="B2521" s="361" t="s">
        <v>5905</v>
      </c>
      <c r="C2521" t="s">
        <v>2419</v>
      </c>
      <c r="D2521" s="361">
        <v>4</v>
      </c>
      <c r="E2521" s="364"/>
      <c r="F2521" s="361" t="s">
        <v>1921</v>
      </c>
      <c r="T2521" s="361">
        <v>2.3429999999999999E-2</v>
      </c>
    </row>
    <row r="2522" spans="1:20" x14ac:dyDescent="0.25">
      <c r="A2522" s="364" t="s">
        <v>5906</v>
      </c>
      <c r="B2522" s="361" t="s">
        <v>5907</v>
      </c>
      <c r="C2522" t="s">
        <v>2419</v>
      </c>
      <c r="D2522" s="361">
        <v>4</v>
      </c>
      <c r="E2522" s="364"/>
      <c r="F2522" s="361" t="s">
        <v>1921</v>
      </c>
      <c r="T2522" s="361">
        <v>8.5900000000000004E-3</v>
      </c>
    </row>
    <row r="2523" spans="1:20" x14ac:dyDescent="0.25">
      <c r="A2523" s="364" t="s">
        <v>5908</v>
      </c>
      <c r="B2523" s="361" t="s">
        <v>5909</v>
      </c>
      <c r="C2523" t="s">
        <v>2419</v>
      </c>
      <c r="D2523" s="361">
        <v>4</v>
      </c>
      <c r="E2523" s="364"/>
      <c r="F2523" s="361" t="s">
        <v>1921</v>
      </c>
      <c r="T2523" s="361">
        <v>1.5599999999999999E-2</v>
      </c>
    </row>
    <row r="2524" spans="1:20" x14ac:dyDescent="0.25">
      <c r="A2524" s="364" t="s">
        <v>5910</v>
      </c>
      <c r="B2524" s="361" t="s">
        <v>5911</v>
      </c>
      <c r="C2524" t="s">
        <v>2419</v>
      </c>
      <c r="D2524" s="361">
        <v>4</v>
      </c>
      <c r="E2524" s="364"/>
      <c r="F2524" s="361" t="s">
        <v>1921</v>
      </c>
      <c r="T2524" s="361">
        <v>3.3820000000000003E-2</v>
      </c>
    </row>
    <row r="2525" spans="1:20" x14ac:dyDescent="0.25">
      <c r="A2525" s="364" t="s">
        <v>5912</v>
      </c>
      <c r="B2525" s="361" t="s">
        <v>5913</v>
      </c>
      <c r="C2525" t="s">
        <v>2419</v>
      </c>
      <c r="D2525" s="361">
        <v>4</v>
      </c>
      <c r="E2525" s="364"/>
      <c r="F2525" s="361" t="s">
        <v>1921</v>
      </c>
      <c r="T2525" s="361">
        <v>1.644E-2</v>
      </c>
    </row>
    <row r="2526" spans="1:20" x14ac:dyDescent="0.25">
      <c r="A2526" s="364" t="s">
        <v>5914</v>
      </c>
      <c r="B2526" s="361" t="s">
        <v>5915</v>
      </c>
      <c r="C2526" t="s">
        <v>2419</v>
      </c>
      <c r="D2526" s="361">
        <v>4</v>
      </c>
      <c r="E2526" s="364"/>
      <c r="F2526" s="361" t="s">
        <v>1921</v>
      </c>
      <c r="T2526" s="361">
        <v>2.988E-2</v>
      </c>
    </row>
    <row r="2527" spans="1:20" x14ac:dyDescent="0.25">
      <c r="A2527" s="364" t="s">
        <v>5916</v>
      </c>
      <c r="B2527" s="361" t="s">
        <v>5917</v>
      </c>
      <c r="C2527" t="s">
        <v>2419</v>
      </c>
      <c r="D2527" s="361">
        <v>4</v>
      </c>
      <c r="E2527" s="364"/>
      <c r="F2527" s="361" t="s">
        <v>1921</v>
      </c>
      <c r="T2527" s="361">
        <v>2.129E-2</v>
      </c>
    </row>
    <row r="2528" spans="1:20" x14ac:dyDescent="0.25">
      <c r="A2528" s="364" t="s">
        <v>5918</v>
      </c>
      <c r="B2528" s="361" t="s">
        <v>5919</v>
      </c>
      <c r="C2528" t="s">
        <v>2419</v>
      </c>
      <c r="D2528" s="361">
        <v>4</v>
      </c>
      <c r="E2528" s="364"/>
      <c r="F2528" s="361" t="s">
        <v>1921</v>
      </c>
      <c r="T2528" s="361">
        <v>3.6229999999999998E-2</v>
      </c>
    </row>
    <row r="2529" spans="1:20" x14ac:dyDescent="0.25">
      <c r="A2529" s="364" t="s">
        <v>5920</v>
      </c>
      <c r="B2529" s="361" t="s">
        <v>5921</v>
      </c>
      <c r="C2529" t="s">
        <v>1920</v>
      </c>
      <c r="D2529" s="361">
        <v>50</v>
      </c>
      <c r="E2529" s="364"/>
      <c r="F2529" s="361" t="s">
        <v>1921</v>
      </c>
      <c r="T2529" s="361">
        <v>0.1</v>
      </c>
    </row>
    <row r="2530" spans="1:20" x14ac:dyDescent="0.25">
      <c r="A2530" s="364" t="s">
        <v>5922</v>
      </c>
      <c r="B2530" s="361" t="s">
        <v>5923</v>
      </c>
      <c r="C2530" t="s">
        <v>1920</v>
      </c>
      <c r="D2530" s="361">
        <v>33</v>
      </c>
      <c r="E2530" s="364"/>
      <c r="F2530" s="361" t="s">
        <v>1921</v>
      </c>
      <c r="T2530" s="361">
        <v>8.4099999999999994E-2</v>
      </c>
    </row>
    <row r="2531" spans="1:20" x14ac:dyDescent="0.25">
      <c r="A2531" s="364" t="s">
        <v>5924</v>
      </c>
      <c r="B2531" s="361" t="s">
        <v>5925</v>
      </c>
      <c r="C2531" t="s">
        <v>1920</v>
      </c>
      <c r="D2531" s="361">
        <v>27</v>
      </c>
      <c r="E2531" s="364"/>
      <c r="F2531" s="361" t="s">
        <v>1921</v>
      </c>
      <c r="T2531" s="361">
        <v>0.64900000000000002</v>
      </c>
    </row>
    <row r="2532" spans="1:20" x14ac:dyDescent="0.25">
      <c r="A2532" s="364" t="s">
        <v>5926</v>
      </c>
      <c r="B2532" s="361" t="s">
        <v>5927</v>
      </c>
      <c r="C2532" t="s">
        <v>1920</v>
      </c>
      <c r="D2532" s="361">
        <v>14</v>
      </c>
      <c r="E2532" s="364"/>
      <c r="F2532" s="361" t="s">
        <v>1917</v>
      </c>
      <c r="T2532" s="361">
        <v>7.44</v>
      </c>
    </row>
    <row r="2533" spans="1:20" x14ac:dyDescent="0.25">
      <c r="A2533" s="364" t="s">
        <v>1224</v>
      </c>
      <c r="B2533" s="361" t="s">
        <v>1225</v>
      </c>
      <c r="C2533" t="s">
        <v>1916</v>
      </c>
      <c r="D2533" s="361">
        <v>2</v>
      </c>
      <c r="E2533" s="364"/>
      <c r="F2533" s="361" t="s">
        <v>1917</v>
      </c>
      <c r="T2533" s="361">
        <v>18.899999999999999</v>
      </c>
    </row>
    <row r="2534" spans="1:20" x14ac:dyDescent="0.25">
      <c r="A2534" s="364" t="s">
        <v>5928</v>
      </c>
      <c r="B2534" s="361" t="s">
        <v>5929</v>
      </c>
      <c r="C2534" t="s">
        <v>1920</v>
      </c>
      <c r="D2534" s="361">
        <v>56</v>
      </c>
      <c r="E2534" s="364"/>
      <c r="F2534" s="361" t="s">
        <v>1921</v>
      </c>
      <c r="T2534" s="361">
        <v>0.748</v>
      </c>
    </row>
    <row r="2535" spans="1:20" x14ac:dyDescent="0.25">
      <c r="A2535" s="364" t="s">
        <v>5930</v>
      </c>
      <c r="B2535" s="361" t="s">
        <v>5931</v>
      </c>
      <c r="C2535" t="s">
        <v>1920</v>
      </c>
      <c r="D2535" s="361">
        <v>56</v>
      </c>
      <c r="E2535" s="364"/>
      <c r="F2535" s="361" t="s">
        <v>1921</v>
      </c>
      <c r="T2535" s="361">
        <v>0.748</v>
      </c>
    </row>
    <row r="2536" spans="1:20" x14ac:dyDescent="0.25">
      <c r="A2536" s="364" t="s">
        <v>1226</v>
      </c>
      <c r="B2536" s="361" t="s">
        <v>1227</v>
      </c>
      <c r="C2536" t="s">
        <v>1916</v>
      </c>
      <c r="D2536" s="361">
        <v>2</v>
      </c>
      <c r="E2536" s="364"/>
      <c r="F2536" s="361" t="s">
        <v>1917</v>
      </c>
      <c r="T2536" s="361">
        <v>17.27</v>
      </c>
    </row>
    <row r="2537" spans="1:20" x14ac:dyDescent="0.25">
      <c r="A2537" s="364" t="s">
        <v>1228</v>
      </c>
      <c r="B2537" s="361" t="s">
        <v>1229</v>
      </c>
      <c r="C2537" t="s">
        <v>1916</v>
      </c>
      <c r="D2537" s="361">
        <v>2</v>
      </c>
      <c r="E2537" s="364"/>
      <c r="F2537" s="361" t="s">
        <v>1917</v>
      </c>
      <c r="T2537" s="361">
        <v>16.3</v>
      </c>
    </row>
    <row r="2538" spans="1:20" x14ac:dyDescent="0.25">
      <c r="A2538" s="364" t="s">
        <v>1230</v>
      </c>
      <c r="B2538" s="361" t="s">
        <v>1231</v>
      </c>
      <c r="C2538" t="s">
        <v>1922</v>
      </c>
      <c r="D2538" s="361">
        <v>1</v>
      </c>
      <c r="E2538" s="364"/>
      <c r="F2538" s="361" t="s">
        <v>1917</v>
      </c>
      <c r="T2538" s="361">
        <v>33.9</v>
      </c>
    </row>
    <row r="2539" spans="1:20" x14ac:dyDescent="0.25">
      <c r="A2539" s="364" t="s">
        <v>1232</v>
      </c>
      <c r="B2539" s="361" t="s">
        <v>1233</v>
      </c>
      <c r="C2539" t="s">
        <v>1916</v>
      </c>
      <c r="D2539" s="361">
        <v>2</v>
      </c>
      <c r="E2539" s="364"/>
      <c r="F2539" s="361" t="s">
        <v>1917</v>
      </c>
      <c r="T2539" s="361">
        <v>4.2</v>
      </c>
    </row>
    <row r="2540" spans="1:20" x14ac:dyDescent="0.25">
      <c r="A2540" s="364" t="s">
        <v>158</v>
      </c>
      <c r="B2540" s="361" t="s">
        <v>870</v>
      </c>
      <c r="C2540" t="s">
        <v>1916</v>
      </c>
      <c r="D2540" s="361">
        <v>2</v>
      </c>
      <c r="E2540" s="364"/>
      <c r="F2540" s="361" t="s">
        <v>1917</v>
      </c>
      <c r="T2540" s="361">
        <v>540</v>
      </c>
    </row>
    <row r="2541" spans="1:20" x14ac:dyDescent="0.25">
      <c r="A2541" s="364" t="s">
        <v>1234</v>
      </c>
      <c r="B2541" s="361" t="s">
        <v>1235</v>
      </c>
      <c r="C2541" t="s">
        <v>1916</v>
      </c>
      <c r="D2541" s="361">
        <v>2</v>
      </c>
      <c r="E2541" s="364"/>
      <c r="F2541" s="361" t="s">
        <v>1917</v>
      </c>
      <c r="T2541" s="361">
        <v>18.399999999999999</v>
      </c>
    </row>
    <row r="2542" spans="1:20" x14ac:dyDescent="0.25">
      <c r="A2542" s="364" t="s">
        <v>207</v>
      </c>
      <c r="B2542" s="361" t="s">
        <v>1236</v>
      </c>
      <c r="C2542" t="s">
        <v>1922</v>
      </c>
      <c r="D2542" s="361">
        <v>1</v>
      </c>
      <c r="E2542" s="364"/>
      <c r="F2542" s="361" t="s">
        <v>1917</v>
      </c>
      <c r="T2542" s="361">
        <v>10.15</v>
      </c>
    </row>
    <row r="2543" spans="1:20" x14ac:dyDescent="0.25">
      <c r="A2543" s="364" t="s">
        <v>5932</v>
      </c>
      <c r="B2543" s="361" t="s">
        <v>5933</v>
      </c>
      <c r="C2543" t="s">
        <v>1920</v>
      </c>
      <c r="D2543" s="361">
        <v>11</v>
      </c>
      <c r="E2543" s="364"/>
      <c r="F2543" s="361" t="s">
        <v>1921</v>
      </c>
      <c r="T2543" s="361">
        <v>0.10299999999999999</v>
      </c>
    </row>
    <row r="2544" spans="1:20" x14ac:dyDescent="0.25">
      <c r="A2544" s="364" t="s">
        <v>1237</v>
      </c>
      <c r="B2544" s="361" t="s">
        <v>1238</v>
      </c>
      <c r="C2544" t="s">
        <v>1922</v>
      </c>
      <c r="D2544" s="361">
        <v>1</v>
      </c>
      <c r="E2544" s="364"/>
      <c r="F2544" s="361" t="s">
        <v>1917</v>
      </c>
      <c r="T2544" s="361">
        <v>3.2</v>
      </c>
    </row>
    <row r="2545" spans="1:20" x14ac:dyDescent="0.25">
      <c r="A2545" s="364" t="s">
        <v>1239</v>
      </c>
      <c r="B2545" s="361" t="s">
        <v>1240</v>
      </c>
      <c r="C2545" t="s">
        <v>1922</v>
      </c>
      <c r="D2545" s="361">
        <v>1</v>
      </c>
      <c r="E2545" s="364"/>
      <c r="F2545" s="361" t="s">
        <v>1917</v>
      </c>
      <c r="T2545" s="361">
        <v>9.58</v>
      </c>
    </row>
    <row r="2546" spans="1:20" x14ac:dyDescent="0.25">
      <c r="A2546" s="364" t="s">
        <v>5934</v>
      </c>
      <c r="B2546" s="361" t="s">
        <v>5935</v>
      </c>
      <c r="C2546" t="s">
        <v>2419</v>
      </c>
      <c r="D2546" s="361">
        <v>4</v>
      </c>
      <c r="E2546" s="364"/>
      <c r="F2546" s="361" t="s">
        <v>1917</v>
      </c>
      <c r="T2546" s="361">
        <v>4.74</v>
      </c>
    </row>
    <row r="2547" spans="1:20" x14ac:dyDescent="0.25">
      <c r="A2547" s="364" t="s">
        <v>1241</v>
      </c>
      <c r="B2547" s="361" t="s">
        <v>1242</v>
      </c>
      <c r="C2547" t="s">
        <v>1916</v>
      </c>
      <c r="D2547" s="361">
        <v>2</v>
      </c>
      <c r="E2547" s="364"/>
      <c r="F2547" s="361" t="s">
        <v>1917</v>
      </c>
      <c r="T2547" s="361">
        <v>15.2</v>
      </c>
    </row>
    <row r="2548" spans="1:20" x14ac:dyDescent="0.25">
      <c r="A2548" s="364" t="s">
        <v>252</v>
      </c>
      <c r="B2548" s="361" t="s">
        <v>1243</v>
      </c>
      <c r="C2548" t="s">
        <v>1922</v>
      </c>
      <c r="D2548" s="361">
        <v>1</v>
      </c>
      <c r="E2548" s="364"/>
      <c r="F2548" s="361" t="s">
        <v>1917</v>
      </c>
      <c r="T2548" s="361">
        <v>119.54</v>
      </c>
    </row>
    <row r="2549" spans="1:20" x14ac:dyDescent="0.25">
      <c r="A2549" s="364" t="s">
        <v>1244</v>
      </c>
      <c r="B2549" s="361" t="s">
        <v>1245</v>
      </c>
      <c r="C2549" t="s">
        <v>1922</v>
      </c>
      <c r="D2549" s="361">
        <v>5</v>
      </c>
      <c r="E2549" s="364"/>
      <c r="F2549" s="361" t="s">
        <v>1917</v>
      </c>
      <c r="T2549" s="361">
        <v>12.21</v>
      </c>
    </row>
    <row r="2550" spans="1:20" x14ac:dyDescent="0.25">
      <c r="A2550" s="364" t="s">
        <v>145</v>
      </c>
      <c r="B2550" s="361" t="s">
        <v>1246</v>
      </c>
      <c r="C2550" t="s">
        <v>1916</v>
      </c>
      <c r="D2550" s="361">
        <v>2</v>
      </c>
      <c r="E2550" s="364"/>
      <c r="F2550" s="361" t="s">
        <v>1917</v>
      </c>
      <c r="T2550" s="361">
        <v>5.25</v>
      </c>
    </row>
    <row r="2551" spans="1:20" x14ac:dyDescent="0.25">
      <c r="A2551" s="364" t="s">
        <v>1247</v>
      </c>
      <c r="B2551" s="361" t="s">
        <v>1248</v>
      </c>
      <c r="C2551" t="s">
        <v>1922</v>
      </c>
      <c r="D2551" s="361">
        <v>1</v>
      </c>
      <c r="E2551" s="364"/>
      <c r="F2551" s="361" t="s">
        <v>1917</v>
      </c>
      <c r="T2551" s="361">
        <v>7.8</v>
      </c>
    </row>
    <row r="2552" spans="1:20" x14ac:dyDescent="0.25">
      <c r="A2552" s="364" t="s">
        <v>1249</v>
      </c>
      <c r="B2552" s="361" t="s">
        <v>1250</v>
      </c>
      <c r="C2552" t="s">
        <v>1922</v>
      </c>
      <c r="D2552" s="361">
        <v>1</v>
      </c>
      <c r="E2552" s="364"/>
      <c r="F2552" s="361" t="s">
        <v>1917</v>
      </c>
      <c r="T2552" s="361">
        <v>2.9</v>
      </c>
    </row>
    <row r="2553" spans="1:20" x14ac:dyDescent="0.25">
      <c r="A2553" s="364" t="s">
        <v>1251</v>
      </c>
      <c r="B2553" s="361" t="s">
        <v>1252</v>
      </c>
      <c r="C2553" t="s">
        <v>1922</v>
      </c>
      <c r="D2553" s="361">
        <v>5</v>
      </c>
      <c r="E2553" s="364"/>
      <c r="F2553" s="361" t="s">
        <v>1917</v>
      </c>
      <c r="T2553" s="361">
        <v>7.4</v>
      </c>
    </row>
    <row r="2554" spans="1:20" x14ac:dyDescent="0.25">
      <c r="A2554" s="364" t="s">
        <v>1253</v>
      </c>
      <c r="B2554" s="361" t="s">
        <v>1254</v>
      </c>
      <c r="C2554" t="s">
        <v>1922</v>
      </c>
      <c r="D2554" s="361">
        <v>1</v>
      </c>
      <c r="E2554" s="364"/>
      <c r="F2554" s="361" t="s">
        <v>1917</v>
      </c>
      <c r="T2554" s="361">
        <v>35.67</v>
      </c>
    </row>
    <row r="2555" spans="1:20" x14ac:dyDescent="0.25">
      <c r="A2555" s="364" t="s">
        <v>1255</v>
      </c>
      <c r="B2555" s="361" t="s">
        <v>1256</v>
      </c>
      <c r="C2555" t="s">
        <v>1922</v>
      </c>
      <c r="D2555" s="361">
        <v>5</v>
      </c>
      <c r="E2555" s="364"/>
      <c r="F2555" s="361" t="s">
        <v>1917</v>
      </c>
      <c r="T2555" s="361">
        <v>4365.8500000000004</v>
      </c>
    </row>
    <row r="2556" spans="1:20" x14ac:dyDescent="0.25">
      <c r="A2556" s="364" t="s">
        <v>1257</v>
      </c>
      <c r="B2556" s="361" t="s">
        <v>1258</v>
      </c>
      <c r="C2556" t="s">
        <v>1922</v>
      </c>
      <c r="D2556" s="361">
        <v>1</v>
      </c>
      <c r="E2556" s="364"/>
      <c r="F2556" s="361" t="s">
        <v>1917</v>
      </c>
      <c r="T2556" s="361">
        <v>2.08</v>
      </c>
    </row>
    <row r="2557" spans="1:20" x14ac:dyDescent="0.25">
      <c r="A2557" s="364" t="s">
        <v>267</v>
      </c>
      <c r="B2557" s="361" t="s">
        <v>1259</v>
      </c>
      <c r="C2557" t="s">
        <v>1916</v>
      </c>
      <c r="D2557" s="361">
        <v>2</v>
      </c>
      <c r="E2557" s="364"/>
      <c r="F2557" s="361" t="s">
        <v>1917</v>
      </c>
      <c r="T2557" s="361">
        <v>1031.67</v>
      </c>
    </row>
    <row r="2558" spans="1:20" x14ac:dyDescent="0.25">
      <c r="A2558" s="364" t="s">
        <v>1260</v>
      </c>
      <c r="B2558" s="361" t="s">
        <v>1261</v>
      </c>
      <c r="C2558" t="s">
        <v>1922</v>
      </c>
      <c r="D2558" s="361">
        <v>1</v>
      </c>
      <c r="E2558" s="364"/>
      <c r="F2558" s="361" t="s">
        <v>1917</v>
      </c>
      <c r="T2558" s="361">
        <v>103.47</v>
      </c>
    </row>
    <row r="2559" spans="1:20" x14ac:dyDescent="0.25">
      <c r="A2559" s="364" t="s">
        <v>1262</v>
      </c>
      <c r="B2559" s="361" t="s">
        <v>1263</v>
      </c>
      <c r="C2559" t="s">
        <v>1922</v>
      </c>
      <c r="D2559" s="361">
        <v>1</v>
      </c>
      <c r="E2559" s="364"/>
      <c r="F2559" s="361" t="s">
        <v>1917</v>
      </c>
      <c r="T2559" s="361">
        <v>111.19</v>
      </c>
    </row>
    <row r="2560" spans="1:20" x14ac:dyDescent="0.25">
      <c r="A2560" s="364" t="s">
        <v>1264</v>
      </c>
      <c r="B2560" s="361" t="s">
        <v>1265</v>
      </c>
      <c r="C2560" t="s">
        <v>1922</v>
      </c>
      <c r="D2560" s="361">
        <v>97</v>
      </c>
      <c r="E2560" s="364"/>
      <c r="F2560" s="361" t="s">
        <v>2022</v>
      </c>
      <c r="T2560" s="361">
        <v>5.1963999999999997</v>
      </c>
    </row>
    <row r="2561" spans="1:20" x14ac:dyDescent="0.25">
      <c r="A2561" s="364" t="s">
        <v>1266</v>
      </c>
      <c r="B2561" s="361" t="s">
        <v>1267</v>
      </c>
      <c r="C2561" t="s">
        <v>1922</v>
      </c>
      <c r="D2561" s="361">
        <v>97</v>
      </c>
      <c r="E2561" s="364"/>
      <c r="F2561" s="361" t="s">
        <v>2022</v>
      </c>
      <c r="T2561" s="361">
        <v>3.22</v>
      </c>
    </row>
    <row r="2562" spans="1:20" x14ac:dyDescent="0.25">
      <c r="A2562" s="364" t="s">
        <v>5936</v>
      </c>
      <c r="B2562" s="361" t="s">
        <v>5937</v>
      </c>
      <c r="C2562" t="s">
        <v>1920</v>
      </c>
      <c r="D2562" s="361">
        <v>20</v>
      </c>
      <c r="E2562" s="364"/>
      <c r="F2562" s="361" t="s">
        <v>1921</v>
      </c>
      <c r="T2562" s="361">
        <v>3.1600000000000003E-2</v>
      </c>
    </row>
    <row r="2563" spans="1:20" x14ac:dyDescent="0.25">
      <c r="A2563" s="364" t="s">
        <v>1268</v>
      </c>
      <c r="B2563" s="361" t="s">
        <v>1269</v>
      </c>
      <c r="C2563" t="s">
        <v>1922</v>
      </c>
      <c r="D2563" s="361">
        <v>1</v>
      </c>
      <c r="E2563" s="364"/>
      <c r="F2563" s="361" t="s">
        <v>1917</v>
      </c>
      <c r="T2563" s="361">
        <v>28.09</v>
      </c>
    </row>
    <row r="2564" spans="1:20" x14ac:dyDescent="0.25">
      <c r="A2564" s="364" t="s">
        <v>164</v>
      </c>
      <c r="B2564" s="361" t="s">
        <v>1270</v>
      </c>
      <c r="C2564" t="s">
        <v>1922</v>
      </c>
      <c r="D2564" s="361">
        <v>1</v>
      </c>
      <c r="E2564" s="364"/>
      <c r="F2564" s="361" t="s">
        <v>1917</v>
      </c>
      <c r="T2564" s="361">
        <v>6.18</v>
      </c>
    </row>
    <row r="2565" spans="1:20" x14ac:dyDescent="0.25">
      <c r="A2565" s="364" t="s">
        <v>173</v>
      </c>
      <c r="B2565" s="361" t="s">
        <v>1271</v>
      </c>
      <c r="C2565" t="s">
        <v>1916</v>
      </c>
      <c r="D2565" s="361">
        <v>2</v>
      </c>
      <c r="E2565" s="364"/>
      <c r="F2565" s="361" t="s">
        <v>1917</v>
      </c>
      <c r="T2565" s="361">
        <v>106.2</v>
      </c>
    </row>
    <row r="2566" spans="1:20" x14ac:dyDescent="0.25">
      <c r="A2566" s="364" t="s">
        <v>1272</v>
      </c>
      <c r="B2566" s="361" t="s">
        <v>1273</v>
      </c>
      <c r="C2566" t="s">
        <v>1922</v>
      </c>
      <c r="D2566" s="361">
        <v>1</v>
      </c>
      <c r="E2566" s="364"/>
      <c r="F2566" s="361" t="s">
        <v>1917</v>
      </c>
      <c r="T2566" s="361">
        <v>10.89</v>
      </c>
    </row>
    <row r="2567" spans="1:20" x14ac:dyDescent="0.25">
      <c r="A2567" s="364" t="s">
        <v>1274</v>
      </c>
      <c r="B2567" s="361" t="s">
        <v>1275</v>
      </c>
      <c r="C2567" t="s">
        <v>1916</v>
      </c>
      <c r="D2567" s="361">
        <v>2</v>
      </c>
      <c r="E2567" s="364"/>
      <c r="F2567" s="361" t="s">
        <v>1917</v>
      </c>
      <c r="T2567" s="361">
        <v>1637.72</v>
      </c>
    </row>
    <row r="2568" spans="1:20" x14ac:dyDescent="0.25">
      <c r="A2568" s="364" t="s">
        <v>1276</v>
      </c>
      <c r="B2568" s="361" t="s">
        <v>1277</v>
      </c>
      <c r="C2568" t="s">
        <v>1922</v>
      </c>
      <c r="D2568" s="361">
        <v>5</v>
      </c>
      <c r="E2568" s="364"/>
      <c r="F2568" s="361" t="s">
        <v>1917</v>
      </c>
      <c r="T2568" s="361">
        <v>350.6</v>
      </c>
    </row>
    <row r="2569" spans="1:20" x14ac:dyDescent="0.25">
      <c r="A2569" s="364" t="s">
        <v>171</v>
      </c>
      <c r="B2569" s="361" t="s">
        <v>1278</v>
      </c>
      <c r="C2569" t="s">
        <v>1922</v>
      </c>
      <c r="D2569" s="361">
        <v>1</v>
      </c>
      <c r="E2569" s="364"/>
      <c r="F2569" s="361" t="s">
        <v>1917</v>
      </c>
      <c r="T2569" s="361">
        <v>110</v>
      </c>
    </row>
    <row r="2570" spans="1:20" x14ac:dyDescent="0.25">
      <c r="A2570" s="364" t="s">
        <v>1279</v>
      </c>
      <c r="B2570" s="361" t="s">
        <v>1280</v>
      </c>
      <c r="C2570" t="s">
        <v>1922</v>
      </c>
      <c r="D2570" s="361">
        <v>1</v>
      </c>
      <c r="E2570" s="364"/>
      <c r="F2570" s="361" t="s">
        <v>1917</v>
      </c>
      <c r="T2570" s="361">
        <v>36.5</v>
      </c>
    </row>
    <row r="2571" spans="1:20" x14ac:dyDescent="0.25">
      <c r="A2571" s="364" t="s">
        <v>1281</v>
      </c>
      <c r="B2571" s="361" t="s">
        <v>1282</v>
      </c>
      <c r="C2571" t="s">
        <v>1922</v>
      </c>
      <c r="D2571" s="361">
        <v>1</v>
      </c>
      <c r="E2571" s="364"/>
      <c r="F2571" s="361" t="s">
        <v>1917</v>
      </c>
      <c r="T2571" s="361">
        <v>42.99</v>
      </c>
    </row>
    <row r="2572" spans="1:20" x14ac:dyDescent="0.25">
      <c r="A2572" s="364" t="s">
        <v>1283</v>
      </c>
      <c r="B2572" s="361" t="s">
        <v>1284</v>
      </c>
      <c r="C2572" t="s">
        <v>1922</v>
      </c>
      <c r="D2572" s="361">
        <v>1</v>
      </c>
      <c r="E2572" s="364"/>
      <c r="F2572" s="361" t="s">
        <v>1917</v>
      </c>
      <c r="T2572" s="361">
        <v>33.5</v>
      </c>
    </row>
    <row r="2573" spans="1:20" x14ac:dyDescent="0.25">
      <c r="A2573" s="364" t="s">
        <v>1285</v>
      </c>
      <c r="B2573" s="361" t="s">
        <v>1286</v>
      </c>
      <c r="C2573" t="s">
        <v>1916</v>
      </c>
      <c r="D2573" s="361">
        <v>2</v>
      </c>
      <c r="E2573" s="364"/>
      <c r="F2573" s="361" t="s">
        <v>1917</v>
      </c>
      <c r="T2573" s="361">
        <v>15.5</v>
      </c>
    </row>
    <row r="2574" spans="1:20" x14ac:dyDescent="0.25">
      <c r="A2574" s="364" t="s">
        <v>1287</v>
      </c>
      <c r="B2574" s="361" t="s">
        <v>1288</v>
      </c>
      <c r="C2574" t="s">
        <v>1922</v>
      </c>
      <c r="D2574" s="361">
        <v>5</v>
      </c>
      <c r="E2574" s="364"/>
      <c r="F2574" s="361" t="s">
        <v>1917</v>
      </c>
      <c r="T2574" s="361">
        <v>127.17</v>
      </c>
    </row>
    <row r="2575" spans="1:20" x14ac:dyDescent="0.25">
      <c r="A2575" s="364" t="s">
        <v>187</v>
      </c>
      <c r="B2575" s="361" t="s">
        <v>1289</v>
      </c>
      <c r="C2575" t="s">
        <v>1916</v>
      </c>
      <c r="D2575" s="361">
        <v>2</v>
      </c>
      <c r="E2575" s="364"/>
      <c r="F2575" s="361" t="s">
        <v>1917</v>
      </c>
      <c r="T2575" s="361">
        <v>57.5</v>
      </c>
    </row>
    <row r="2576" spans="1:20" x14ac:dyDescent="0.25">
      <c r="A2576" s="364" t="s">
        <v>1290</v>
      </c>
      <c r="B2576" s="361" t="s">
        <v>1291</v>
      </c>
      <c r="C2576" t="s">
        <v>1922</v>
      </c>
      <c r="D2576" s="361">
        <v>5</v>
      </c>
      <c r="E2576" s="364"/>
      <c r="F2576" s="361" t="s">
        <v>1917</v>
      </c>
      <c r="T2576" s="361">
        <v>74.8</v>
      </c>
    </row>
    <row r="2577" spans="1:20" x14ac:dyDescent="0.25">
      <c r="A2577" s="364" t="s">
        <v>1292</v>
      </c>
      <c r="B2577" s="361" t="s">
        <v>1293</v>
      </c>
      <c r="C2577" t="s">
        <v>1922</v>
      </c>
      <c r="D2577" s="361">
        <v>1</v>
      </c>
      <c r="E2577" s="364"/>
      <c r="F2577" s="361" t="s">
        <v>1917</v>
      </c>
      <c r="T2577" s="361">
        <v>44.07</v>
      </c>
    </row>
    <row r="2578" spans="1:20" x14ac:dyDescent="0.25">
      <c r="A2578" s="364" t="s">
        <v>1294</v>
      </c>
      <c r="B2578" s="361" t="s">
        <v>1295</v>
      </c>
      <c r="C2578" t="s">
        <v>1922</v>
      </c>
      <c r="D2578" s="361">
        <v>5</v>
      </c>
      <c r="E2578" s="364"/>
      <c r="F2578" s="361" t="s">
        <v>1917</v>
      </c>
      <c r="T2578" s="361">
        <v>93.12</v>
      </c>
    </row>
    <row r="2579" spans="1:20" x14ac:dyDescent="0.25">
      <c r="A2579" s="364" t="s">
        <v>1296</v>
      </c>
      <c r="B2579" s="361" t="s">
        <v>1297</v>
      </c>
      <c r="C2579" t="s">
        <v>1922</v>
      </c>
      <c r="D2579" s="361">
        <v>5</v>
      </c>
      <c r="E2579" s="364"/>
      <c r="F2579" s="361" t="s">
        <v>1917</v>
      </c>
      <c r="T2579" s="361">
        <v>11.5</v>
      </c>
    </row>
    <row r="2580" spans="1:20" x14ac:dyDescent="0.25">
      <c r="A2580" s="364" t="s">
        <v>198</v>
      </c>
      <c r="B2580" s="361" t="s">
        <v>1298</v>
      </c>
      <c r="C2580" t="s">
        <v>1922</v>
      </c>
      <c r="D2580" s="361">
        <v>1</v>
      </c>
      <c r="E2580" s="364"/>
      <c r="F2580" s="361" t="s">
        <v>1917</v>
      </c>
      <c r="T2580" s="361">
        <v>1.35</v>
      </c>
    </row>
    <row r="2581" spans="1:20" x14ac:dyDescent="0.25">
      <c r="A2581" s="364" t="s">
        <v>1299</v>
      </c>
      <c r="B2581" s="361" t="s">
        <v>1300</v>
      </c>
      <c r="C2581" t="s">
        <v>1922</v>
      </c>
      <c r="D2581" s="361">
        <v>5</v>
      </c>
      <c r="E2581" s="364"/>
      <c r="F2581" s="361" t="s">
        <v>1917</v>
      </c>
      <c r="T2581" s="361">
        <v>720</v>
      </c>
    </row>
    <row r="2582" spans="1:20" x14ac:dyDescent="0.25">
      <c r="A2582" s="364" t="s">
        <v>189</v>
      </c>
      <c r="B2582" s="361" t="s">
        <v>1301</v>
      </c>
      <c r="C2582" t="s">
        <v>1922</v>
      </c>
      <c r="D2582" s="361">
        <v>1</v>
      </c>
      <c r="E2582" s="364"/>
      <c r="F2582" s="361" t="s">
        <v>1917</v>
      </c>
      <c r="T2582" s="361">
        <v>15</v>
      </c>
    </row>
    <row r="2583" spans="1:20" x14ac:dyDescent="0.25">
      <c r="A2583" s="364" t="s">
        <v>208</v>
      </c>
      <c r="B2583" s="361" t="s">
        <v>1302</v>
      </c>
      <c r="C2583" t="s">
        <v>1916</v>
      </c>
      <c r="D2583" s="361">
        <v>2</v>
      </c>
      <c r="E2583" s="364"/>
      <c r="F2583" s="361" t="s">
        <v>1917</v>
      </c>
      <c r="T2583" s="361">
        <v>12515</v>
      </c>
    </row>
    <row r="2584" spans="1:20" x14ac:dyDescent="0.25">
      <c r="A2584" s="364" t="s">
        <v>1303</v>
      </c>
      <c r="B2584" s="361" t="s">
        <v>1304</v>
      </c>
      <c r="C2584" t="s">
        <v>1922</v>
      </c>
      <c r="D2584" s="361">
        <v>1</v>
      </c>
      <c r="E2584" s="364"/>
      <c r="F2584" s="361" t="s">
        <v>1917</v>
      </c>
      <c r="T2584" s="361">
        <v>18</v>
      </c>
    </row>
    <row r="2585" spans="1:20" x14ac:dyDescent="0.25">
      <c r="A2585" s="364" t="s">
        <v>1305</v>
      </c>
      <c r="B2585" s="361" t="s">
        <v>1306</v>
      </c>
      <c r="C2585" t="s">
        <v>1916</v>
      </c>
      <c r="D2585" s="361">
        <v>2</v>
      </c>
      <c r="E2585" s="364"/>
      <c r="F2585" s="361" t="s">
        <v>1917</v>
      </c>
      <c r="T2585" s="361">
        <v>927.5</v>
      </c>
    </row>
    <row r="2586" spans="1:20" x14ac:dyDescent="0.25">
      <c r="A2586" s="364" t="s">
        <v>1307</v>
      </c>
      <c r="B2586" s="361" t="s">
        <v>1308</v>
      </c>
      <c r="C2586" t="s">
        <v>1922</v>
      </c>
      <c r="D2586" s="361">
        <v>1</v>
      </c>
      <c r="E2586" s="364"/>
      <c r="F2586" s="361" t="s">
        <v>1917</v>
      </c>
      <c r="T2586" s="361">
        <v>7.95</v>
      </c>
    </row>
    <row r="2587" spans="1:20" x14ac:dyDescent="0.25">
      <c r="A2587" s="364" t="s">
        <v>1309</v>
      </c>
      <c r="B2587" s="361" t="s">
        <v>1310</v>
      </c>
      <c r="C2587" t="s">
        <v>1922</v>
      </c>
      <c r="D2587" s="361">
        <v>1</v>
      </c>
      <c r="E2587" s="364"/>
      <c r="F2587" s="361" t="s">
        <v>1917</v>
      </c>
      <c r="T2587" s="361">
        <v>62.4</v>
      </c>
    </row>
    <row r="2588" spans="1:20" x14ac:dyDescent="0.25">
      <c r="A2588" s="364" t="s">
        <v>1311</v>
      </c>
      <c r="B2588" s="361" t="s">
        <v>1312</v>
      </c>
      <c r="C2588" t="s">
        <v>1922</v>
      </c>
      <c r="D2588" s="361">
        <v>1</v>
      </c>
      <c r="E2588" s="364"/>
      <c r="F2588" s="361" t="s">
        <v>1917</v>
      </c>
      <c r="T2588" s="361">
        <v>21.44</v>
      </c>
    </row>
    <row r="2589" spans="1:20" x14ac:dyDescent="0.25">
      <c r="A2589" s="364" t="s">
        <v>1313</v>
      </c>
      <c r="B2589" s="361" t="s">
        <v>1314</v>
      </c>
      <c r="C2589" t="s">
        <v>1922</v>
      </c>
      <c r="D2589" s="361">
        <v>1</v>
      </c>
      <c r="E2589" s="364"/>
      <c r="F2589" s="361" t="s">
        <v>1917</v>
      </c>
      <c r="T2589" s="361">
        <v>44.77</v>
      </c>
    </row>
    <row r="2590" spans="1:20" x14ac:dyDescent="0.25">
      <c r="A2590" s="364" t="s">
        <v>1315</v>
      </c>
      <c r="B2590" s="361" t="s">
        <v>1316</v>
      </c>
      <c r="C2590" t="s">
        <v>1922</v>
      </c>
      <c r="D2590" s="361">
        <v>1</v>
      </c>
      <c r="E2590" s="364"/>
      <c r="F2590" s="361" t="s">
        <v>1917</v>
      </c>
      <c r="T2590" s="361">
        <v>14.85</v>
      </c>
    </row>
    <row r="2591" spans="1:20" x14ac:dyDescent="0.25">
      <c r="A2591" s="364" t="s">
        <v>215</v>
      </c>
      <c r="B2591" s="361" t="s">
        <v>1317</v>
      </c>
      <c r="C2591" t="s">
        <v>1916</v>
      </c>
      <c r="D2591" s="361">
        <v>2</v>
      </c>
      <c r="E2591" s="364"/>
      <c r="F2591" s="361" t="s">
        <v>1917</v>
      </c>
      <c r="T2591" s="361">
        <v>94.26</v>
      </c>
    </row>
    <row r="2592" spans="1:20" x14ac:dyDescent="0.25">
      <c r="A2592" s="364" t="s">
        <v>1318</v>
      </c>
      <c r="B2592" s="361" t="s">
        <v>1319</v>
      </c>
      <c r="C2592" t="s">
        <v>1922</v>
      </c>
      <c r="D2592" s="361">
        <v>97</v>
      </c>
      <c r="E2592" s="364"/>
      <c r="F2592" s="361" t="s">
        <v>2022</v>
      </c>
      <c r="T2592" s="361">
        <v>13.1668</v>
      </c>
    </row>
    <row r="2593" spans="1:20" x14ac:dyDescent="0.25">
      <c r="A2593" s="364" t="s">
        <v>1320</v>
      </c>
      <c r="B2593" s="361" t="s">
        <v>1321</v>
      </c>
      <c r="C2593" t="s">
        <v>1922</v>
      </c>
      <c r="D2593" s="361">
        <v>1</v>
      </c>
      <c r="E2593" s="364"/>
      <c r="F2593" s="361" t="s">
        <v>1917</v>
      </c>
      <c r="T2593" s="361">
        <v>2.76</v>
      </c>
    </row>
    <row r="2594" spans="1:20" x14ac:dyDescent="0.25">
      <c r="A2594" s="364" t="s">
        <v>1322</v>
      </c>
      <c r="B2594" s="361" t="s">
        <v>1323</v>
      </c>
      <c r="C2594" t="s">
        <v>1922</v>
      </c>
      <c r="D2594" s="361">
        <v>1</v>
      </c>
      <c r="E2594" s="364"/>
      <c r="F2594" s="361" t="s">
        <v>1917</v>
      </c>
      <c r="T2594" s="361">
        <v>10</v>
      </c>
    </row>
    <row r="2595" spans="1:20" x14ac:dyDescent="0.25">
      <c r="A2595" s="364" t="s">
        <v>1324</v>
      </c>
      <c r="B2595" s="361" t="s">
        <v>1325</v>
      </c>
      <c r="C2595" t="s">
        <v>1922</v>
      </c>
      <c r="D2595" s="361">
        <v>5</v>
      </c>
      <c r="E2595" s="364"/>
      <c r="F2595" s="361" t="s">
        <v>1917</v>
      </c>
      <c r="T2595" s="361">
        <v>37.799999999999997</v>
      </c>
    </row>
    <row r="2596" spans="1:20" x14ac:dyDescent="0.25">
      <c r="A2596" s="364" t="s">
        <v>1326</v>
      </c>
      <c r="B2596" s="361" t="s">
        <v>1327</v>
      </c>
      <c r="C2596" t="s">
        <v>1922</v>
      </c>
      <c r="D2596" s="361">
        <v>5</v>
      </c>
      <c r="E2596" s="364"/>
      <c r="F2596" s="361" t="s">
        <v>1917</v>
      </c>
      <c r="T2596" s="361">
        <v>4.3499999999999996</v>
      </c>
    </row>
    <row r="2597" spans="1:20" x14ac:dyDescent="0.25">
      <c r="A2597" s="364" t="s">
        <v>1328</v>
      </c>
      <c r="B2597" s="361" t="s">
        <v>1329</v>
      </c>
      <c r="C2597" t="s">
        <v>1916</v>
      </c>
      <c r="D2597" s="361">
        <v>2</v>
      </c>
      <c r="E2597" s="364"/>
      <c r="F2597" s="361" t="s">
        <v>1917</v>
      </c>
      <c r="T2597" s="361">
        <v>11</v>
      </c>
    </row>
    <row r="2598" spans="1:20" x14ac:dyDescent="0.25">
      <c r="A2598" s="364" t="s">
        <v>219</v>
      </c>
      <c r="B2598" s="361" t="s">
        <v>1330</v>
      </c>
      <c r="C2598" t="s">
        <v>1922</v>
      </c>
      <c r="D2598" s="361">
        <v>60</v>
      </c>
      <c r="E2598" s="364"/>
      <c r="F2598" s="361" t="s">
        <v>1917</v>
      </c>
      <c r="T2598" s="361">
        <v>5.6</v>
      </c>
    </row>
    <row r="2599" spans="1:20" x14ac:dyDescent="0.25">
      <c r="A2599" s="364" t="s">
        <v>1331</v>
      </c>
      <c r="B2599" s="361" t="s">
        <v>1332</v>
      </c>
      <c r="C2599" t="s">
        <v>1922</v>
      </c>
      <c r="D2599" s="361">
        <v>1</v>
      </c>
      <c r="E2599" s="364"/>
      <c r="F2599" s="361" t="s">
        <v>1917</v>
      </c>
      <c r="T2599" s="361">
        <v>11.1</v>
      </c>
    </row>
    <row r="2600" spans="1:20" x14ac:dyDescent="0.25">
      <c r="A2600" s="364" t="s">
        <v>218</v>
      </c>
      <c r="B2600" s="361" t="s">
        <v>1333</v>
      </c>
      <c r="C2600" t="s">
        <v>1922</v>
      </c>
      <c r="D2600" s="361">
        <v>1</v>
      </c>
      <c r="E2600" s="364"/>
      <c r="F2600" s="361" t="s">
        <v>1917</v>
      </c>
      <c r="T2600" s="361">
        <v>5.25</v>
      </c>
    </row>
    <row r="2601" spans="1:20" x14ac:dyDescent="0.25">
      <c r="A2601" s="364" t="s">
        <v>1334</v>
      </c>
      <c r="B2601" s="361" t="s">
        <v>1335</v>
      </c>
      <c r="C2601" t="s">
        <v>1916</v>
      </c>
      <c r="D2601" s="361">
        <v>2</v>
      </c>
      <c r="E2601" s="364"/>
      <c r="F2601" s="361" t="s">
        <v>1917</v>
      </c>
      <c r="T2601" s="361">
        <v>4.51</v>
      </c>
    </row>
    <row r="2602" spans="1:20" x14ac:dyDescent="0.25">
      <c r="A2602" s="364" t="s">
        <v>1336</v>
      </c>
      <c r="B2602" s="361" t="s">
        <v>1337</v>
      </c>
      <c r="C2602" t="s">
        <v>1916</v>
      </c>
      <c r="D2602" s="361">
        <v>2</v>
      </c>
      <c r="E2602" s="364"/>
      <c r="F2602" s="361" t="s">
        <v>1917</v>
      </c>
      <c r="T2602" s="361">
        <v>9.9499999999999993</v>
      </c>
    </row>
    <row r="2603" spans="1:20" x14ac:dyDescent="0.25">
      <c r="A2603" s="364" t="s">
        <v>1338</v>
      </c>
      <c r="B2603" s="361" t="s">
        <v>1339</v>
      </c>
      <c r="C2603" t="s">
        <v>1922</v>
      </c>
      <c r="D2603" s="361">
        <v>5</v>
      </c>
      <c r="E2603" s="364"/>
      <c r="F2603" s="361" t="s">
        <v>1917</v>
      </c>
      <c r="T2603" s="361">
        <v>5.46</v>
      </c>
    </row>
    <row r="2604" spans="1:20" x14ac:dyDescent="0.25">
      <c r="A2604" s="364" t="s">
        <v>1340</v>
      </c>
      <c r="B2604" s="361" t="s">
        <v>1341</v>
      </c>
      <c r="C2604" t="s">
        <v>1922</v>
      </c>
      <c r="D2604" s="361">
        <v>5</v>
      </c>
      <c r="E2604" s="364"/>
      <c r="F2604" s="361" t="s">
        <v>1917</v>
      </c>
      <c r="T2604" s="361">
        <v>63.35</v>
      </c>
    </row>
    <row r="2605" spans="1:20" x14ac:dyDescent="0.25">
      <c r="A2605" s="364" t="s">
        <v>1342</v>
      </c>
      <c r="B2605" s="361" t="s">
        <v>1343</v>
      </c>
      <c r="C2605" t="s">
        <v>1916</v>
      </c>
      <c r="D2605" s="361">
        <v>2</v>
      </c>
      <c r="E2605" s="364"/>
      <c r="F2605" s="361" t="s">
        <v>1917</v>
      </c>
      <c r="T2605" s="361">
        <v>4.37</v>
      </c>
    </row>
    <row r="2606" spans="1:20" x14ac:dyDescent="0.25">
      <c r="A2606" s="364" t="s">
        <v>1344</v>
      </c>
      <c r="B2606" s="361" t="s">
        <v>1345</v>
      </c>
      <c r="C2606" t="s">
        <v>1922</v>
      </c>
      <c r="D2606" s="361">
        <v>5</v>
      </c>
      <c r="E2606" s="364"/>
      <c r="F2606" s="361" t="s">
        <v>1917</v>
      </c>
      <c r="T2606" s="361">
        <v>41</v>
      </c>
    </row>
    <row r="2607" spans="1:20" x14ac:dyDescent="0.25">
      <c r="A2607" s="364" t="s">
        <v>1346</v>
      </c>
      <c r="B2607" s="361" t="s">
        <v>1347</v>
      </c>
      <c r="C2607" t="s">
        <v>1922</v>
      </c>
      <c r="D2607" s="361">
        <v>5</v>
      </c>
      <c r="E2607" s="364"/>
      <c r="F2607" s="361" t="s">
        <v>1917</v>
      </c>
      <c r="T2607" s="361">
        <v>20.5</v>
      </c>
    </row>
    <row r="2608" spans="1:20" x14ac:dyDescent="0.25">
      <c r="A2608" s="364" t="s">
        <v>1348</v>
      </c>
      <c r="B2608" s="361" t="s">
        <v>1349</v>
      </c>
      <c r="C2608" t="s">
        <v>1922</v>
      </c>
      <c r="D2608" s="361">
        <v>5</v>
      </c>
      <c r="E2608" s="364"/>
      <c r="F2608" s="361" t="s">
        <v>1917</v>
      </c>
      <c r="T2608" s="361">
        <v>144.16999999999999</v>
      </c>
    </row>
    <row r="2609" spans="1:20" x14ac:dyDescent="0.25">
      <c r="A2609" s="364" t="s">
        <v>1350</v>
      </c>
      <c r="B2609" s="361" t="s">
        <v>1351</v>
      </c>
      <c r="C2609" t="s">
        <v>1922</v>
      </c>
      <c r="D2609" s="361">
        <v>5</v>
      </c>
      <c r="E2609" s="364"/>
      <c r="F2609" s="361" t="s">
        <v>1917</v>
      </c>
      <c r="T2609" s="361">
        <v>160</v>
      </c>
    </row>
    <row r="2610" spans="1:20" x14ac:dyDescent="0.25">
      <c r="A2610" s="364" t="s">
        <v>106</v>
      </c>
      <c r="B2610" s="361" t="s">
        <v>1352</v>
      </c>
      <c r="C2610" t="s">
        <v>1922</v>
      </c>
      <c r="D2610" s="361">
        <v>1</v>
      </c>
      <c r="E2610" s="364"/>
      <c r="F2610" s="361" t="s">
        <v>1917</v>
      </c>
      <c r="T2610" s="361">
        <v>5.85</v>
      </c>
    </row>
    <row r="2611" spans="1:20" x14ac:dyDescent="0.25">
      <c r="A2611" s="364" t="s">
        <v>107</v>
      </c>
      <c r="B2611" s="361" t="s">
        <v>1353</v>
      </c>
      <c r="C2611" t="s">
        <v>1922</v>
      </c>
      <c r="D2611" s="361">
        <v>1</v>
      </c>
      <c r="E2611" s="364"/>
      <c r="F2611" s="361" t="s">
        <v>1917</v>
      </c>
      <c r="T2611" s="361">
        <v>9.15</v>
      </c>
    </row>
    <row r="2612" spans="1:20" x14ac:dyDescent="0.25">
      <c r="A2612" s="364" t="s">
        <v>1354</v>
      </c>
      <c r="B2612" s="361" t="s">
        <v>710</v>
      </c>
      <c r="C2612" t="s">
        <v>1922</v>
      </c>
      <c r="D2612" s="361">
        <v>1</v>
      </c>
      <c r="E2612" s="364"/>
      <c r="F2612" s="361" t="s">
        <v>1917</v>
      </c>
      <c r="T2612" s="361">
        <v>7.9</v>
      </c>
    </row>
    <row r="2613" spans="1:20" x14ac:dyDescent="0.25">
      <c r="A2613" s="364" t="s">
        <v>1355</v>
      </c>
      <c r="B2613" s="361" t="s">
        <v>1356</v>
      </c>
      <c r="C2613" t="s">
        <v>1916</v>
      </c>
      <c r="D2613" s="361">
        <v>2</v>
      </c>
      <c r="E2613" s="364"/>
      <c r="F2613" s="361" t="s">
        <v>1917</v>
      </c>
      <c r="T2613" s="361">
        <v>1860</v>
      </c>
    </row>
    <row r="2614" spans="1:20" x14ac:dyDescent="0.25">
      <c r="A2614" s="364" t="s">
        <v>1357</v>
      </c>
      <c r="B2614" s="361" t="s">
        <v>1358</v>
      </c>
      <c r="C2614" t="s">
        <v>1916</v>
      </c>
      <c r="D2614" s="361">
        <v>2</v>
      </c>
      <c r="E2614" s="364"/>
      <c r="F2614" s="361" t="s">
        <v>1917</v>
      </c>
      <c r="T2614" s="361">
        <v>256</v>
      </c>
    </row>
    <row r="2615" spans="1:20" x14ac:dyDescent="0.25">
      <c r="A2615" s="364" t="s">
        <v>1359</v>
      </c>
      <c r="B2615" s="361" t="s">
        <v>1360</v>
      </c>
      <c r="C2615" t="s">
        <v>1916</v>
      </c>
      <c r="D2615" s="361">
        <v>2</v>
      </c>
      <c r="E2615" s="364"/>
      <c r="F2615" s="361" t="s">
        <v>1917</v>
      </c>
      <c r="T2615" s="361">
        <v>21.45</v>
      </c>
    </row>
    <row r="2616" spans="1:20" x14ac:dyDescent="0.25">
      <c r="A2616" s="364" t="s">
        <v>1361</v>
      </c>
      <c r="B2616" s="361" t="s">
        <v>1362</v>
      </c>
      <c r="C2616" t="s">
        <v>1922</v>
      </c>
      <c r="D2616" s="361">
        <v>1</v>
      </c>
      <c r="E2616" s="364"/>
      <c r="F2616" s="361" t="s">
        <v>1917</v>
      </c>
      <c r="T2616" s="361">
        <v>33.06</v>
      </c>
    </row>
    <row r="2617" spans="1:20" x14ac:dyDescent="0.25">
      <c r="A2617" s="364" t="s">
        <v>1363</v>
      </c>
      <c r="B2617" s="361" t="s">
        <v>1364</v>
      </c>
      <c r="C2617" t="s">
        <v>1922</v>
      </c>
      <c r="D2617" s="361">
        <v>1</v>
      </c>
      <c r="E2617" s="364"/>
      <c r="F2617" s="361" t="s">
        <v>1917</v>
      </c>
      <c r="T2617" s="361">
        <v>19.87</v>
      </c>
    </row>
    <row r="2618" spans="1:20" x14ac:dyDescent="0.25">
      <c r="A2618" s="364" t="s">
        <v>282</v>
      </c>
      <c r="B2618" s="361" t="s">
        <v>1365</v>
      </c>
      <c r="C2618" t="s">
        <v>1922</v>
      </c>
      <c r="D2618" s="361">
        <v>1</v>
      </c>
      <c r="E2618" s="364"/>
      <c r="F2618" s="361" t="s">
        <v>1917</v>
      </c>
      <c r="T2618" s="361">
        <v>18.940000000000001</v>
      </c>
    </row>
    <row r="2619" spans="1:20" x14ac:dyDescent="0.25">
      <c r="A2619" s="364" t="s">
        <v>1366</v>
      </c>
      <c r="B2619" s="361" t="s">
        <v>1367</v>
      </c>
      <c r="C2619" t="s">
        <v>1916</v>
      </c>
      <c r="D2619" s="361">
        <v>2</v>
      </c>
      <c r="E2619" s="364"/>
      <c r="F2619" s="361" t="s">
        <v>1917</v>
      </c>
      <c r="T2619" s="361">
        <v>1365.35</v>
      </c>
    </row>
    <row r="2620" spans="1:20" x14ac:dyDescent="0.25">
      <c r="A2620" s="364" t="s">
        <v>1368</v>
      </c>
      <c r="B2620" s="361" t="s">
        <v>1369</v>
      </c>
      <c r="C2620" t="s">
        <v>1922</v>
      </c>
      <c r="D2620" s="361">
        <v>1</v>
      </c>
      <c r="E2620" s="364"/>
      <c r="F2620" s="361" t="s">
        <v>1917</v>
      </c>
      <c r="T2620" s="361">
        <v>14.15</v>
      </c>
    </row>
    <row r="2621" spans="1:20" x14ac:dyDescent="0.25">
      <c r="A2621" s="364" t="s">
        <v>1370</v>
      </c>
      <c r="B2621" s="361" t="s">
        <v>1371</v>
      </c>
      <c r="C2621" t="s">
        <v>1922</v>
      </c>
      <c r="D2621" s="361">
        <v>1</v>
      </c>
      <c r="E2621" s="364"/>
      <c r="F2621" s="361" t="s">
        <v>1917</v>
      </c>
      <c r="T2621" s="361">
        <v>3.65</v>
      </c>
    </row>
    <row r="2622" spans="1:20" x14ac:dyDescent="0.25">
      <c r="A2622" s="364" t="s">
        <v>1372</v>
      </c>
      <c r="B2622" s="361" t="s">
        <v>1373</v>
      </c>
      <c r="C2622" t="s">
        <v>1922</v>
      </c>
      <c r="D2622" s="361">
        <v>1</v>
      </c>
      <c r="E2622" s="364"/>
      <c r="F2622" s="361" t="s">
        <v>1917</v>
      </c>
      <c r="T2622" s="361">
        <v>5.91</v>
      </c>
    </row>
    <row r="2623" spans="1:20" x14ac:dyDescent="0.25">
      <c r="A2623" s="364" t="s">
        <v>221</v>
      </c>
      <c r="B2623" s="361" t="s">
        <v>1374</v>
      </c>
      <c r="C2623" t="s">
        <v>1922</v>
      </c>
      <c r="D2623" s="361">
        <v>1</v>
      </c>
      <c r="E2623" s="364"/>
      <c r="F2623" s="361" t="s">
        <v>1917</v>
      </c>
      <c r="T2623" s="361">
        <v>2.98</v>
      </c>
    </row>
    <row r="2624" spans="1:20" x14ac:dyDescent="0.25">
      <c r="A2624" s="364" t="s">
        <v>1375</v>
      </c>
      <c r="B2624" s="361" t="s">
        <v>1376</v>
      </c>
      <c r="C2624" t="s">
        <v>1922</v>
      </c>
      <c r="D2624" s="361">
        <v>1</v>
      </c>
      <c r="E2624" s="364"/>
      <c r="F2624" s="361" t="s">
        <v>1917</v>
      </c>
      <c r="T2624" s="361">
        <v>2.95</v>
      </c>
    </row>
    <row r="2625" spans="1:20" x14ac:dyDescent="0.25">
      <c r="A2625" s="364" t="s">
        <v>1377</v>
      </c>
      <c r="B2625" s="361" t="s">
        <v>1378</v>
      </c>
      <c r="C2625" t="s">
        <v>1922</v>
      </c>
      <c r="D2625" s="361">
        <v>1</v>
      </c>
      <c r="E2625" s="364"/>
      <c r="F2625" s="361" t="s">
        <v>1917</v>
      </c>
      <c r="T2625" s="361">
        <v>3.39</v>
      </c>
    </row>
    <row r="2626" spans="1:20" x14ac:dyDescent="0.25">
      <c r="A2626" s="364" t="s">
        <v>1379</v>
      </c>
      <c r="B2626" s="361" t="s">
        <v>1380</v>
      </c>
      <c r="C2626" t="s">
        <v>1922</v>
      </c>
      <c r="D2626" s="361">
        <v>1</v>
      </c>
      <c r="E2626" s="364"/>
      <c r="F2626" s="361" t="s">
        <v>1917</v>
      </c>
      <c r="T2626" s="361">
        <v>14.37</v>
      </c>
    </row>
    <row r="2627" spans="1:20" x14ac:dyDescent="0.25">
      <c r="A2627" s="364" t="s">
        <v>1381</v>
      </c>
      <c r="B2627" s="361" t="s">
        <v>1382</v>
      </c>
      <c r="C2627" t="s">
        <v>1922</v>
      </c>
      <c r="D2627" s="361">
        <v>1</v>
      </c>
      <c r="E2627" s="364"/>
      <c r="F2627" s="361" t="s">
        <v>1917</v>
      </c>
      <c r="T2627" s="361">
        <v>169.41</v>
      </c>
    </row>
    <row r="2628" spans="1:20" x14ac:dyDescent="0.25">
      <c r="A2628" s="364" t="s">
        <v>1383</v>
      </c>
      <c r="B2628" s="361" t="s">
        <v>1384</v>
      </c>
      <c r="C2628" t="s">
        <v>1916</v>
      </c>
      <c r="D2628" s="361">
        <v>2</v>
      </c>
      <c r="E2628" s="364"/>
      <c r="F2628" s="361" t="s">
        <v>1917</v>
      </c>
      <c r="T2628" s="361">
        <v>1685</v>
      </c>
    </row>
    <row r="2629" spans="1:20" x14ac:dyDescent="0.25">
      <c r="A2629" s="364" t="s">
        <v>1385</v>
      </c>
      <c r="B2629" s="361" t="s">
        <v>1151</v>
      </c>
      <c r="C2629" t="s">
        <v>1916</v>
      </c>
      <c r="D2629" s="361">
        <v>2</v>
      </c>
      <c r="E2629" s="364"/>
      <c r="F2629" s="361" t="s">
        <v>1917</v>
      </c>
      <c r="T2629" s="361">
        <v>5435.51</v>
      </c>
    </row>
    <row r="2630" spans="1:20" x14ac:dyDescent="0.25">
      <c r="A2630" s="364" t="s">
        <v>1386</v>
      </c>
      <c r="B2630" s="361" t="s">
        <v>1387</v>
      </c>
      <c r="C2630" t="s">
        <v>1922</v>
      </c>
      <c r="D2630" s="361">
        <v>1</v>
      </c>
      <c r="E2630" s="364"/>
      <c r="F2630" s="361" t="s">
        <v>1917</v>
      </c>
      <c r="T2630" s="361">
        <v>46</v>
      </c>
    </row>
    <row r="2631" spans="1:20" x14ac:dyDescent="0.25">
      <c r="A2631" s="364" t="s">
        <v>1388</v>
      </c>
      <c r="B2631" s="361" t="s">
        <v>1389</v>
      </c>
      <c r="C2631" t="s">
        <v>1922</v>
      </c>
      <c r="D2631" s="361">
        <v>1</v>
      </c>
      <c r="E2631" s="364"/>
      <c r="F2631" s="361" t="s">
        <v>1917</v>
      </c>
      <c r="T2631" s="361">
        <v>2.4900000000000002</v>
      </c>
    </row>
    <row r="2632" spans="1:20" x14ac:dyDescent="0.25">
      <c r="A2632" s="364" t="s">
        <v>1390</v>
      </c>
      <c r="B2632" s="361" t="s">
        <v>1391</v>
      </c>
      <c r="C2632" t="s">
        <v>1922</v>
      </c>
      <c r="D2632" s="361">
        <v>1</v>
      </c>
      <c r="E2632" s="364"/>
      <c r="F2632" s="361" t="s">
        <v>1917</v>
      </c>
      <c r="T2632" s="361">
        <v>3.4</v>
      </c>
    </row>
    <row r="2633" spans="1:20" x14ac:dyDescent="0.25">
      <c r="A2633" s="364" t="s">
        <v>1392</v>
      </c>
      <c r="B2633" s="361" t="s">
        <v>1393</v>
      </c>
      <c r="C2633" t="s">
        <v>1922</v>
      </c>
      <c r="D2633" s="361">
        <v>1</v>
      </c>
      <c r="E2633" s="364"/>
      <c r="F2633" s="361" t="s">
        <v>1917</v>
      </c>
      <c r="T2633" s="361">
        <v>8.9499999999999993</v>
      </c>
    </row>
    <row r="2634" spans="1:20" x14ac:dyDescent="0.25">
      <c r="A2634" s="364" t="s">
        <v>269</v>
      </c>
      <c r="B2634" s="361" t="s">
        <v>1394</v>
      </c>
      <c r="C2634" t="s">
        <v>1916</v>
      </c>
      <c r="D2634" s="361">
        <v>2</v>
      </c>
      <c r="E2634" s="364"/>
      <c r="F2634" s="361" t="s">
        <v>1917</v>
      </c>
      <c r="T2634" s="361">
        <v>58.5</v>
      </c>
    </row>
    <row r="2635" spans="1:20" x14ac:dyDescent="0.25">
      <c r="A2635" s="364" t="s">
        <v>276</v>
      </c>
      <c r="B2635" s="361" t="s">
        <v>1395</v>
      </c>
      <c r="C2635" t="s">
        <v>1922</v>
      </c>
      <c r="D2635" s="361">
        <v>1</v>
      </c>
      <c r="E2635" s="364"/>
      <c r="F2635" s="361" t="s">
        <v>1917</v>
      </c>
      <c r="T2635" s="361">
        <v>29.21</v>
      </c>
    </row>
    <row r="2636" spans="1:20" x14ac:dyDescent="0.25">
      <c r="A2636" s="364" t="s">
        <v>279</v>
      </c>
      <c r="B2636" s="361" t="s">
        <v>1396</v>
      </c>
      <c r="C2636" t="s">
        <v>1916</v>
      </c>
      <c r="D2636" s="361">
        <v>2</v>
      </c>
      <c r="E2636" s="364"/>
      <c r="F2636" s="361" t="s">
        <v>1917</v>
      </c>
      <c r="T2636" s="361">
        <v>805</v>
      </c>
    </row>
    <row r="2637" spans="1:20" x14ac:dyDescent="0.25">
      <c r="A2637" s="364" t="s">
        <v>278</v>
      </c>
      <c r="B2637" s="361" t="s">
        <v>1397</v>
      </c>
      <c r="C2637" t="s">
        <v>1916</v>
      </c>
      <c r="D2637" s="361">
        <v>2</v>
      </c>
      <c r="E2637" s="364"/>
      <c r="F2637" s="361" t="s">
        <v>1917</v>
      </c>
      <c r="T2637" s="361">
        <v>927.5</v>
      </c>
    </row>
    <row r="2638" spans="1:20" x14ac:dyDescent="0.25">
      <c r="A2638" s="364" t="s">
        <v>209</v>
      </c>
      <c r="B2638" s="361" t="s">
        <v>1398</v>
      </c>
      <c r="C2638" t="s">
        <v>1922</v>
      </c>
      <c r="D2638" s="361">
        <v>1</v>
      </c>
      <c r="E2638" s="364"/>
      <c r="F2638" s="361" t="s">
        <v>1917</v>
      </c>
      <c r="T2638" s="361">
        <v>36.159999999999997</v>
      </c>
    </row>
    <row r="2639" spans="1:20" x14ac:dyDescent="0.25">
      <c r="A2639" s="364" t="s">
        <v>1399</v>
      </c>
      <c r="B2639" s="361" t="s">
        <v>1400</v>
      </c>
      <c r="C2639" t="s">
        <v>1916</v>
      </c>
      <c r="D2639" s="361">
        <v>2</v>
      </c>
      <c r="E2639" s="364"/>
      <c r="F2639" s="361" t="s">
        <v>1917</v>
      </c>
      <c r="T2639" s="361">
        <v>12.7</v>
      </c>
    </row>
    <row r="2640" spans="1:20" x14ac:dyDescent="0.25">
      <c r="A2640" s="364" t="s">
        <v>167</v>
      </c>
      <c r="B2640" s="361" t="s">
        <v>755</v>
      </c>
      <c r="C2640" t="s">
        <v>1922</v>
      </c>
      <c r="D2640" s="361">
        <v>3</v>
      </c>
      <c r="E2640" s="364"/>
      <c r="F2640" s="361" t="s">
        <v>1917</v>
      </c>
      <c r="T2640" s="361">
        <v>128.93</v>
      </c>
    </row>
    <row r="2641" spans="1:20" x14ac:dyDescent="0.25">
      <c r="A2641" s="364" t="s">
        <v>265</v>
      </c>
      <c r="B2641" s="361" t="s">
        <v>1401</v>
      </c>
      <c r="C2641" t="s">
        <v>1916</v>
      </c>
      <c r="D2641" s="361">
        <v>2</v>
      </c>
      <c r="E2641" s="364"/>
      <c r="F2641" s="361" t="s">
        <v>1917</v>
      </c>
      <c r="T2641" s="361">
        <v>11.42</v>
      </c>
    </row>
    <row r="2642" spans="1:20" x14ac:dyDescent="0.25">
      <c r="A2642" s="364" t="s">
        <v>1402</v>
      </c>
      <c r="B2642" s="361" t="s">
        <v>1403</v>
      </c>
      <c r="C2642" t="s">
        <v>1922</v>
      </c>
      <c r="D2642" s="361">
        <v>1</v>
      </c>
      <c r="E2642" s="364"/>
      <c r="F2642" s="361" t="s">
        <v>1917</v>
      </c>
      <c r="T2642" s="361">
        <v>29.21</v>
      </c>
    </row>
    <row r="2643" spans="1:20" x14ac:dyDescent="0.25">
      <c r="A2643" s="364" t="s">
        <v>1404</v>
      </c>
      <c r="B2643" s="361" t="s">
        <v>1405</v>
      </c>
      <c r="C2643" t="s">
        <v>1922</v>
      </c>
      <c r="D2643" s="361">
        <v>1</v>
      </c>
      <c r="E2643" s="364"/>
      <c r="F2643" s="361" t="s">
        <v>1917</v>
      </c>
      <c r="T2643" s="361">
        <v>81.05</v>
      </c>
    </row>
    <row r="2644" spans="1:20" x14ac:dyDescent="0.25">
      <c r="A2644" s="364" t="s">
        <v>1406</v>
      </c>
      <c r="B2644" s="361" t="s">
        <v>1197</v>
      </c>
      <c r="C2644" t="s">
        <v>1922</v>
      </c>
      <c r="D2644" s="361">
        <v>1</v>
      </c>
      <c r="E2644" s="364"/>
      <c r="F2644" s="361" t="s">
        <v>1917</v>
      </c>
      <c r="T2644" s="361">
        <v>56.75</v>
      </c>
    </row>
    <row r="2645" spans="1:20" x14ac:dyDescent="0.25">
      <c r="A2645" s="364" t="s">
        <v>1407</v>
      </c>
      <c r="B2645" s="361" t="s">
        <v>1408</v>
      </c>
      <c r="C2645" t="s">
        <v>1922</v>
      </c>
      <c r="D2645" s="361">
        <v>1</v>
      </c>
      <c r="E2645" s="364"/>
      <c r="F2645" s="361" t="s">
        <v>1917</v>
      </c>
      <c r="T2645" s="361">
        <v>145.32</v>
      </c>
    </row>
    <row r="2646" spans="1:20" x14ac:dyDescent="0.25">
      <c r="A2646" s="364" t="s">
        <v>1409</v>
      </c>
      <c r="B2646" s="361" t="s">
        <v>1410</v>
      </c>
      <c r="C2646" t="s">
        <v>1922</v>
      </c>
      <c r="D2646" s="361">
        <v>5</v>
      </c>
      <c r="E2646" s="364"/>
      <c r="F2646" s="361" t="s">
        <v>1917</v>
      </c>
      <c r="T2646" s="361">
        <v>28.5</v>
      </c>
    </row>
    <row r="2647" spans="1:20" x14ac:dyDescent="0.25">
      <c r="A2647" s="364" t="s">
        <v>199</v>
      </c>
      <c r="B2647" s="361" t="s">
        <v>1411</v>
      </c>
      <c r="C2647" t="s">
        <v>1922</v>
      </c>
      <c r="D2647" s="361">
        <v>1</v>
      </c>
      <c r="E2647" s="364"/>
      <c r="F2647" s="361" t="s">
        <v>1917</v>
      </c>
      <c r="T2647" s="361">
        <v>5.33</v>
      </c>
    </row>
    <row r="2648" spans="1:20" x14ac:dyDescent="0.25">
      <c r="A2648" s="364" t="s">
        <v>1412</v>
      </c>
      <c r="B2648" s="361" t="s">
        <v>1413</v>
      </c>
      <c r="C2648" t="s">
        <v>1922</v>
      </c>
      <c r="D2648" s="361">
        <v>1</v>
      </c>
      <c r="E2648" s="364"/>
      <c r="F2648" s="361" t="s">
        <v>1917</v>
      </c>
      <c r="T2648" s="361">
        <v>14.8</v>
      </c>
    </row>
    <row r="2649" spans="1:20" x14ac:dyDescent="0.25">
      <c r="A2649" s="364" t="s">
        <v>1414</v>
      </c>
      <c r="B2649" s="361" t="s">
        <v>1415</v>
      </c>
      <c r="C2649" t="s">
        <v>1922</v>
      </c>
      <c r="D2649" s="361">
        <v>1</v>
      </c>
      <c r="E2649" s="364"/>
      <c r="F2649" s="361" t="s">
        <v>1917</v>
      </c>
      <c r="T2649" s="361">
        <v>7.3</v>
      </c>
    </row>
    <row r="2650" spans="1:20" x14ac:dyDescent="0.25">
      <c r="A2650" s="364" t="s">
        <v>1416</v>
      </c>
      <c r="B2650" s="361" t="s">
        <v>1417</v>
      </c>
      <c r="C2650" t="s">
        <v>1922</v>
      </c>
      <c r="D2650" s="361">
        <v>1</v>
      </c>
      <c r="E2650" s="364"/>
      <c r="F2650" s="361" t="s">
        <v>1917</v>
      </c>
      <c r="T2650" s="361">
        <v>6.31</v>
      </c>
    </row>
    <row r="2651" spans="1:20" x14ac:dyDescent="0.25">
      <c r="A2651" s="364" t="s">
        <v>1418</v>
      </c>
      <c r="B2651" s="361" t="s">
        <v>1419</v>
      </c>
      <c r="C2651" t="s">
        <v>1922</v>
      </c>
      <c r="D2651" s="361">
        <v>1</v>
      </c>
      <c r="E2651" s="364"/>
      <c r="F2651" s="361" t="s">
        <v>1917</v>
      </c>
      <c r="T2651" s="361">
        <v>5.4</v>
      </c>
    </row>
    <row r="2652" spans="1:20" x14ac:dyDescent="0.25">
      <c r="A2652" s="364" t="s">
        <v>1420</v>
      </c>
      <c r="B2652" s="361" t="s">
        <v>1421</v>
      </c>
      <c r="C2652" t="s">
        <v>1922</v>
      </c>
      <c r="D2652" s="361">
        <v>1</v>
      </c>
      <c r="E2652" s="364"/>
      <c r="F2652" s="361" t="s">
        <v>1917</v>
      </c>
      <c r="T2652" s="361">
        <v>12.99</v>
      </c>
    </row>
    <row r="2653" spans="1:20" x14ac:dyDescent="0.25">
      <c r="A2653" s="364" t="s">
        <v>1422</v>
      </c>
      <c r="B2653" s="361" t="s">
        <v>1423</v>
      </c>
      <c r="C2653" t="s">
        <v>1922</v>
      </c>
      <c r="D2653" s="361">
        <v>1</v>
      </c>
      <c r="E2653" s="364"/>
      <c r="F2653" s="361" t="s">
        <v>1917</v>
      </c>
      <c r="T2653" s="361">
        <v>82</v>
      </c>
    </row>
    <row r="2654" spans="1:20" x14ac:dyDescent="0.25">
      <c r="A2654" s="364" t="s">
        <v>1424</v>
      </c>
      <c r="B2654" s="361" t="s">
        <v>1425</v>
      </c>
      <c r="C2654" t="s">
        <v>1922</v>
      </c>
      <c r="D2654" s="361">
        <v>1</v>
      </c>
      <c r="E2654" s="364"/>
      <c r="F2654" s="361" t="s">
        <v>1917</v>
      </c>
      <c r="T2654" s="361">
        <v>5.61</v>
      </c>
    </row>
    <row r="2655" spans="1:20" x14ac:dyDescent="0.25">
      <c r="A2655" s="364" t="s">
        <v>1426</v>
      </c>
      <c r="B2655" s="361" t="s">
        <v>1427</v>
      </c>
      <c r="C2655" t="s">
        <v>1922</v>
      </c>
      <c r="D2655" s="361">
        <v>1</v>
      </c>
      <c r="E2655" s="364"/>
      <c r="F2655" s="361" t="s">
        <v>1917</v>
      </c>
      <c r="T2655" s="361">
        <v>91.56</v>
      </c>
    </row>
    <row r="2656" spans="1:20" x14ac:dyDescent="0.25">
      <c r="A2656" s="364" t="s">
        <v>1428</v>
      </c>
      <c r="B2656" s="361" t="s">
        <v>1429</v>
      </c>
      <c r="C2656" t="s">
        <v>1922</v>
      </c>
      <c r="D2656" s="361">
        <v>1</v>
      </c>
      <c r="E2656" s="364"/>
      <c r="F2656" s="361" t="s">
        <v>1917</v>
      </c>
      <c r="T2656" s="361">
        <v>22.85</v>
      </c>
    </row>
    <row r="2657" spans="1:20" x14ac:dyDescent="0.25">
      <c r="A2657" s="364" t="s">
        <v>1430</v>
      </c>
      <c r="B2657" s="361" t="s">
        <v>1431</v>
      </c>
      <c r="C2657" t="s">
        <v>1922</v>
      </c>
      <c r="D2657" s="361">
        <v>1</v>
      </c>
      <c r="E2657" s="364"/>
      <c r="F2657" s="361" t="s">
        <v>1917</v>
      </c>
      <c r="T2657" s="361">
        <v>38.4</v>
      </c>
    </row>
    <row r="2658" spans="1:20" x14ac:dyDescent="0.25">
      <c r="A2658" s="364" t="s">
        <v>1432</v>
      </c>
      <c r="B2658" s="361" t="s">
        <v>1433</v>
      </c>
      <c r="C2658" t="s">
        <v>1922</v>
      </c>
      <c r="D2658" s="361">
        <v>1</v>
      </c>
      <c r="E2658" s="364"/>
      <c r="F2658" s="361" t="s">
        <v>1917</v>
      </c>
      <c r="T2658" s="361">
        <v>29.7</v>
      </c>
    </row>
    <row r="2659" spans="1:20" x14ac:dyDescent="0.25">
      <c r="A2659" s="364" t="s">
        <v>1434</v>
      </c>
      <c r="B2659" s="361" t="s">
        <v>1435</v>
      </c>
      <c r="C2659" t="s">
        <v>1922</v>
      </c>
      <c r="D2659" s="361">
        <v>1</v>
      </c>
      <c r="E2659" s="364"/>
      <c r="F2659" s="361" t="s">
        <v>1917</v>
      </c>
      <c r="T2659" s="361">
        <v>1.42</v>
      </c>
    </row>
    <row r="2660" spans="1:20" x14ac:dyDescent="0.25">
      <c r="A2660" s="364" t="s">
        <v>1436</v>
      </c>
      <c r="B2660" s="361" t="s">
        <v>1437</v>
      </c>
      <c r="C2660" t="s">
        <v>1922</v>
      </c>
      <c r="D2660" s="361">
        <v>1</v>
      </c>
      <c r="E2660" s="364"/>
      <c r="F2660" s="361" t="s">
        <v>1917</v>
      </c>
      <c r="T2660" s="361">
        <v>1.353</v>
      </c>
    </row>
    <row r="2661" spans="1:20" x14ac:dyDescent="0.25">
      <c r="A2661" s="364" t="s">
        <v>1438</v>
      </c>
      <c r="B2661" s="361" t="s">
        <v>1439</v>
      </c>
      <c r="C2661" t="s">
        <v>1922</v>
      </c>
      <c r="D2661" s="361">
        <v>5</v>
      </c>
      <c r="E2661" s="364"/>
      <c r="F2661" s="361" t="s">
        <v>1917</v>
      </c>
      <c r="T2661" s="361">
        <v>38</v>
      </c>
    </row>
    <row r="2662" spans="1:20" x14ac:dyDescent="0.25">
      <c r="A2662" s="364" t="s">
        <v>227</v>
      </c>
      <c r="B2662" s="361" t="s">
        <v>1440</v>
      </c>
      <c r="C2662" t="s">
        <v>1922</v>
      </c>
      <c r="D2662" s="361">
        <v>1</v>
      </c>
      <c r="E2662" s="364"/>
      <c r="F2662" s="361" t="s">
        <v>1917</v>
      </c>
      <c r="T2662" s="361">
        <v>3.07</v>
      </c>
    </row>
    <row r="2663" spans="1:20" x14ac:dyDescent="0.25">
      <c r="A2663" s="364" t="s">
        <v>1441</v>
      </c>
      <c r="B2663" s="361" t="s">
        <v>1442</v>
      </c>
      <c r="C2663" t="s">
        <v>1922</v>
      </c>
      <c r="D2663" s="361">
        <v>1</v>
      </c>
      <c r="E2663" s="364"/>
      <c r="F2663" s="361" t="s">
        <v>1917</v>
      </c>
      <c r="T2663" s="361">
        <v>6.12</v>
      </c>
    </row>
    <row r="2664" spans="1:20" x14ac:dyDescent="0.25">
      <c r="A2664" s="364" t="s">
        <v>1443</v>
      </c>
      <c r="B2664" s="361" t="s">
        <v>1444</v>
      </c>
      <c r="C2664" t="s">
        <v>1922</v>
      </c>
      <c r="D2664" s="361">
        <v>1</v>
      </c>
      <c r="E2664" s="364"/>
      <c r="F2664" s="361" t="s">
        <v>1917</v>
      </c>
      <c r="T2664" s="361">
        <v>2.36</v>
      </c>
    </row>
    <row r="2665" spans="1:20" x14ac:dyDescent="0.25">
      <c r="A2665" s="364" t="s">
        <v>317</v>
      </c>
      <c r="B2665" s="361" t="s">
        <v>1445</v>
      </c>
      <c r="C2665" t="s">
        <v>1922</v>
      </c>
      <c r="D2665" s="361">
        <v>1</v>
      </c>
      <c r="E2665" s="364"/>
      <c r="F2665" s="361" t="s">
        <v>1917</v>
      </c>
      <c r="T2665" s="361">
        <v>42.7</v>
      </c>
    </row>
    <row r="2666" spans="1:20" x14ac:dyDescent="0.25">
      <c r="A2666" s="364" t="s">
        <v>316</v>
      </c>
      <c r="B2666" s="361" t="s">
        <v>1446</v>
      </c>
      <c r="C2666" t="s">
        <v>1922</v>
      </c>
      <c r="D2666" s="361">
        <v>1</v>
      </c>
      <c r="E2666" s="364"/>
      <c r="F2666" s="361" t="s">
        <v>1917</v>
      </c>
      <c r="T2666" s="361">
        <v>1.304</v>
      </c>
    </row>
    <row r="2667" spans="1:20" x14ac:dyDescent="0.25">
      <c r="A2667" s="364" t="s">
        <v>1447</v>
      </c>
      <c r="B2667" s="361" t="s">
        <v>1448</v>
      </c>
      <c r="C2667" t="s">
        <v>1922</v>
      </c>
      <c r="D2667" s="361">
        <v>1</v>
      </c>
      <c r="E2667" s="364"/>
      <c r="F2667" s="361" t="s">
        <v>1917</v>
      </c>
      <c r="T2667" s="361">
        <v>59</v>
      </c>
    </row>
    <row r="2668" spans="1:20" x14ac:dyDescent="0.25">
      <c r="A2668" s="364" t="s">
        <v>1449</v>
      </c>
      <c r="B2668" s="361" t="s">
        <v>1450</v>
      </c>
      <c r="C2668" t="s">
        <v>1916</v>
      </c>
      <c r="D2668" s="361">
        <v>2</v>
      </c>
      <c r="E2668" s="364"/>
      <c r="F2668" s="361" t="s">
        <v>1917</v>
      </c>
      <c r="T2668" s="361">
        <v>49.7</v>
      </c>
    </row>
    <row r="2669" spans="1:20" x14ac:dyDescent="0.25">
      <c r="A2669" s="364" t="s">
        <v>1451</v>
      </c>
      <c r="B2669" s="361" t="s">
        <v>1452</v>
      </c>
      <c r="C2669" t="s">
        <v>1922</v>
      </c>
      <c r="D2669" s="361">
        <v>1</v>
      </c>
      <c r="E2669" s="364"/>
      <c r="F2669" s="361" t="s">
        <v>1917</v>
      </c>
      <c r="T2669" s="361">
        <v>10.210000000000001</v>
      </c>
    </row>
    <row r="2670" spans="1:20" x14ac:dyDescent="0.25">
      <c r="A2670" s="364" t="s">
        <v>1453</v>
      </c>
      <c r="B2670" s="361" t="s">
        <v>1454</v>
      </c>
      <c r="C2670" t="s">
        <v>1916</v>
      </c>
      <c r="D2670" s="361">
        <v>2</v>
      </c>
      <c r="E2670" s="364"/>
      <c r="F2670" s="361" t="s">
        <v>1917</v>
      </c>
      <c r="T2670" s="361">
        <v>9.5</v>
      </c>
    </row>
    <row r="2671" spans="1:20" x14ac:dyDescent="0.25">
      <c r="A2671" s="364" t="s">
        <v>1455</v>
      </c>
      <c r="B2671" s="361" t="s">
        <v>1456</v>
      </c>
      <c r="C2671" t="s">
        <v>1922</v>
      </c>
      <c r="D2671" s="361">
        <v>1</v>
      </c>
      <c r="E2671" s="364"/>
      <c r="F2671" s="361" t="s">
        <v>1917</v>
      </c>
      <c r="T2671" s="361">
        <v>38.1</v>
      </c>
    </row>
    <row r="2672" spans="1:20" x14ac:dyDescent="0.25">
      <c r="A2672" s="364" t="s">
        <v>1457</v>
      </c>
      <c r="B2672" s="361" t="s">
        <v>1458</v>
      </c>
      <c r="C2672" t="s">
        <v>1916</v>
      </c>
      <c r="D2672" s="361">
        <v>2</v>
      </c>
      <c r="E2672" s="364"/>
      <c r="F2672" s="361" t="s">
        <v>1917</v>
      </c>
      <c r="T2672" s="361">
        <v>151.05000000000001</v>
      </c>
    </row>
    <row r="2673" spans="1:20" x14ac:dyDescent="0.25">
      <c r="A2673" s="364" t="s">
        <v>1459</v>
      </c>
      <c r="B2673" s="361" t="s">
        <v>1460</v>
      </c>
      <c r="C2673" t="s">
        <v>1922</v>
      </c>
      <c r="D2673" s="361">
        <v>1</v>
      </c>
      <c r="E2673" s="364"/>
      <c r="F2673" s="361" t="s">
        <v>1917</v>
      </c>
      <c r="T2673" s="361">
        <v>15.85</v>
      </c>
    </row>
    <row r="2674" spans="1:20" x14ac:dyDescent="0.25">
      <c r="A2674" s="364" t="s">
        <v>1461</v>
      </c>
      <c r="B2674" s="361" t="s">
        <v>1462</v>
      </c>
      <c r="C2674" t="s">
        <v>1922</v>
      </c>
      <c r="D2674" s="361">
        <v>1</v>
      </c>
      <c r="E2674" s="364"/>
      <c r="F2674" s="361" t="s">
        <v>1917</v>
      </c>
      <c r="T2674" s="361">
        <v>5.85</v>
      </c>
    </row>
    <row r="2675" spans="1:20" x14ac:dyDescent="0.25">
      <c r="A2675" s="364" t="s">
        <v>5938</v>
      </c>
      <c r="B2675" s="361" t="s">
        <v>5939</v>
      </c>
      <c r="C2675">
        <v>6</v>
      </c>
      <c r="D2675" s="361">
        <v>1</v>
      </c>
      <c r="E2675" s="364"/>
      <c r="F2675" s="361" t="s">
        <v>1917</v>
      </c>
      <c r="T2675" s="361">
        <v>1E-3</v>
      </c>
    </row>
    <row r="2676" spans="1:20" x14ac:dyDescent="0.25">
      <c r="A2676" s="364" t="s">
        <v>5940</v>
      </c>
      <c r="B2676" s="361" t="s">
        <v>5941</v>
      </c>
      <c r="C2676">
        <v>6</v>
      </c>
      <c r="D2676" s="361">
        <v>1</v>
      </c>
      <c r="E2676" s="364"/>
      <c r="F2676" s="361" t="s">
        <v>1917</v>
      </c>
      <c r="T2676" s="361">
        <v>1E-3</v>
      </c>
    </row>
    <row r="2677" spans="1:20" x14ac:dyDescent="0.25">
      <c r="A2677" s="364" t="s">
        <v>5942</v>
      </c>
      <c r="B2677" s="361" t="s">
        <v>5943</v>
      </c>
      <c r="C2677">
        <v>6</v>
      </c>
      <c r="D2677" s="361">
        <v>1</v>
      </c>
      <c r="E2677" s="364"/>
      <c r="F2677" s="361" t="s">
        <v>1917</v>
      </c>
      <c r="T2677" s="361">
        <v>1E-3</v>
      </c>
    </row>
    <row r="2678" spans="1:20" x14ac:dyDescent="0.25">
      <c r="A2678" s="364" t="s">
        <v>5944</v>
      </c>
      <c r="B2678" s="361" t="s">
        <v>5945</v>
      </c>
      <c r="C2678">
        <v>6</v>
      </c>
      <c r="D2678" s="361">
        <v>1</v>
      </c>
      <c r="E2678" s="364"/>
      <c r="F2678" s="361" t="s">
        <v>1917</v>
      </c>
      <c r="T2678" s="361">
        <v>1E-3</v>
      </c>
    </row>
    <row r="2679" spans="1:20" x14ac:dyDescent="0.25">
      <c r="A2679" s="364" t="s">
        <v>5946</v>
      </c>
      <c r="B2679" s="361" t="s">
        <v>5947</v>
      </c>
      <c r="C2679">
        <v>6</v>
      </c>
      <c r="D2679" s="361">
        <v>1</v>
      </c>
      <c r="E2679" s="364"/>
      <c r="F2679" s="361" t="s">
        <v>1917</v>
      </c>
      <c r="T2679" s="361">
        <v>1E-3</v>
      </c>
    </row>
    <row r="2680" spans="1:20" x14ac:dyDescent="0.25">
      <c r="A2680" s="364" t="s">
        <v>5948</v>
      </c>
      <c r="B2680" s="361" t="s">
        <v>5949</v>
      </c>
      <c r="C2680">
        <v>6</v>
      </c>
      <c r="D2680" s="361">
        <v>1</v>
      </c>
      <c r="E2680" s="364"/>
      <c r="F2680" s="361" t="s">
        <v>1917</v>
      </c>
      <c r="T2680" s="361">
        <v>1E-3</v>
      </c>
    </row>
    <row r="2681" spans="1:20" x14ac:dyDescent="0.25">
      <c r="A2681" s="364" t="s">
        <v>5950</v>
      </c>
      <c r="B2681" s="361" t="s">
        <v>5951</v>
      </c>
      <c r="C2681">
        <v>6</v>
      </c>
      <c r="D2681" s="361">
        <v>1</v>
      </c>
      <c r="E2681" s="364"/>
      <c r="F2681" s="361" t="s">
        <v>1917</v>
      </c>
      <c r="T2681" s="361">
        <v>1E-3</v>
      </c>
    </row>
    <row r="2682" spans="1:20" x14ac:dyDescent="0.25">
      <c r="A2682" s="364" t="s">
        <v>15</v>
      </c>
      <c r="B2682" s="361" t="s">
        <v>1799</v>
      </c>
      <c r="C2682">
        <v>6</v>
      </c>
      <c r="D2682" s="361">
        <v>1</v>
      </c>
      <c r="E2682" s="364"/>
      <c r="F2682" s="361" t="s">
        <v>1917</v>
      </c>
      <c r="T2682" s="361">
        <v>1E-3</v>
      </c>
    </row>
    <row r="2683" spans="1:20" x14ac:dyDescent="0.25">
      <c r="A2683" s="364" t="s">
        <v>5952</v>
      </c>
      <c r="B2683" s="361" t="s">
        <v>5953</v>
      </c>
      <c r="C2683" t="s">
        <v>1920</v>
      </c>
      <c r="D2683" s="361">
        <v>29</v>
      </c>
      <c r="E2683" s="364"/>
      <c r="F2683" s="361" t="s">
        <v>1921</v>
      </c>
      <c r="T2683" s="361">
        <v>4.1000000000000002E-2</v>
      </c>
    </row>
    <row r="2684" spans="1:20" x14ac:dyDescent="0.25">
      <c r="A2684" s="364" t="s">
        <v>5954</v>
      </c>
      <c r="B2684" s="361" t="s">
        <v>5955</v>
      </c>
      <c r="C2684" t="s">
        <v>1920</v>
      </c>
      <c r="D2684" s="361">
        <v>16</v>
      </c>
      <c r="E2684" s="364"/>
      <c r="F2684" s="361" t="s">
        <v>1917</v>
      </c>
      <c r="T2684" s="361">
        <v>4.0999999999999996</v>
      </c>
    </row>
    <row r="2685" spans="1:20" x14ac:dyDescent="0.25">
      <c r="A2685" s="364" t="s">
        <v>5956</v>
      </c>
      <c r="B2685" s="361" t="s">
        <v>5957</v>
      </c>
      <c r="C2685" t="s">
        <v>1920</v>
      </c>
      <c r="D2685" s="361">
        <v>22</v>
      </c>
      <c r="E2685" s="364"/>
      <c r="F2685" s="361" t="s">
        <v>1921</v>
      </c>
      <c r="T2685" s="361">
        <v>445.95</v>
      </c>
    </row>
    <row r="2686" spans="1:20" x14ac:dyDescent="0.25">
      <c r="A2686" s="364" t="s">
        <v>5958</v>
      </c>
      <c r="B2686" s="361" t="s">
        <v>5959</v>
      </c>
      <c r="C2686" t="s">
        <v>1920</v>
      </c>
      <c r="D2686" s="361">
        <v>20</v>
      </c>
      <c r="E2686" s="364"/>
      <c r="F2686" s="361" t="s">
        <v>1921</v>
      </c>
      <c r="T2686" s="361">
        <v>3.1399999999999997E-2</v>
      </c>
    </row>
    <row r="2687" spans="1:20" x14ac:dyDescent="0.25">
      <c r="A2687" s="364" t="s">
        <v>5960</v>
      </c>
      <c r="B2687" s="361" t="s">
        <v>5961</v>
      </c>
      <c r="C2687" t="s">
        <v>1920</v>
      </c>
      <c r="D2687" s="361">
        <v>20</v>
      </c>
      <c r="E2687" s="364"/>
      <c r="F2687" s="361" t="s">
        <v>1921</v>
      </c>
      <c r="T2687" s="361">
        <v>4.2029999999999998E-2</v>
      </c>
    </row>
    <row r="2688" spans="1:20" x14ac:dyDescent="0.25">
      <c r="A2688" s="364" t="s">
        <v>5962</v>
      </c>
      <c r="B2688" s="361" t="s">
        <v>5963</v>
      </c>
      <c r="C2688" t="s">
        <v>1920</v>
      </c>
      <c r="D2688" s="361">
        <v>26</v>
      </c>
      <c r="E2688" s="364"/>
      <c r="F2688" s="361" t="s">
        <v>1921</v>
      </c>
      <c r="T2688" s="361">
        <v>0.59799999999999998</v>
      </c>
    </row>
    <row r="2689" spans="1:20" x14ac:dyDescent="0.25">
      <c r="A2689" s="364" t="s">
        <v>5964</v>
      </c>
      <c r="B2689" s="361" t="s">
        <v>5965</v>
      </c>
      <c r="C2689" t="s">
        <v>1920</v>
      </c>
      <c r="D2689" s="361">
        <v>26</v>
      </c>
      <c r="E2689" s="364"/>
      <c r="F2689" s="361" t="s">
        <v>1921</v>
      </c>
      <c r="T2689" s="361">
        <v>0.48499999999999999</v>
      </c>
    </row>
    <row r="2690" spans="1:20" x14ac:dyDescent="0.25">
      <c r="A2690" s="364" t="s">
        <v>5966</v>
      </c>
      <c r="B2690" s="361" t="s">
        <v>5967</v>
      </c>
      <c r="C2690" t="s">
        <v>1920</v>
      </c>
      <c r="D2690" s="361">
        <v>26</v>
      </c>
      <c r="E2690" s="364"/>
      <c r="F2690" s="361" t="s">
        <v>1921</v>
      </c>
      <c r="T2690" s="361">
        <v>0.51600000000000001</v>
      </c>
    </row>
    <row r="2691" spans="1:20" x14ac:dyDescent="0.25">
      <c r="A2691" s="364" t="s">
        <v>5968</v>
      </c>
      <c r="B2691" s="361" t="s">
        <v>5969</v>
      </c>
      <c r="C2691" t="s">
        <v>1920</v>
      </c>
      <c r="D2691" s="361">
        <v>26</v>
      </c>
      <c r="E2691" s="364"/>
      <c r="F2691" s="361" t="s">
        <v>1921</v>
      </c>
      <c r="T2691" s="361">
        <v>0.47599999999999998</v>
      </c>
    </row>
    <row r="2692" spans="1:20" x14ac:dyDescent="0.25">
      <c r="A2692" s="364" t="s">
        <v>5970</v>
      </c>
      <c r="B2692" s="361" t="s">
        <v>5971</v>
      </c>
      <c r="C2692" t="s">
        <v>1920</v>
      </c>
      <c r="D2692" s="361">
        <v>26</v>
      </c>
      <c r="E2692" s="364"/>
      <c r="F2692" s="361" t="s">
        <v>1921</v>
      </c>
      <c r="T2692" s="361">
        <v>0.78700000000000003</v>
      </c>
    </row>
    <row r="2693" spans="1:20" x14ac:dyDescent="0.25">
      <c r="A2693" s="364" t="s">
        <v>5972</v>
      </c>
      <c r="B2693" s="361" t="s">
        <v>5973</v>
      </c>
      <c r="C2693" t="s">
        <v>1920</v>
      </c>
      <c r="D2693" s="361">
        <v>26</v>
      </c>
      <c r="E2693" s="364"/>
      <c r="F2693" s="361" t="s">
        <v>1921</v>
      </c>
      <c r="T2693" s="361">
        <v>0.56599999999999995</v>
      </c>
    </row>
    <row r="2694" spans="1:20" x14ac:dyDescent="0.25">
      <c r="A2694" s="364" t="s">
        <v>5974</v>
      </c>
      <c r="B2694" s="361" t="s">
        <v>5975</v>
      </c>
      <c r="C2694" t="s">
        <v>1920</v>
      </c>
      <c r="D2694" s="361">
        <v>26</v>
      </c>
      <c r="E2694" s="364"/>
      <c r="F2694" s="361" t="s">
        <v>1921</v>
      </c>
      <c r="T2694" s="361">
        <v>0.36899999999999999</v>
      </c>
    </row>
    <row r="2695" spans="1:20" x14ac:dyDescent="0.25">
      <c r="A2695" s="364" t="s">
        <v>5976</v>
      </c>
      <c r="B2695" s="361" t="s">
        <v>5977</v>
      </c>
      <c r="C2695" t="s">
        <v>1920</v>
      </c>
      <c r="D2695" s="361">
        <v>26</v>
      </c>
      <c r="E2695" s="364"/>
      <c r="F2695" s="361" t="s">
        <v>1921</v>
      </c>
      <c r="T2695" s="361">
        <v>0.54400000000000004</v>
      </c>
    </row>
    <row r="2696" spans="1:20" x14ac:dyDescent="0.25">
      <c r="A2696" s="364" t="s">
        <v>5978</v>
      </c>
      <c r="B2696" s="361" t="s">
        <v>5979</v>
      </c>
      <c r="C2696" t="s">
        <v>1920</v>
      </c>
      <c r="D2696" s="361">
        <v>26</v>
      </c>
      <c r="E2696" s="364"/>
      <c r="F2696" s="361" t="s">
        <v>1921</v>
      </c>
      <c r="T2696" s="361">
        <v>0.5</v>
      </c>
    </row>
    <row r="2697" spans="1:20" x14ac:dyDescent="0.25">
      <c r="A2697" s="364" t="s">
        <v>5980</v>
      </c>
      <c r="B2697" s="361" t="s">
        <v>5981</v>
      </c>
      <c r="C2697" t="s">
        <v>1920</v>
      </c>
      <c r="D2697" s="361">
        <v>26</v>
      </c>
      <c r="E2697" s="364"/>
      <c r="F2697" s="361" t="s">
        <v>1921</v>
      </c>
      <c r="T2697" s="361">
        <v>0.48599999999999999</v>
      </c>
    </row>
    <row r="2698" spans="1:20" x14ac:dyDescent="0.25">
      <c r="A2698" s="364" t="s">
        <v>5982</v>
      </c>
      <c r="B2698" s="361" t="s">
        <v>5983</v>
      </c>
      <c r="C2698" t="s">
        <v>1920</v>
      </c>
      <c r="D2698" s="361">
        <v>26</v>
      </c>
      <c r="E2698" s="364"/>
      <c r="F2698" s="361" t="s">
        <v>1921</v>
      </c>
      <c r="T2698" s="361">
        <v>0.65</v>
      </c>
    </row>
    <row r="2699" spans="1:20" x14ac:dyDescent="0.25">
      <c r="A2699" s="364" t="s">
        <v>5984</v>
      </c>
      <c r="B2699" s="361" t="s">
        <v>5985</v>
      </c>
      <c r="C2699" t="s">
        <v>1920</v>
      </c>
      <c r="D2699" s="361">
        <v>26</v>
      </c>
      <c r="E2699" s="364"/>
      <c r="F2699" s="361" t="s">
        <v>1921</v>
      </c>
      <c r="T2699" s="361">
        <v>0.52500000000000002</v>
      </c>
    </row>
    <row r="2700" spans="1:20" x14ac:dyDescent="0.25">
      <c r="A2700" s="364" t="s">
        <v>5986</v>
      </c>
      <c r="B2700" s="361" t="s">
        <v>5987</v>
      </c>
      <c r="C2700" t="s">
        <v>1920</v>
      </c>
      <c r="D2700" s="361">
        <v>26</v>
      </c>
      <c r="E2700" s="364"/>
      <c r="F2700" s="361" t="s">
        <v>1921</v>
      </c>
      <c r="T2700" s="361">
        <v>0.874</v>
      </c>
    </row>
    <row r="2701" spans="1:20" x14ac:dyDescent="0.25">
      <c r="A2701" s="364" t="s">
        <v>5988</v>
      </c>
      <c r="B2701" s="361" t="s">
        <v>5989</v>
      </c>
      <c r="C2701" t="s">
        <v>1920</v>
      </c>
      <c r="D2701" s="361">
        <v>26</v>
      </c>
      <c r="E2701" s="364"/>
      <c r="F2701" s="361" t="s">
        <v>1921</v>
      </c>
      <c r="T2701" s="361">
        <v>0.45</v>
      </c>
    </row>
    <row r="2702" spans="1:20" x14ac:dyDescent="0.25">
      <c r="A2702" s="364" t="s">
        <v>5990</v>
      </c>
      <c r="B2702" s="361" t="s">
        <v>5991</v>
      </c>
      <c r="C2702" t="s">
        <v>1920</v>
      </c>
      <c r="D2702" s="361">
        <v>26</v>
      </c>
      <c r="E2702" s="364"/>
      <c r="F2702" s="361" t="s">
        <v>1921</v>
      </c>
      <c r="T2702" s="361">
        <v>0.623</v>
      </c>
    </row>
    <row r="2703" spans="1:20" x14ac:dyDescent="0.25">
      <c r="A2703" s="364" t="s">
        <v>5992</v>
      </c>
      <c r="B2703" s="361" t="s">
        <v>5993</v>
      </c>
      <c r="C2703" t="s">
        <v>1920</v>
      </c>
      <c r="D2703" s="361">
        <v>26</v>
      </c>
      <c r="E2703" s="364"/>
      <c r="F2703" s="361" t="s">
        <v>1921</v>
      </c>
      <c r="T2703" s="361">
        <v>0.95</v>
      </c>
    </row>
    <row r="2704" spans="1:20" x14ac:dyDescent="0.25">
      <c r="A2704" s="364" t="s">
        <v>5994</v>
      </c>
      <c r="B2704" s="361" t="s">
        <v>5995</v>
      </c>
      <c r="C2704" t="s">
        <v>1920</v>
      </c>
      <c r="D2704" s="361">
        <v>26</v>
      </c>
      <c r="E2704" s="364"/>
      <c r="F2704" s="361" t="s">
        <v>1921</v>
      </c>
      <c r="T2704" s="361">
        <v>0.57599999999999996</v>
      </c>
    </row>
    <row r="2705" spans="1:20" x14ac:dyDescent="0.25">
      <c r="A2705" s="364" t="s">
        <v>5996</v>
      </c>
      <c r="B2705" s="361" t="s">
        <v>5997</v>
      </c>
      <c r="C2705" t="s">
        <v>1920</v>
      </c>
      <c r="D2705" s="361">
        <v>10</v>
      </c>
      <c r="E2705" s="364"/>
      <c r="F2705" s="361" t="s">
        <v>1921</v>
      </c>
      <c r="T2705" s="361">
        <v>0.11799999999999999</v>
      </c>
    </row>
    <row r="2706" spans="1:20" x14ac:dyDescent="0.25">
      <c r="A2706" s="364" t="s">
        <v>5998</v>
      </c>
      <c r="B2706" s="361" t="s">
        <v>5999</v>
      </c>
      <c r="C2706" t="s">
        <v>1920</v>
      </c>
      <c r="D2706" s="361">
        <v>10</v>
      </c>
      <c r="E2706" s="364"/>
      <c r="F2706" s="361" t="s">
        <v>1921</v>
      </c>
      <c r="T2706" s="361">
        <v>8.8999999999999996E-2</v>
      </c>
    </row>
    <row r="2707" spans="1:20" x14ac:dyDescent="0.25">
      <c r="A2707" s="364" t="s">
        <v>6000</v>
      </c>
      <c r="B2707" s="361" t="s">
        <v>6001</v>
      </c>
      <c r="C2707" t="s">
        <v>1920</v>
      </c>
      <c r="D2707" s="361">
        <v>10</v>
      </c>
      <c r="E2707" s="364"/>
      <c r="F2707" s="361" t="s">
        <v>1921</v>
      </c>
      <c r="T2707" s="361">
        <v>0.154</v>
      </c>
    </row>
    <row r="2708" spans="1:20" x14ac:dyDescent="0.25">
      <c r="A2708" s="364" t="s">
        <v>6002</v>
      </c>
      <c r="B2708" s="361" t="s">
        <v>6003</v>
      </c>
      <c r="C2708" t="s">
        <v>1920</v>
      </c>
      <c r="D2708" s="361">
        <v>10</v>
      </c>
      <c r="E2708" s="364"/>
      <c r="F2708" s="361" t="s">
        <v>1921</v>
      </c>
      <c r="T2708" s="361">
        <v>0.17599999999999999</v>
      </c>
    </row>
    <row r="2709" spans="1:20" x14ac:dyDescent="0.25">
      <c r="A2709" s="364" t="s">
        <v>6004</v>
      </c>
      <c r="B2709" s="361" t="s">
        <v>5999</v>
      </c>
      <c r="C2709" t="s">
        <v>1920</v>
      </c>
      <c r="D2709" s="361">
        <v>40</v>
      </c>
      <c r="E2709" s="364"/>
      <c r="F2709" s="361" t="s">
        <v>1921</v>
      </c>
      <c r="T2709" s="361">
        <v>0.19950000000000001</v>
      </c>
    </row>
    <row r="2710" spans="1:20" x14ac:dyDescent="0.25">
      <c r="A2710" s="364" t="s">
        <v>6005</v>
      </c>
      <c r="B2710" s="361" t="s">
        <v>6006</v>
      </c>
      <c r="C2710" t="s">
        <v>1920</v>
      </c>
      <c r="D2710" s="361">
        <v>10</v>
      </c>
      <c r="E2710" s="364"/>
      <c r="F2710" s="361" t="s">
        <v>1921</v>
      </c>
      <c r="T2710" s="361">
        <v>0.28399999999999997</v>
      </c>
    </row>
    <row r="2711" spans="1:20" x14ac:dyDescent="0.25">
      <c r="A2711" s="364" t="s">
        <v>6007</v>
      </c>
      <c r="B2711" s="361" t="s">
        <v>6008</v>
      </c>
      <c r="C2711" t="s">
        <v>1920</v>
      </c>
      <c r="D2711" s="361">
        <v>10</v>
      </c>
      <c r="E2711" s="364"/>
      <c r="F2711" s="361" t="s">
        <v>1921</v>
      </c>
      <c r="T2711" s="361">
        <v>0.45800000000000002</v>
      </c>
    </row>
    <row r="2712" spans="1:20" x14ac:dyDescent="0.25">
      <c r="A2712" s="364" t="s">
        <v>6009</v>
      </c>
      <c r="B2712" s="361" t="s">
        <v>6010</v>
      </c>
      <c r="C2712" t="s">
        <v>1920</v>
      </c>
      <c r="D2712" s="361">
        <v>10</v>
      </c>
      <c r="E2712" s="364"/>
      <c r="F2712" s="361" t="s">
        <v>1921</v>
      </c>
      <c r="T2712" s="361">
        <v>0.14000000000000001</v>
      </c>
    </row>
    <row r="2713" spans="1:20" x14ac:dyDescent="0.25">
      <c r="A2713" s="364" t="s">
        <v>6011</v>
      </c>
      <c r="B2713" s="361" t="s">
        <v>6012</v>
      </c>
      <c r="C2713" t="s">
        <v>1920</v>
      </c>
      <c r="D2713" s="361">
        <v>41</v>
      </c>
      <c r="E2713" s="364"/>
      <c r="F2713" s="361" t="s">
        <v>1921</v>
      </c>
      <c r="T2713" s="361">
        <v>0.3145</v>
      </c>
    </row>
    <row r="2714" spans="1:20" x14ac:dyDescent="0.25">
      <c r="A2714" s="364" t="s">
        <v>6013</v>
      </c>
      <c r="B2714" s="361" t="s">
        <v>1930</v>
      </c>
      <c r="C2714" t="s">
        <v>1920</v>
      </c>
      <c r="D2714" s="361">
        <v>11</v>
      </c>
      <c r="E2714" s="364"/>
      <c r="F2714" s="361" t="s">
        <v>1921</v>
      </c>
      <c r="T2714" s="361">
        <v>0.11802</v>
      </c>
    </row>
    <row r="2715" spans="1:20" x14ac:dyDescent="0.25">
      <c r="A2715" s="364" t="s">
        <v>6014</v>
      </c>
      <c r="B2715" s="361" t="s">
        <v>6015</v>
      </c>
      <c r="C2715" t="s">
        <v>1920</v>
      </c>
      <c r="D2715" s="361">
        <v>12</v>
      </c>
      <c r="E2715" s="364"/>
      <c r="F2715" s="361" t="s">
        <v>1921</v>
      </c>
      <c r="T2715" s="361">
        <v>9.3799999999999994E-2</v>
      </c>
    </row>
    <row r="2716" spans="1:20" x14ac:dyDescent="0.25">
      <c r="A2716" s="364" t="s">
        <v>6016</v>
      </c>
      <c r="B2716" s="361" t="s">
        <v>6017</v>
      </c>
      <c r="C2716" t="s">
        <v>1920</v>
      </c>
      <c r="D2716" s="361">
        <v>12</v>
      </c>
      <c r="E2716" s="364"/>
      <c r="F2716" s="361" t="s">
        <v>1921</v>
      </c>
      <c r="T2716" s="361">
        <v>5.9299999999999999E-2</v>
      </c>
    </row>
    <row r="2717" spans="1:20" x14ac:dyDescent="0.25">
      <c r="A2717" s="364" t="s">
        <v>6018</v>
      </c>
      <c r="B2717" s="361" t="s">
        <v>6019</v>
      </c>
      <c r="C2717" t="s">
        <v>1920</v>
      </c>
      <c r="D2717" s="361">
        <v>12</v>
      </c>
      <c r="E2717" s="364"/>
      <c r="F2717" s="361" t="s">
        <v>1921</v>
      </c>
      <c r="T2717" s="361">
        <v>6.1800000000000001E-2</v>
      </c>
    </row>
    <row r="2718" spans="1:20" x14ac:dyDescent="0.25">
      <c r="A2718" s="364" t="s">
        <v>6020</v>
      </c>
      <c r="B2718" s="361" t="s">
        <v>6021</v>
      </c>
      <c r="C2718" t="s">
        <v>1920</v>
      </c>
      <c r="D2718" s="361">
        <v>12</v>
      </c>
      <c r="E2718" s="364"/>
      <c r="F2718" s="361" t="s">
        <v>1921</v>
      </c>
      <c r="T2718" s="361">
        <v>0.1023</v>
      </c>
    </row>
    <row r="2719" spans="1:20" x14ac:dyDescent="0.25">
      <c r="A2719" s="364" t="s">
        <v>6022</v>
      </c>
      <c r="B2719" s="361" t="s">
        <v>6023</v>
      </c>
      <c r="C2719" t="s">
        <v>1920</v>
      </c>
      <c r="D2719" s="361">
        <v>12</v>
      </c>
      <c r="E2719" s="364"/>
      <c r="F2719" s="361" t="s">
        <v>1921</v>
      </c>
      <c r="T2719" s="361">
        <v>8.9200000000000002E-2</v>
      </c>
    </row>
    <row r="2720" spans="1:20" x14ac:dyDescent="0.25">
      <c r="A2720" s="364" t="s">
        <v>204</v>
      </c>
      <c r="B2720" s="361" t="s">
        <v>1463</v>
      </c>
      <c r="C2720" t="s">
        <v>1922</v>
      </c>
      <c r="D2720" s="361">
        <v>14</v>
      </c>
      <c r="E2720" s="364"/>
      <c r="F2720" s="361" t="s">
        <v>1921</v>
      </c>
      <c r="T2720" s="361">
        <v>5.5500000000000002E-3</v>
      </c>
    </row>
    <row r="2721" spans="1:20" x14ac:dyDescent="0.25">
      <c r="A2721" s="364" t="s">
        <v>6024</v>
      </c>
      <c r="B2721" s="361" t="s">
        <v>6025</v>
      </c>
      <c r="C2721" t="s">
        <v>1920</v>
      </c>
      <c r="D2721" s="361">
        <v>42</v>
      </c>
      <c r="E2721" s="364"/>
      <c r="F2721" s="361" t="s">
        <v>1921</v>
      </c>
      <c r="T2721" s="361">
        <v>0.23565</v>
      </c>
    </row>
    <row r="2722" spans="1:20" x14ac:dyDescent="0.25">
      <c r="A2722" s="364" t="s">
        <v>6026</v>
      </c>
      <c r="B2722" s="361" t="s">
        <v>6027</v>
      </c>
      <c r="C2722" t="s">
        <v>1920</v>
      </c>
      <c r="D2722" s="361">
        <v>33</v>
      </c>
      <c r="E2722" s="364"/>
      <c r="F2722" s="361" t="s">
        <v>1917</v>
      </c>
      <c r="T2722" s="361">
        <v>3.7</v>
      </c>
    </row>
    <row r="2723" spans="1:20" x14ac:dyDescent="0.25">
      <c r="A2723" s="364" t="s">
        <v>6028</v>
      </c>
      <c r="B2723" s="361" t="s">
        <v>6029</v>
      </c>
      <c r="C2723" t="s">
        <v>1920</v>
      </c>
      <c r="D2723" s="361">
        <v>33</v>
      </c>
      <c r="E2723" s="364"/>
      <c r="F2723" s="361" t="s">
        <v>1917</v>
      </c>
      <c r="T2723" s="361">
        <v>3.6</v>
      </c>
    </row>
    <row r="2724" spans="1:20" x14ac:dyDescent="0.25">
      <c r="A2724" s="364" t="s">
        <v>6030</v>
      </c>
      <c r="B2724" s="361" t="s">
        <v>6031</v>
      </c>
      <c r="C2724" t="s">
        <v>1920</v>
      </c>
      <c r="D2724" s="361">
        <v>33</v>
      </c>
      <c r="E2724" s="364"/>
      <c r="F2724" s="361" t="s">
        <v>1917</v>
      </c>
      <c r="T2724" s="361">
        <v>3.7</v>
      </c>
    </row>
    <row r="2725" spans="1:20" x14ac:dyDescent="0.25">
      <c r="A2725" s="364" t="s">
        <v>6032</v>
      </c>
      <c r="B2725" s="361" t="s">
        <v>6033</v>
      </c>
      <c r="C2725" t="s">
        <v>1920</v>
      </c>
      <c r="D2725" s="361">
        <v>29</v>
      </c>
      <c r="E2725" s="364"/>
      <c r="F2725" s="361" t="s">
        <v>1921</v>
      </c>
      <c r="T2725" s="361">
        <v>0.3</v>
      </c>
    </row>
    <row r="2726" spans="1:20" x14ac:dyDescent="0.25">
      <c r="A2726" s="364" t="s">
        <v>6034</v>
      </c>
      <c r="B2726" s="361" t="s">
        <v>6035</v>
      </c>
      <c r="C2726" t="s">
        <v>1920</v>
      </c>
      <c r="D2726" s="361">
        <v>29</v>
      </c>
      <c r="E2726" s="364"/>
      <c r="F2726" s="361" t="s">
        <v>1921</v>
      </c>
      <c r="T2726" s="361">
        <v>0.3</v>
      </c>
    </row>
    <row r="2727" spans="1:20" x14ac:dyDescent="0.25">
      <c r="A2727" s="364" t="s">
        <v>6036</v>
      </c>
      <c r="B2727" s="361" t="s">
        <v>6037</v>
      </c>
      <c r="C2727" t="s">
        <v>1920</v>
      </c>
      <c r="D2727" s="361">
        <v>33</v>
      </c>
      <c r="E2727" s="364"/>
      <c r="F2727" s="361" t="s">
        <v>1917</v>
      </c>
      <c r="T2727" s="361">
        <v>3.7</v>
      </c>
    </row>
    <row r="2728" spans="1:20" x14ac:dyDescent="0.25">
      <c r="A2728" s="364" t="s">
        <v>6038</v>
      </c>
      <c r="B2728" s="361" t="s">
        <v>6039</v>
      </c>
      <c r="C2728" t="s">
        <v>1920</v>
      </c>
      <c r="D2728" s="361">
        <v>33</v>
      </c>
      <c r="E2728" s="364"/>
      <c r="F2728" s="361" t="s">
        <v>1917</v>
      </c>
      <c r="T2728" s="361">
        <v>3.7</v>
      </c>
    </row>
    <row r="2729" spans="1:20" x14ac:dyDescent="0.25">
      <c r="A2729" s="364" t="s">
        <v>6040</v>
      </c>
      <c r="B2729" s="361" t="s">
        <v>6041</v>
      </c>
      <c r="C2729" t="s">
        <v>1920</v>
      </c>
      <c r="D2729" s="361">
        <v>33</v>
      </c>
      <c r="E2729" s="364"/>
      <c r="F2729" s="361" t="s">
        <v>1917</v>
      </c>
      <c r="T2729" s="361">
        <v>3.7</v>
      </c>
    </row>
    <row r="2730" spans="1:20" x14ac:dyDescent="0.25">
      <c r="A2730" s="364" t="s">
        <v>6042</v>
      </c>
      <c r="B2730" s="361" t="s">
        <v>6043</v>
      </c>
      <c r="C2730" t="s">
        <v>1920</v>
      </c>
      <c r="D2730" s="361">
        <v>33</v>
      </c>
      <c r="E2730" s="364"/>
      <c r="F2730" s="361" t="s">
        <v>1917</v>
      </c>
      <c r="T2730" s="361">
        <v>3.7</v>
      </c>
    </row>
    <row r="2731" spans="1:20" x14ac:dyDescent="0.25">
      <c r="A2731" s="364" t="s">
        <v>6044</v>
      </c>
      <c r="B2731" s="361" t="s">
        <v>6045</v>
      </c>
      <c r="C2731" t="s">
        <v>1920</v>
      </c>
      <c r="D2731" s="361">
        <v>33</v>
      </c>
      <c r="E2731" s="364"/>
      <c r="F2731" s="361" t="s">
        <v>1917</v>
      </c>
      <c r="T2731" s="361">
        <v>3.7</v>
      </c>
    </row>
    <row r="2732" spans="1:20" x14ac:dyDescent="0.25">
      <c r="A2732" s="364" t="s">
        <v>6046</v>
      </c>
      <c r="B2732" s="361" t="s">
        <v>6047</v>
      </c>
      <c r="C2732" t="s">
        <v>1920</v>
      </c>
      <c r="D2732" s="361">
        <v>33</v>
      </c>
      <c r="E2732" s="364"/>
      <c r="F2732" s="361" t="s">
        <v>1917</v>
      </c>
      <c r="T2732" s="361">
        <v>3.35</v>
      </c>
    </row>
    <row r="2733" spans="1:20" x14ac:dyDescent="0.25">
      <c r="A2733" s="364" t="s">
        <v>6048</v>
      </c>
      <c r="B2733" s="361" t="s">
        <v>6049</v>
      </c>
      <c r="C2733" t="s">
        <v>1920</v>
      </c>
      <c r="D2733" s="361">
        <v>33</v>
      </c>
      <c r="E2733" s="364"/>
      <c r="F2733" s="361" t="s">
        <v>1917</v>
      </c>
      <c r="T2733" s="361">
        <v>3.7</v>
      </c>
    </row>
    <row r="2734" spans="1:20" x14ac:dyDescent="0.25">
      <c r="A2734" s="364" t="s">
        <v>6050</v>
      </c>
      <c r="B2734" s="361" t="s">
        <v>6051</v>
      </c>
      <c r="C2734" t="s">
        <v>1920</v>
      </c>
      <c r="D2734" s="361">
        <v>33</v>
      </c>
      <c r="E2734" s="364"/>
      <c r="F2734" s="361" t="s">
        <v>1917</v>
      </c>
      <c r="T2734" s="361">
        <v>3.7</v>
      </c>
    </row>
    <row r="2735" spans="1:20" x14ac:dyDescent="0.25">
      <c r="A2735" s="364" t="s">
        <v>6052</v>
      </c>
      <c r="B2735" s="361" t="s">
        <v>6053</v>
      </c>
      <c r="C2735" t="s">
        <v>1920</v>
      </c>
      <c r="D2735" s="361">
        <v>33</v>
      </c>
      <c r="E2735" s="364"/>
      <c r="F2735" s="361" t="s">
        <v>1917</v>
      </c>
      <c r="T2735" s="361">
        <v>3.7</v>
      </c>
    </row>
    <row r="2736" spans="1:20" x14ac:dyDescent="0.25">
      <c r="A2736" s="364" t="s">
        <v>1464</v>
      </c>
      <c r="B2736" s="361" t="s">
        <v>1465</v>
      </c>
      <c r="C2736" t="s">
        <v>1922</v>
      </c>
      <c r="D2736" s="361">
        <v>1</v>
      </c>
      <c r="E2736" s="364"/>
      <c r="F2736" s="361" t="s">
        <v>1921</v>
      </c>
      <c r="T2736" s="361">
        <v>20.37</v>
      </c>
    </row>
    <row r="2737" spans="1:20" x14ac:dyDescent="0.25">
      <c r="A2737" s="364" t="s">
        <v>6054</v>
      </c>
      <c r="B2737" s="361" t="s">
        <v>6055</v>
      </c>
      <c r="C2737" t="s">
        <v>1920</v>
      </c>
      <c r="D2737" s="361">
        <v>15</v>
      </c>
      <c r="E2737" s="364"/>
      <c r="F2737" s="361" t="s">
        <v>1917</v>
      </c>
      <c r="T2737" s="361">
        <v>49.6</v>
      </c>
    </row>
    <row r="2738" spans="1:20" x14ac:dyDescent="0.25">
      <c r="A2738" s="364" t="s">
        <v>6056</v>
      </c>
      <c r="B2738" s="361" t="s">
        <v>6057</v>
      </c>
      <c r="C2738" t="s">
        <v>1920</v>
      </c>
      <c r="D2738" s="361">
        <v>26</v>
      </c>
      <c r="E2738" s="364"/>
      <c r="F2738" s="361" t="s">
        <v>1921</v>
      </c>
      <c r="T2738" s="361">
        <v>0.36462</v>
      </c>
    </row>
    <row r="2739" spans="1:20" x14ac:dyDescent="0.25">
      <c r="A2739" s="364" t="s">
        <v>6058</v>
      </c>
      <c r="B2739" s="361" t="s">
        <v>6059</v>
      </c>
      <c r="C2739" t="s">
        <v>1920</v>
      </c>
      <c r="D2739" s="361">
        <v>33</v>
      </c>
      <c r="E2739" s="364"/>
      <c r="F2739" s="361" t="s">
        <v>1921</v>
      </c>
      <c r="T2739" s="361">
        <v>0.108</v>
      </c>
    </row>
    <row r="2740" spans="1:20" x14ac:dyDescent="0.25">
      <c r="A2740" s="364" t="s">
        <v>6060</v>
      </c>
      <c r="B2740" s="361" t="s">
        <v>6061</v>
      </c>
      <c r="C2740" t="s">
        <v>1920</v>
      </c>
      <c r="D2740" s="361">
        <v>33</v>
      </c>
      <c r="E2740" s="364"/>
      <c r="F2740" s="361" t="s">
        <v>1921</v>
      </c>
      <c r="T2740" s="361">
        <v>3.4552399999999999</v>
      </c>
    </row>
    <row r="2741" spans="1:20" x14ac:dyDescent="0.25">
      <c r="A2741" s="364" t="s">
        <v>6062</v>
      </c>
      <c r="B2741" s="361" t="s">
        <v>6063</v>
      </c>
      <c r="C2741" t="s">
        <v>1920</v>
      </c>
      <c r="D2741" s="361">
        <v>20</v>
      </c>
      <c r="E2741" s="364"/>
      <c r="F2741" s="361" t="s">
        <v>1921</v>
      </c>
      <c r="T2741" s="361">
        <v>3.4200000000000001E-2</v>
      </c>
    </row>
    <row r="2742" spans="1:20" x14ac:dyDescent="0.25">
      <c r="A2742" s="364" t="s">
        <v>6064</v>
      </c>
      <c r="B2742" s="361" t="s">
        <v>6065</v>
      </c>
      <c r="C2742" t="s">
        <v>1920</v>
      </c>
      <c r="D2742" s="361">
        <v>22</v>
      </c>
      <c r="E2742" s="364"/>
      <c r="F2742" s="361" t="s">
        <v>1921</v>
      </c>
      <c r="T2742" s="361">
        <v>5.3589999999999999E-2</v>
      </c>
    </row>
    <row r="2743" spans="1:20" x14ac:dyDescent="0.25">
      <c r="A2743" s="364" t="s">
        <v>6066</v>
      </c>
      <c r="B2743" s="361" t="s">
        <v>6067</v>
      </c>
      <c r="C2743" t="s">
        <v>1920</v>
      </c>
      <c r="D2743" s="361">
        <v>20</v>
      </c>
      <c r="E2743" s="364"/>
      <c r="F2743" s="361" t="s">
        <v>1921</v>
      </c>
      <c r="T2743" s="361">
        <v>3.1399999999999997E-2</v>
      </c>
    </row>
    <row r="2744" spans="1:20" x14ac:dyDescent="0.25">
      <c r="A2744" s="364" t="s">
        <v>6068</v>
      </c>
      <c r="B2744" s="361" t="s">
        <v>6069</v>
      </c>
      <c r="C2744" t="s">
        <v>1920</v>
      </c>
      <c r="D2744" s="361">
        <v>20</v>
      </c>
      <c r="E2744" s="364"/>
      <c r="F2744" s="361" t="s">
        <v>1921</v>
      </c>
      <c r="T2744" s="361">
        <v>3.1399999999999997E-2</v>
      </c>
    </row>
    <row r="2745" spans="1:20" x14ac:dyDescent="0.25">
      <c r="A2745" s="364" t="s">
        <v>6070</v>
      </c>
      <c r="B2745" s="361" t="s">
        <v>6071</v>
      </c>
      <c r="C2745" t="s">
        <v>1920</v>
      </c>
      <c r="D2745" s="361">
        <v>20</v>
      </c>
      <c r="E2745" s="364"/>
      <c r="F2745" s="361" t="s">
        <v>1921</v>
      </c>
      <c r="T2745" s="361">
        <v>3.1399999999999997E-2</v>
      </c>
    </row>
    <row r="2746" spans="1:20" x14ac:dyDescent="0.25">
      <c r="A2746" s="364" t="s">
        <v>6072</v>
      </c>
      <c r="B2746" s="361" t="s">
        <v>6073</v>
      </c>
      <c r="C2746" t="s">
        <v>1920</v>
      </c>
      <c r="D2746" s="361">
        <v>20</v>
      </c>
      <c r="E2746" s="364"/>
      <c r="F2746" s="361" t="s">
        <v>1921</v>
      </c>
      <c r="T2746" s="361">
        <v>5.9200000000000003E-2</v>
      </c>
    </row>
    <row r="2747" spans="1:20" x14ac:dyDescent="0.25">
      <c r="A2747" s="364" t="s">
        <v>6074</v>
      </c>
      <c r="B2747" s="361" t="s">
        <v>6075</v>
      </c>
      <c r="C2747" t="s">
        <v>1920</v>
      </c>
      <c r="D2747" s="361">
        <v>20</v>
      </c>
      <c r="E2747" s="364"/>
      <c r="F2747" s="361" t="s">
        <v>1921</v>
      </c>
      <c r="T2747" s="361">
        <v>3.1399999999999997E-2</v>
      </c>
    </row>
    <row r="2748" spans="1:20" x14ac:dyDescent="0.25">
      <c r="A2748" s="364" t="s">
        <v>6076</v>
      </c>
      <c r="B2748" s="361" t="s">
        <v>6077</v>
      </c>
      <c r="C2748" t="s">
        <v>1920</v>
      </c>
      <c r="D2748" s="361">
        <v>24</v>
      </c>
      <c r="E2748" s="364"/>
      <c r="F2748" s="361" t="s">
        <v>1921</v>
      </c>
      <c r="T2748" s="361">
        <v>0.498</v>
      </c>
    </row>
    <row r="2749" spans="1:20" x14ac:dyDescent="0.25">
      <c r="A2749" s="364" t="s">
        <v>6078</v>
      </c>
      <c r="B2749" s="361" t="s">
        <v>6079</v>
      </c>
      <c r="C2749" t="s">
        <v>1920</v>
      </c>
      <c r="D2749" s="361">
        <v>24</v>
      </c>
      <c r="E2749" s="364"/>
      <c r="F2749" s="361" t="s">
        <v>1921</v>
      </c>
      <c r="T2749" s="361">
        <v>0.10199999999999999</v>
      </c>
    </row>
    <row r="2750" spans="1:20" x14ac:dyDescent="0.25">
      <c r="A2750" s="364" t="s">
        <v>6080</v>
      </c>
      <c r="B2750" s="361" t="s">
        <v>6081</v>
      </c>
      <c r="C2750" t="s">
        <v>1920</v>
      </c>
      <c r="D2750" s="361">
        <v>91</v>
      </c>
      <c r="E2750" s="364"/>
      <c r="F2750" s="361" t="s">
        <v>1921</v>
      </c>
      <c r="T2750" s="361">
        <v>0.13544</v>
      </c>
    </row>
    <row r="2751" spans="1:20" x14ac:dyDescent="0.25">
      <c r="A2751" s="364" t="s">
        <v>6082</v>
      </c>
      <c r="B2751" s="361" t="s">
        <v>6083</v>
      </c>
      <c r="C2751" t="s">
        <v>1920</v>
      </c>
      <c r="D2751" s="361">
        <v>24</v>
      </c>
      <c r="E2751" s="364"/>
      <c r="F2751" s="361" t="s">
        <v>1921</v>
      </c>
      <c r="T2751" s="361">
        <v>3.0259999999999998</v>
      </c>
    </row>
    <row r="2752" spans="1:20" x14ac:dyDescent="0.25">
      <c r="A2752" s="364" t="s">
        <v>6084</v>
      </c>
      <c r="B2752" s="361" t="s">
        <v>6085</v>
      </c>
      <c r="C2752" t="s">
        <v>1920</v>
      </c>
      <c r="D2752" s="361">
        <v>24</v>
      </c>
      <c r="E2752" s="364"/>
      <c r="F2752" s="361" t="s">
        <v>1921</v>
      </c>
      <c r="T2752" s="361">
        <v>0.13919000000000001</v>
      </c>
    </row>
    <row r="2753" spans="1:20" x14ac:dyDescent="0.25">
      <c r="A2753" s="364" t="s">
        <v>6086</v>
      </c>
      <c r="B2753" s="361" t="s">
        <v>6087</v>
      </c>
      <c r="C2753" t="s">
        <v>1920</v>
      </c>
      <c r="D2753" s="361">
        <v>24</v>
      </c>
      <c r="E2753" s="364"/>
      <c r="F2753" s="361" t="s">
        <v>1921</v>
      </c>
      <c r="T2753" s="361">
        <v>0.17460000000000001</v>
      </c>
    </row>
    <row r="2754" spans="1:20" x14ac:dyDescent="0.25">
      <c r="A2754" s="364" t="s">
        <v>6088</v>
      </c>
      <c r="B2754" s="361" t="s">
        <v>6089</v>
      </c>
      <c r="C2754" t="s">
        <v>1920</v>
      </c>
      <c r="D2754" s="361">
        <v>54</v>
      </c>
      <c r="E2754" s="364"/>
      <c r="F2754" s="361" t="s">
        <v>1921</v>
      </c>
      <c r="T2754" s="361">
        <v>0.192</v>
      </c>
    </row>
    <row r="2755" spans="1:20" x14ac:dyDescent="0.25">
      <c r="A2755" s="364" t="s">
        <v>6090</v>
      </c>
      <c r="B2755" s="361" t="s">
        <v>6091</v>
      </c>
      <c r="C2755" t="s">
        <v>1920</v>
      </c>
      <c r="D2755" s="361">
        <v>27</v>
      </c>
      <c r="E2755" s="364"/>
      <c r="F2755" s="361" t="s">
        <v>1921</v>
      </c>
      <c r="T2755" s="361">
        <v>0.66</v>
      </c>
    </row>
    <row r="2756" spans="1:20" x14ac:dyDescent="0.25">
      <c r="A2756" s="364" t="s">
        <v>6092</v>
      </c>
      <c r="B2756" s="361" t="s">
        <v>6093</v>
      </c>
      <c r="C2756" t="s">
        <v>1920</v>
      </c>
      <c r="D2756" s="361">
        <v>27</v>
      </c>
      <c r="E2756" s="364"/>
      <c r="F2756" s="361" t="s">
        <v>1921</v>
      </c>
      <c r="T2756" s="361">
        <v>0.627</v>
      </c>
    </row>
    <row r="2757" spans="1:20" x14ac:dyDescent="0.25">
      <c r="A2757" s="364" t="s">
        <v>6094</v>
      </c>
      <c r="B2757" s="361" t="s">
        <v>6095</v>
      </c>
      <c r="C2757" t="s">
        <v>1920</v>
      </c>
      <c r="D2757" s="361">
        <v>27</v>
      </c>
      <c r="E2757" s="364"/>
      <c r="F2757" s="361" t="s">
        <v>1921</v>
      </c>
      <c r="T2757" s="361">
        <v>0.81299999999999994</v>
      </c>
    </row>
    <row r="2758" spans="1:20" x14ac:dyDescent="0.25">
      <c r="A2758" s="364" t="s">
        <v>6096</v>
      </c>
      <c r="B2758" s="361" t="s">
        <v>6097</v>
      </c>
      <c r="C2758" t="s">
        <v>1920</v>
      </c>
      <c r="D2758" s="361">
        <v>26</v>
      </c>
      <c r="E2758" s="364"/>
      <c r="F2758" s="361" t="s">
        <v>1921</v>
      </c>
      <c r="T2758" s="361">
        <v>1.0349999999999999</v>
      </c>
    </row>
    <row r="2759" spans="1:20" x14ac:dyDescent="0.25">
      <c r="A2759" s="364" t="s">
        <v>433</v>
      </c>
      <c r="B2759" s="361" t="s">
        <v>6098</v>
      </c>
      <c r="C2759" t="s">
        <v>1920</v>
      </c>
      <c r="D2759" s="361">
        <v>27</v>
      </c>
      <c r="E2759" s="364"/>
      <c r="F2759" s="361" t="s">
        <v>1921</v>
      </c>
      <c r="T2759" s="361">
        <v>0.72799999999999998</v>
      </c>
    </row>
    <row r="2760" spans="1:20" x14ac:dyDescent="0.25">
      <c r="A2760" s="364" t="s">
        <v>435</v>
      </c>
      <c r="B2760" s="361" t="s">
        <v>6099</v>
      </c>
      <c r="C2760" t="s">
        <v>1920</v>
      </c>
      <c r="D2760" s="361">
        <v>27</v>
      </c>
      <c r="E2760" s="364"/>
      <c r="F2760" s="361" t="s">
        <v>1921</v>
      </c>
      <c r="T2760" s="361">
        <v>0.75600000000000001</v>
      </c>
    </row>
    <row r="2761" spans="1:20" x14ac:dyDescent="0.25">
      <c r="A2761" s="364" t="s">
        <v>409</v>
      </c>
      <c r="B2761" s="361" t="s">
        <v>6100</v>
      </c>
      <c r="C2761" t="s">
        <v>1920</v>
      </c>
      <c r="D2761" s="361">
        <v>27</v>
      </c>
      <c r="E2761" s="364"/>
      <c r="F2761" s="361" t="s">
        <v>1921</v>
      </c>
      <c r="T2761" s="361">
        <v>1.1579999999999999</v>
      </c>
    </row>
    <row r="2762" spans="1:20" x14ac:dyDescent="0.25">
      <c r="A2762" s="364" t="s">
        <v>431</v>
      </c>
      <c r="B2762" s="361" t="s">
        <v>6101</v>
      </c>
      <c r="C2762" t="s">
        <v>1920</v>
      </c>
      <c r="D2762" s="361">
        <v>27</v>
      </c>
      <c r="E2762" s="364"/>
      <c r="F2762" s="361" t="s">
        <v>1921</v>
      </c>
      <c r="T2762" s="361">
        <v>0.81299999999999994</v>
      </c>
    </row>
    <row r="2763" spans="1:20" x14ac:dyDescent="0.25">
      <c r="A2763" s="364" t="s">
        <v>6102</v>
      </c>
      <c r="B2763" s="361" t="s">
        <v>6103</v>
      </c>
      <c r="C2763" t="s">
        <v>1920</v>
      </c>
      <c r="D2763" s="361">
        <v>27</v>
      </c>
      <c r="E2763" s="364"/>
      <c r="F2763" s="361" t="s">
        <v>1921</v>
      </c>
      <c r="T2763" s="361">
        <v>1.33</v>
      </c>
    </row>
    <row r="2764" spans="1:20" x14ac:dyDescent="0.25">
      <c r="A2764" s="364" t="s">
        <v>6104</v>
      </c>
      <c r="B2764" s="361" t="s">
        <v>6105</v>
      </c>
      <c r="C2764" t="s">
        <v>1920</v>
      </c>
      <c r="D2764" s="361">
        <v>27</v>
      </c>
      <c r="E2764" s="364"/>
      <c r="F2764" s="361" t="s">
        <v>1921</v>
      </c>
      <c r="T2764" s="361">
        <v>1.0189999999999999</v>
      </c>
    </row>
    <row r="2765" spans="1:20" x14ac:dyDescent="0.25">
      <c r="A2765" s="364" t="s">
        <v>6106</v>
      </c>
      <c r="B2765" s="361" t="s">
        <v>6107</v>
      </c>
      <c r="C2765" t="s">
        <v>1920</v>
      </c>
      <c r="D2765" s="361">
        <v>27</v>
      </c>
      <c r="E2765" s="364"/>
      <c r="F2765" s="361" t="s">
        <v>1921</v>
      </c>
      <c r="T2765" s="361">
        <v>0.88</v>
      </c>
    </row>
    <row r="2766" spans="1:20" x14ac:dyDescent="0.25">
      <c r="A2766" s="364" t="s">
        <v>6108</v>
      </c>
      <c r="B2766" s="361" t="s">
        <v>6109</v>
      </c>
      <c r="C2766" t="s">
        <v>1920</v>
      </c>
      <c r="D2766" s="361">
        <v>27</v>
      </c>
      <c r="E2766" s="364"/>
      <c r="F2766" s="361" t="s">
        <v>1921</v>
      </c>
      <c r="T2766" s="361">
        <v>0.84799999999999998</v>
      </c>
    </row>
    <row r="2767" spans="1:20" x14ac:dyDescent="0.25">
      <c r="A2767" s="364" t="s">
        <v>6110</v>
      </c>
      <c r="B2767" s="361" t="s">
        <v>6111</v>
      </c>
      <c r="C2767" t="s">
        <v>1920</v>
      </c>
      <c r="D2767" s="361">
        <v>91</v>
      </c>
      <c r="E2767" s="364"/>
      <c r="F2767" s="361" t="s">
        <v>1921</v>
      </c>
      <c r="T2767" s="361">
        <v>0.60099999999999998</v>
      </c>
    </row>
    <row r="2768" spans="1:20" x14ac:dyDescent="0.25">
      <c r="A2768" s="364" t="s">
        <v>6112</v>
      </c>
      <c r="B2768" s="361" t="s">
        <v>6113</v>
      </c>
      <c r="C2768" t="s">
        <v>1920</v>
      </c>
      <c r="D2768" s="361">
        <v>27</v>
      </c>
      <c r="E2768" s="364"/>
      <c r="F2768" s="361" t="s">
        <v>1921</v>
      </c>
      <c r="T2768" s="361">
        <v>0.65700000000000003</v>
      </c>
    </row>
    <row r="2769" spans="1:20" x14ac:dyDescent="0.25">
      <c r="A2769" s="364" t="s">
        <v>6114</v>
      </c>
      <c r="B2769" s="361" t="s">
        <v>6115</v>
      </c>
      <c r="C2769" t="s">
        <v>1920</v>
      </c>
      <c r="D2769" s="361">
        <v>27</v>
      </c>
      <c r="E2769" s="364"/>
      <c r="F2769" s="361" t="s">
        <v>1921</v>
      </c>
      <c r="T2769" s="361">
        <v>0.70899999999999996</v>
      </c>
    </row>
    <row r="2770" spans="1:20" x14ac:dyDescent="0.25">
      <c r="A2770" s="364" t="s">
        <v>6116</v>
      </c>
      <c r="B2770" s="361" t="s">
        <v>6117</v>
      </c>
      <c r="C2770" t="s">
        <v>1920</v>
      </c>
      <c r="D2770" s="361">
        <v>27</v>
      </c>
      <c r="E2770" s="364"/>
      <c r="F2770" s="361" t="s">
        <v>1921</v>
      </c>
      <c r="T2770" s="361">
        <v>1.048</v>
      </c>
    </row>
    <row r="2771" spans="1:20" x14ac:dyDescent="0.25">
      <c r="A2771" s="364" t="s">
        <v>6118</v>
      </c>
      <c r="B2771" s="361" t="s">
        <v>6119</v>
      </c>
      <c r="C2771" t="s">
        <v>1920</v>
      </c>
      <c r="D2771" s="361">
        <v>26</v>
      </c>
      <c r="E2771" s="364"/>
      <c r="F2771" s="361" t="s">
        <v>1921</v>
      </c>
      <c r="T2771" s="361">
        <v>0.45</v>
      </c>
    </row>
    <row r="2772" spans="1:20" x14ac:dyDescent="0.25">
      <c r="A2772" s="364" t="s">
        <v>6120</v>
      </c>
      <c r="B2772" s="361" t="s">
        <v>6121</v>
      </c>
      <c r="C2772" t="s">
        <v>1920</v>
      </c>
      <c r="D2772" s="361">
        <v>11</v>
      </c>
      <c r="E2772" s="364"/>
      <c r="F2772" s="361" t="s">
        <v>1921</v>
      </c>
      <c r="T2772" s="361">
        <v>0.154</v>
      </c>
    </row>
    <row r="2773" spans="1:20" x14ac:dyDescent="0.25">
      <c r="A2773" s="364" t="s">
        <v>6122</v>
      </c>
      <c r="B2773" s="361" t="s">
        <v>6123</v>
      </c>
      <c r="C2773" t="s">
        <v>1920</v>
      </c>
      <c r="D2773" s="361">
        <v>12</v>
      </c>
      <c r="E2773" s="364"/>
      <c r="F2773" s="361" t="s">
        <v>1921</v>
      </c>
      <c r="T2773" s="361">
        <v>5.7200000000000001E-2</v>
      </c>
    </row>
    <row r="2774" spans="1:20" x14ac:dyDescent="0.25">
      <c r="A2774" s="364" t="s">
        <v>6124</v>
      </c>
      <c r="B2774" s="361" t="s">
        <v>6125</v>
      </c>
      <c r="C2774" t="s">
        <v>1920</v>
      </c>
      <c r="D2774" s="361">
        <v>12</v>
      </c>
      <c r="E2774" s="364"/>
      <c r="F2774" s="361" t="s">
        <v>1921</v>
      </c>
      <c r="T2774" s="361">
        <v>5.602E-2</v>
      </c>
    </row>
    <row r="2775" spans="1:20" x14ac:dyDescent="0.25">
      <c r="A2775" s="364" t="s">
        <v>6126</v>
      </c>
      <c r="B2775" s="361" t="s">
        <v>6127</v>
      </c>
      <c r="C2775" t="s">
        <v>1920</v>
      </c>
      <c r="D2775" s="361">
        <v>12</v>
      </c>
      <c r="E2775" s="364"/>
      <c r="F2775" s="361" t="s">
        <v>1921</v>
      </c>
      <c r="T2775" s="361">
        <v>8.7499999999999994E-2</v>
      </c>
    </row>
    <row r="2776" spans="1:20" x14ac:dyDescent="0.25">
      <c r="A2776" s="364" t="s">
        <v>6128</v>
      </c>
      <c r="B2776" s="361" t="s">
        <v>6129</v>
      </c>
      <c r="C2776" t="s">
        <v>1920</v>
      </c>
      <c r="D2776" s="361">
        <v>12</v>
      </c>
      <c r="E2776" s="364"/>
      <c r="F2776" s="361" t="s">
        <v>1921</v>
      </c>
      <c r="T2776" s="361">
        <v>5.5190000000000003E-2</v>
      </c>
    </row>
    <row r="2777" spans="1:20" x14ac:dyDescent="0.25">
      <c r="A2777" s="364" t="s">
        <v>6130</v>
      </c>
      <c r="B2777" s="361" t="s">
        <v>6127</v>
      </c>
      <c r="C2777" t="s">
        <v>1920</v>
      </c>
      <c r="D2777" s="361">
        <v>12</v>
      </c>
      <c r="E2777" s="364"/>
      <c r="F2777" s="361" t="s">
        <v>1921</v>
      </c>
      <c r="T2777" s="361">
        <v>7.0499999999999993E-2</v>
      </c>
    </row>
    <row r="2778" spans="1:20" x14ac:dyDescent="0.25">
      <c r="A2778" s="364" t="s">
        <v>6131</v>
      </c>
      <c r="B2778" s="361" t="s">
        <v>6132</v>
      </c>
      <c r="C2778" t="s">
        <v>1920</v>
      </c>
      <c r="D2778" s="361">
        <v>12</v>
      </c>
      <c r="E2778" s="364"/>
      <c r="F2778" s="361" t="s">
        <v>1921</v>
      </c>
      <c r="T2778" s="361">
        <v>2.5999999999999999E-2</v>
      </c>
    </row>
    <row r="2779" spans="1:20" x14ac:dyDescent="0.25">
      <c r="A2779" s="364" t="s">
        <v>6133</v>
      </c>
      <c r="B2779" s="361" t="s">
        <v>6134</v>
      </c>
      <c r="C2779" t="s">
        <v>1920</v>
      </c>
      <c r="D2779" s="361">
        <v>11</v>
      </c>
      <c r="E2779" s="364"/>
      <c r="F2779" s="361" t="s">
        <v>1921</v>
      </c>
      <c r="T2779" s="361">
        <v>0.11</v>
      </c>
    </row>
    <row r="2780" spans="1:20" x14ac:dyDescent="0.25">
      <c r="A2780" s="364" t="s">
        <v>6135</v>
      </c>
      <c r="B2780" s="361" t="s">
        <v>6136</v>
      </c>
      <c r="C2780" t="s">
        <v>1920</v>
      </c>
      <c r="D2780" s="361">
        <v>11</v>
      </c>
      <c r="E2780" s="364"/>
      <c r="F2780" s="361" t="s">
        <v>1921</v>
      </c>
      <c r="T2780" s="361">
        <v>6.0359999999999997E-2</v>
      </c>
    </row>
    <row r="2781" spans="1:20" x14ac:dyDescent="0.25">
      <c r="A2781" s="364" t="s">
        <v>6137</v>
      </c>
      <c r="B2781" s="361" t="s">
        <v>6138</v>
      </c>
      <c r="C2781" t="s">
        <v>1920</v>
      </c>
      <c r="D2781" s="361">
        <v>11</v>
      </c>
      <c r="E2781" s="364"/>
      <c r="F2781" s="361" t="s">
        <v>1921</v>
      </c>
      <c r="T2781" s="361">
        <v>8.0070000000000002E-2</v>
      </c>
    </row>
    <row r="2782" spans="1:20" x14ac:dyDescent="0.25">
      <c r="A2782" s="364" t="s">
        <v>6139</v>
      </c>
      <c r="B2782" s="361" t="s">
        <v>6140</v>
      </c>
      <c r="C2782" t="s">
        <v>1920</v>
      </c>
      <c r="D2782" s="361">
        <v>11</v>
      </c>
      <c r="E2782" s="364"/>
      <c r="F2782" s="361" t="s">
        <v>1921</v>
      </c>
      <c r="T2782" s="361">
        <v>7.3789999999999994E-2</v>
      </c>
    </row>
    <row r="2783" spans="1:20" x14ac:dyDescent="0.25">
      <c r="A2783" s="364" t="s">
        <v>6141</v>
      </c>
      <c r="B2783" s="361" t="s">
        <v>6142</v>
      </c>
      <c r="C2783" t="s">
        <v>1920</v>
      </c>
      <c r="D2783" s="361">
        <v>10</v>
      </c>
      <c r="E2783" s="364"/>
      <c r="F2783" s="361" t="s">
        <v>2201</v>
      </c>
      <c r="T2783" s="361">
        <v>126.07</v>
      </c>
    </row>
    <row r="2784" spans="1:20" x14ac:dyDescent="0.25">
      <c r="A2784" s="364" t="s">
        <v>6143</v>
      </c>
      <c r="B2784" s="361" t="s">
        <v>6144</v>
      </c>
      <c r="C2784" t="s">
        <v>1920</v>
      </c>
      <c r="D2784" s="361">
        <v>11</v>
      </c>
      <c r="E2784" s="364"/>
      <c r="F2784" s="361" t="s">
        <v>2201</v>
      </c>
      <c r="T2784" s="361">
        <v>160</v>
      </c>
    </row>
    <row r="2785" spans="1:20" x14ac:dyDescent="0.25">
      <c r="A2785" s="364" t="s">
        <v>6145</v>
      </c>
      <c r="B2785" s="361" t="s">
        <v>6146</v>
      </c>
      <c r="C2785" t="s">
        <v>1920</v>
      </c>
      <c r="D2785" s="361">
        <v>11</v>
      </c>
      <c r="E2785" s="364"/>
      <c r="F2785" s="361" t="s">
        <v>2201</v>
      </c>
      <c r="T2785" s="361">
        <v>175.5</v>
      </c>
    </row>
    <row r="2786" spans="1:20" x14ac:dyDescent="0.25">
      <c r="A2786" s="364" t="s">
        <v>6147</v>
      </c>
      <c r="B2786" s="361" t="s">
        <v>6148</v>
      </c>
      <c r="C2786" t="s">
        <v>1920</v>
      </c>
      <c r="D2786" s="361">
        <v>11</v>
      </c>
      <c r="E2786" s="364"/>
      <c r="F2786" s="361" t="s">
        <v>2201</v>
      </c>
      <c r="T2786" s="361">
        <v>200.6</v>
      </c>
    </row>
    <row r="2787" spans="1:20" x14ac:dyDescent="0.25">
      <c r="A2787" s="364" t="s">
        <v>6149</v>
      </c>
      <c r="B2787" s="361" t="s">
        <v>6150</v>
      </c>
      <c r="C2787" t="s">
        <v>1920</v>
      </c>
      <c r="D2787" s="361">
        <v>41</v>
      </c>
      <c r="E2787" s="364"/>
      <c r="F2787" s="361" t="s">
        <v>2201</v>
      </c>
      <c r="T2787" s="361">
        <v>67</v>
      </c>
    </row>
    <row r="2788" spans="1:20" x14ac:dyDescent="0.25">
      <c r="A2788" s="364" t="s">
        <v>6151</v>
      </c>
      <c r="B2788" s="361" t="s">
        <v>6152</v>
      </c>
      <c r="C2788" t="s">
        <v>1920</v>
      </c>
      <c r="D2788" s="361">
        <v>11</v>
      </c>
      <c r="E2788" s="364"/>
      <c r="F2788" s="361" t="s">
        <v>2201</v>
      </c>
      <c r="T2788" s="361">
        <v>256</v>
      </c>
    </row>
    <row r="2789" spans="1:20" x14ac:dyDescent="0.25">
      <c r="A2789" s="364" t="s">
        <v>6153</v>
      </c>
      <c r="B2789" s="361" t="s">
        <v>6154</v>
      </c>
      <c r="C2789" t="s">
        <v>1920</v>
      </c>
      <c r="D2789" s="361">
        <v>11</v>
      </c>
      <c r="E2789" s="364"/>
      <c r="F2789" s="361" t="s">
        <v>2201</v>
      </c>
      <c r="T2789" s="361">
        <v>262.39999999999998</v>
      </c>
    </row>
    <row r="2790" spans="1:20" x14ac:dyDescent="0.25">
      <c r="A2790" s="364" t="s">
        <v>1466</v>
      </c>
      <c r="B2790" s="361" t="s">
        <v>1467</v>
      </c>
      <c r="C2790" t="s">
        <v>1922</v>
      </c>
      <c r="D2790" s="361">
        <v>1</v>
      </c>
      <c r="E2790" s="364"/>
      <c r="F2790" s="361" t="s">
        <v>1917</v>
      </c>
      <c r="T2790" s="361">
        <v>2.63</v>
      </c>
    </row>
    <row r="2791" spans="1:20" x14ac:dyDescent="0.25">
      <c r="A2791" s="364" t="s">
        <v>1468</v>
      </c>
      <c r="B2791" s="361" t="s">
        <v>1469</v>
      </c>
      <c r="C2791" t="s">
        <v>1922</v>
      </c>
      <c r="D2791" s="361">
        <v>1</v>
      </c>
      <c r="E2791" s="364"/>
      <c r="F2791" s="361" t="s">
        <v>1917</v>
      </c>
      <c r="T2791" s="361">
        <v>10.199999999999999</v>
      </c>
    </row>
    <row r="2792" spans="1:20" x14ac:dyDescent="0.25">
      <c r="A2792" s="364" t="s">
        <v>1470</v>
      </c>
      <c r="B2792" s="361" t="s">
        <v>1471</v>
      </c>
      <c r="C2792" t="s">
        <v>1922</v>
      </c>
      <c r="D2792" s="361">
        <v>1</v>
      </c>
      <c r="E2792" s="364"/>
      <c r="F2792" s="361" t="s">
        <v>1917</v>
      </c>
      <c r="T2792" s="361">
        <v>339.25</v>
      </c>
    </row>
    <row r="2793" spans="1:20" x14ac:dyDescent="0.25">
      <c r="A2793" s="364" t="s">
        <v>1472</v>
      </c>
      <c r="B2793" s="361" t="s">
        <v>1473</v>
      </c>
      <c r="C2793" t="s">
        <v>1916</v>
      </c>
      <c r="D2793" s="361">
        <v>2</v>
      </c>
      <c r="E2793" s="364"/>
      <c r="F2793" s="361" t="s">
        <v>1917</v>
      </c>
      <c r="T2793" s="361">
        <v>16.899999999999999</v>
      </c>
    </row>
    <row r="2794" spans="1:20" x14ac:dyDescent="0.25">
      <c r="A2794" s="364" t="s">
        <v>119</v>
      </c>
      <c r="B2794" s="361" t="s">
        <v>1474</v>
      </c>
      <c r="C2794" t="s">
        <v>1922</v>
      </c>
      <c r="D2794" s="361">
        <v>1</v>
      </c>
      <c r="E2794" s="364"/>
      <c r="F2794" s="361" t="s">
        <v>1917</v>
      </c>
      <c r="T2794" s="361">
        <v>18.600000000000001</v>
      </c>
    </row>
    <row r="2795" spans="1:20" x14ac:dyDescent="0.25">
      <c r="A2795" s="364" t="s">
        <v>1475</v>
      </c>
      <c r="B2795" s="361" t="s">
        <v>1476</v>
      </c>
      <c r="C2795" t="s">
        <v>1922</v>
      </c>
      <c r="D2795" s="361">
        <v>1</v>
      </c>
      <c r="E2795" s="364"/>
      <c r="F2795" s="361" t="s">
        <v>1917</v>
      </c>
      <c r="T2795" s="361">
        <v>14.34</v>
      </c>
    </row>
    <row r="2796" spans="1:20" x14ac:dyDescent="0.25">
      <c r="A2796" s="364" t="s">
        <v>1477</v>
      </c>
      <c r="B2796" s="361" t="s">
        <v>1478</v>
      </c>
      <c r="C2796" t="s">
        <v>1916</v>
      </c>
      <c r="D2796" s="361">
        <v>2</v>
      </c>
      <c r="E2796" s="364"/>
      <c r="F2796" s="361" t="s">
        <v>1917</v>
      </c>
      <c r="T2796" s="361">
        <v>1.0000000000000001E-5</v>
      </c>
    </row>
    <row r="2797" spans="1:20" x14ac:dyDescent="0.25">
      <c r="A2797" s="364" t="s">
        <v>1479</v>
      </c>
      <c r="B2797" s="361" t="s">
        <v>1273</v>
      </c>
      <c r="C2797" t="s">
        <v>1916</v>
      </c>
      <c r="D2797" s="361">
        <v>2</v>
      </c>
      <c r="E2797" s="364"/>
      <c r="F2797" s="361" t="s">
        <v>1917</v>
      </c>
      <c r="T2797" s="361">
        <v>12.7</v>
      </c>
    </row>
    <row r="2798" spans="1:20" x14ac:dyDescent="0.25">
      <c r="A2798" s="364" t="s">
        <v>268</v>
      </c>
      <c r="B2798" s="361" t="s">
        <v>1480</v>
      </c>
      <c r="C2798" t="s">
        <v>1916</v>
      </c>
      <c r="D2798" s="361">
        <v>3</v>
      </c>
      <c r="E2798" s="364"/>
      <c r="F2798" s="361" t="s">
        <v>1917</v>
      </c>
      <c r="T2798" s="361">
        <v>6.9999999999999999E-4</v>
      </c>
    </row>
    <row r="2799" spans="1:20" x14ac:dyDescent="0.25">
      <c r="A2799" s="364" t="s">
        <v>285</v>
      </c>
      <c r="B2799" s="361" t="s">
        <v>1481</v>
      </c>
      <c r="C2799" t="s">
        <v>1916</v>
      </c>
      <c r="D2799" s="361">
        <v>2</v>
      </c>
      <c r="E2799" s="364"/>
      <c r="F2799" s="361" t="s">
        <v>1917</v>
      </c>
      <c r="T2799" s="361">
        <v>42.793999999999997</v>
      </c>
    </row>
    <row r="2800" spans="1:20" x14ac:dyDescent="0.25">
      <c r="A2800" s="364" t="s">
        <v>280</v>
      </c>
      <c r="B2800" s="361" t="s">
        <v>1482</v>
      </c>
      <c r="C2800" t="s">
        <v>1916</v>
      </c>
      <c r="D2800" s="361">
        <v>3</v>
      </c>
      <c r="E2800" s="364"/>
      <c r="F2800" s="361" t="s">
        <v>1917</v>
      </c>
      <c r="T2800" s="361">
        <v>369.65</v>
      </c>
    </row>
    <row r="2801" spans="1:20" x14ac:dyDescent="0.25">
      <c r="A2801" s="364" t="s">
        <v>234</v>
      </c>
      <c r="B2801" s="361" t="s">
        <v>1483</v>
      </c>
      <c r="C2801" t="s">
        <v>1916</v>
      </c>
      <c r="D2801" s="361">
        <v>2</v>
      </c>
      <c r="E2801" s="364"/>
      <c r="F2801" s="361" t="s">
        <v>1917</v>
      </c>
      <c r="T2801" s="361">
        <v>19.97</v>
      </c>
    </row>
    <row r="2802" spans="1:20" x14ac:dyDescent="0.25">
      <c r="A2802" s="364" t="s">
        <v>1484</v>
      </c>
      <c r="B2802" s="361" t="s">
        <v>1485</v>
      </c>
      <c r="C2802" t="s">
        <v>1916</v>
      </c>
      <c r="D2802" s="361">
        <v>2</v>
      </c>
      <c r="E2802" s="364"/>
      <c r="F2802" s="361" t="s">
        <v>1917</v>
      </c>
      <c r="T2802" s="361">
        <v>396.45501000000002</v>
      </c>
    </row>
    <row r="2803" spans="1:20" x14ac:dyDescent="0.25">
      <c r="A2803" s="364" t="s">
        <v>302</v>
      </c>
      <c r="B2803" s="361" t="s">
        <v>1417</v>
      </c>
      <c r="C2803" t="s">
        <v>1916</v>
      </c>
      <c r="D2803" s="361">
        <v>2</v>
      </c>
      <c r="E2803" s="364"/>
      <c r="F2803" s="361" t="s">
        <v>1917</v>
      </c>
      <c r="T2803" s="361">
        <v>3.88</v>
      </c>
    </row>
    <row r="2804" spans="1:20" x14ac:dyDescent="0.25">
      <c r="A2804" s="364" t="s">
        <v>298</v>
      </c>
      <c r="B2804" s="361" t="s">
        <v>1486</v>
      </c>
      <c r="C2804" t="s">
        <v>1916</v>
      </c>
      <c r="D2804" s="361">
        <v>2</v>
      </c>
      <c r="E2804" s="364"/>
      <c r="F2804" s="361" t="s">
        <v>1917</v>
      </c>
      <c r="T2804" s="361">
        <v>11.85</v>
      </c>
    </row>
    <row r="2805" spans="1:20" x14ac:dyDescent="0.25">
      <c r="A2805" s="364" t="s">
        <v>273</v>
      </c>
      <c r="B2805" s="361" t="s">
        <v>1487</v>
      </c>
      <c r="C2805" t="s">
        <v>1916</v>
      </c>
      <c r="D2805" s="361">
        <v>2</v>
      </c>
      <c r="E2805" s="364"/>
      <c r="F2805" s="361" t="s">
        <v>1917</v>
      </c>
      <c r="T2805" s="361">
        <v>4.95</v>
      </c>
    </row>
    <row r="2806" spans="1:20" x14ac:dyDescent="0.25">
      <c r="A2806" s="364" t="s">
        <v>299</v>
      </c>
      <c r="B2806" s="361" t="s">
        <v>1488</v>
      </c>
      <c r="C2806" t="s">
        <v>1916</v>
      </c>
      <c r="D2806" s="361">
        <v>2</v>
      </c>
      <c r="E2806" s="364"/>
      <c r="F2806" s="361" t="s">
        <v>1917</v>
      </c>
      <c r="T2806" s="361">
        <v>1.02</v>
      </c>
    </row>
    <row r="2807" spans="1:20" x14ac:dyDescent="0.25">
      <c r="A2807" s="364" t="s">
        <v>6155</v>
      </c>
      <c r="B2807" s="361" t="s">
        <v>6156</v>
      </c>
      <c r="C2807" t="s">
        <v>1920</v>
      </c>
      <c r="D2807" s="361">
        <v>12</v>
      </c>
      <c r="E2807" s="364"/>
      <c r="F2807" s="361" t="s">
        <v>2201</v>
      </c>
      <c r="T2807" s="361">
        <v>150.07</v>
      </c>
    </row>
    <row r="2808" spans="1:20" x14ac:dyDescent="0.25">
      <c r="A2808" s="364" t="s">
        <v>6157</v>
      </c>
      <c r="B2808" s="361" t="s">
        <v>6158</v>
      </c>
      <c r="C2808" t="s">
        <v>1920</v>
      </c>
      <c r="D2808" s="361">
        <v>12</v>
      </c>
      <c r="E2808" s="364"/>
      <c r="F2808" s="361" t="s">
        <v>2201</v>
      </c>
      <c r="T2808" s="361">
        <v>170.38</v>
      </c>
    </row>
    <row r="2809" spans="1:20" x14ac:dyDescent="0.25">
      <c r="A2809" s="364" t="s">
        <v>6159</v>
      </c>
      <c r="B2809" s="361" t="s">
        <v>6160</v>
      </c>
      <c r="C2809" t="s">
        <v>1920</v>
      </c>
      <c r="D2809" s="361">
        <v>12</v>
      </c>
      <c r="E2809" s="364"/>
      <c r="F2809" s="361" t="s">
        <v>2201</v>
      </c>
      <c r="T2809" s="361">
        <v>77</v>
      </c>
    </row>
    <row r="2810" spans="1:20" x14ac:dyDescent="0.25">
      <c r="A2810" s="364" t="s">
        <v>6161</v>
      </c>
      <c r="B2810" s="361" t="s">
        <v>6162</v>
      </c>
      <c r="C2810" t="s">
        <v>1920</v>
      </c>
      <c r="D2810" s="361">
        <v>12</v>
      </c>
      <c r="E2810" s="364"/>
      <c r="F2810" s="361" t="s">
        <v>2201</v>
      </c>
      <c r="T2810" s="361">
        <v>80.02</v>
      </c>
    </row>
    <row r="2811" spans="1:20" x14ac:dyDescent="0.25">
      <c r="A2811" s="364" t="s">
        <v>6163</v>
      </c>
      <c r="B2811" s="361" t="s">
        <v>6164</v>
      </c>
      <c r="C2811" t="s">
        <v>1920</v>
      </c>
      <c r="D2811" s="361">
        <v>42</v>
      </c>
      <c r="E2811" s="364"/>
      <c r="F2811" s="361" t="s">
        <v>2201</v>
      </c>
      <c r="T2811" s="361">
        <v>118</v>
      </c>
    </row>
    <row r="2812" spans="1:20" x14ac:dyDescent="0.25">
      <c r="A2812" s="364" t="s">
        <v>6165</v>
      </c>
      <c r="B2812" s="361" t="s">
        <v>6166</v>
      </c>
      <c r="C2812" t="s">
        <v>1920</v>
      </c>
      <c r="D2812" s="361">
        <v>42</v>
      </c>
      <c r="E2812" s="364"/>
      <c r="F2812" s="361" t="s">
        <v>2201</v>
      </c>
      <c r="T2812" s="361">
        <v>102.69</v>
      </c>
    </row>
    <row r="2813" spans="1:20" x14ac:dyDescent="0.25">
      <c r="A2813" s="364" t="s">
        <v>6167</v>
      </c>
      <c r="B2813" s="361" t="s">
        <v>6168</v>
      </c>
      <c r="C2813" t="s">
        <v>1920</v>
      </c>
      <c r="D2813" s="361">
        <v>12</v>
      </c>
      <c r="E2813" s="364"/>
      <c r="F2813" s="361" t="s">
        <v>2201</v>
      </c>
      <c r="T2813" s="361">
        <v>151.29</v>
      </c>
    </row>
    <row r="2814" spans="1:20" x14ac:dyDescent="0.25">
      <c r="A2814" s="364" t="s">
        <v>1489</v>
      </c>
      <c r="B2814" s="361" t="s">
        <v>1490</v>
      </c>
      <c r="C2814" t="s">
        <v>1916</v>
      </c>
      <c r="D2814" s="361">
        <v>2</v>
      </c>
      <c r="E2814" s="364"/>
      <c r="F2814" s="361" t="s">
        <v>2145</v>
      </c>
      <c r="T2814" s="361">
        <v>4.3499999999999996</v>
      </c>
    </row>
    <row r="2815" spans="1:20" x14ac:dyDescent="0.25">
      <c r="A2815" s="364" t="s">
        <v>1491</v>
      </c>
      <c r="B2815" s="361" t="s">
        <v>1492</v>
      </c>
      <c r="C2815" t="s">
        <v>1922</v>
      </c>
      <c r="D2815" s="361">
        <v>1</v>
      </c>
      <c r="E2815" s="364"/>
      <c r="F2815" s="361" t="s">
        <v>1917</v>
      </c>
      <c r="T2815" s="361">
        <v>157.85</v>
      </c>
    </row>
    <row r="2816" spans="1:20" x14ac:dyDescent="0.25">
      <c r="A2816" s="364" t="s">
        <v>6169</v>
      </c>
      <c r="B2816" s="361" t="s">
        <v>6170</v>
      </c>
      <c r="C2816">
        <v>2</v>
      </c>
      <c r="D2816" s="361">
        <v>97</v>
      </c>
      <c r="E2816" s="364"/>
      <c r="F2816" s="361" t="s">
        <v>1921</v>
      </c>
      <c r="T2816" s="361">
        <v>113</v>
      </c>
    </row>
    <row r="2817" spans="1:20" x14ac:dyDescent="0.25">
      <c r="A2817" s="364" t="s">
        <v>6171</v>
      </c>
      <c r="B2817" s="361" t="s">
        <v>6172</v>
      </c>
      <c r="C2817">
        <v>2</v>
      </c>
      <c r="D2817" s="361">
        <v>97</v>
      </c>
      <c r="E2817" s="364"/>
      <c r="F2817" s="361" t="s">
        <v>1921</v>
      </c>
      <c r="T2817" s="361">
        <v>2.2999999999999998</v>
      </c>
    </row>
    <row r="2818" spans="1:20" x14ac:dyDescent="0.25">
      <c r="A2818" s="364" t="s">
        <v>6173</v>
      </c>
      <c r="B2818" s="361" t="s">
        <v>6174</v>
      </c>
      <c r="C2818">
        <v>2</v>
      </c>
      <c r="D2818" s="361">
        <v>97</v>
      </c>
      <c r="E2818" s="364"/>
      <c r="F2818" s="361" t="s">
        <v>1921</v>
      </c>
      <c r="T2818" s="361">
        <v>2.8</v>
      </c>
    </row>
    <row r="2819" spans="1:20" x14ac:dyDescent="0.25">
      <c r="A2819" s="364" t="s">
        <v>6175</v>
      </c>
      <c r="B2819" s="361" t="s">
        <v>6176</v>
      </c>
      <c r="C2819">
        <v>2</v>
      </c>
      <c r="D2819" s="361">
        <v>97</v>
      </c>
      <c r="E2819" s="364"/>
      <c r="F2819" s="361" t="s">
        <v>1921</v>
      </c>
      <c r="T2819" s="361">
        <v>9.1</v>
      </c>
    </row>
    <row r="2820" spans="1:20" x14ac:dyDescent="0.25">
      <c r="A2820" s="364" t="s">
        <v>6177</v>
      </c>
      <c r="B2820" s="361" t="s">
        <v>6178</v>
      </c>
      <c r="C2820">
        <v>2</v>
      </c>
      <c r="D2820" s="361">
        <v>97</v>
      </c>
      <c r="E2820" s="364"/>
      <c r="F2820" s="361" t="s">
        <v>1921</v>
      </c>
      <c r="T2820" s="361">
        <v>1.4</v>
      </c>
    </row>
    <row r="2821" spans="1:20" x14ac:dyDescent="0.25">
      <c r="A2821" s="364" t="s">
        <v>6179</v>
      </c>
      <c r="B2821" s="361" t="s">
        <v>6180</v>
      </c>
      <c r="C2821">
        <v>2</v>
      </c>
      <c r="D2821" s="361">
        <v>97</v>
      </c>
      <c r="E2821" s="364"/>
      <c r="F2821" s="361" t="s">
        <v>1921</v>
      </c>
      <c r="T2821" s="361">
        <v>1.21</v>
      </c>
    </row>
    <row r="2822" spans="1:20" x14ac:dyDescent="0.25">
      <c r="A2822" s="364" t="s">
        <v>6181</v>
      </c>
      <c r="B2822" s="361" t="s">
        <v>6182</v>
      </c>
      <c r="C2822">
        <v>2</v>
      </c>
      <c r="D2822" s="361">
        <v>97</v>
      </c>
      <c r="E2822" s="364"/>
      <c r="F2822" s="361" t="s">
        <v>1921</v>
      </c>
      <c r="T2822" s="361">
        <v>5.8000000000000003E-2</v>
      </c>
    </row>
    <row r="2823" spans="1:20" x14ac:dyDescent="0.25">
      <c r="A2823" s="364" t="s">
        <v>6183</v>
      </c>
      <c r="B2823" s="361" t="s">
        <v>6184</v>
      </c>
      <c r="C2823">
        <v>2</v>
      </c>
      <c r="D2823" s="361">
        <v>97</v>
      </c>
      <c r="E2823" s="364"/>
      <c r="F2823" s="361" t="s">
        <v>1921</v>
      </c>
      <c r="T2823" s="361">
        <v>1.75</v>
      </c>
    </row>
    <row r="2824" spans="1:20" x14ac:dyDescent="0.25">
      <c r="A2824" s="364" t="s">
        <v>6185</v>
      </c>
      <c r="B2824" s="361" t="s">
        <v>6186</v>
      </c>
      <c r="C2824">
        <v>2</v>
      </c>
      <c r="D2824" s="361">
        <v>97</v>
      </c>
      <c r="E2824" s="364"/>
      <c r="F2824" s="361" t="s">
        <v>1921</v>
      </c>
      <c r="T2824" s="361">
        <v>0.23</v>
      </c>
    </row>
    <row r="2825" spans="1:20" x14ac:dyDescent="0.25">
      <c r="A2825" s="364" t="s">
        <v>6187</v>
      </c>
      <c r="B2825" s="361" t="s">
        <v>6188</v>
      </c>
      <c r="C2825">
        <v>2</v>
      </c>
      <c r="D2825" s="361">
        <v>97</v>
      </c>
      <c r="E2825" s="364"/>
      <c r="F2825" s="361" t="s">
        <v>1921</v>
      </c>
      <c r="T2825" s="361">
        <v>17.190000000000001</v>
      </c>
    </row>
    <row r="2826" spans="1:20" x14ac:dyDescent="0.25">
      <c r="A2826" s="364" t="s">
        <v>6189</v>
      </c>
      <c r="B2826" s="361" t="s">
        <v>6190</v>
      </c>
      <c r="C2826">
        <v>2</v>
      </c>
      <c r="D2826" s="361">
        <v>97</v>
      </c>
      <c r="E2826" s="364"/>
      <c r="F2826" s="361" t="s">
        <v>1921</v>
      </c>
      <c r="T2826" s="361">
        <v>12.49</v>
      </c>
    </row>
    <row r="2827" spans="1:20" x14ac:dyDescent="0.25">
      <c r="A2827" s="364" t="s">
        <v>6191</v>
      </c>
      <c r="B2827" s="361" t="s">
        <v>6192</v>
      </c>
      <c r="C2827">
        <v>2</v>
      </c>
      <c r="D2827" s="361">
        <v>97</v>
      </c>
      <c r="E2827" s="364"/>
      <c r="F2827" s="361" t="s">
        <v>1921</v>
      </c>
      <c r="T2827" s="361">
        <v>15.59</v>
      </c>
    </row>
    <row r="2828" spans="1:20" x14ac:dyDescent="0.25">
      <c r="A2828" s="364" t="s">
        <v>6193</v>
      </c>
      <c r="B2828" s="361" t="s">
        <v>6194</v>
      </c>
      <c r="C2828">
        <v>2</v>
      </c>
      <c r="D2828" s="361">
        <v>97</v>
      </c>
      <c r="E2828" s="364"/>
      <c r="F2828" s="361" t="s">
        <v>1921</v>
      </c>
      <c r="T2828" s="361">
        <v>34.369999999999997</v>
      </c>
    </row>
    <row r="2829" spans="1:20" x14ac:dyDescent="0.25">
      <c r="A2829" s="364" t="s">
        <v>6195</v>
      </c>
      <c r="B2829" s="361" t="s">
        <v>6196</v>
      </c>
      <c r="C2829">
        <v>2</v>
      </c>
      <c r="D2829" s="361">
        <v>97</v>
      </c>
      <c r="E2829" s="364"/>
      <c r="F2829" s="361" t="s">
        <v>1921</v>
      </c>
      <c r="T2829" s="361">
        <v>34</v>
      </c>
    </row>
    <row r="2830" spans="1:20" x14ac:dyDescent="0.25">
      <c r="A2830" s="364" t="s">
        <v>6197</v>
      </c>
      <c r="B2830" s="361" t="s">
        <v>6198</v>
      </c>
      <c r="C2830">
        <v>2</v>
      </c>
      <c r="D2830" s="361">
        <v>97</v>
      </c>
      <c r="E2830" s="364"/>
      <c r="F2830" s="361" t="s">
        <v>1921</v>
      </c>
      <c r="T2830" s="361">
        <v>17.95</v>
      </c>
    </row>
    <row r="2831" spans="1:20" x14ac:dyDescent="0.25">
      <c r="A2831" s="364" t="s">
        <v>6199</v>
      </c>
      <c r="B2831" s="361" t="s">
        <v>6200</v>
      </c>
      <c r="C2831">
        <v>2</v>
      </c>
      <c r="D2831" s="361">
        <v>97</v>
      </c>
      <c r="E2831" s="364"/>
      <c r="F2831" s="361" t="s">
        <v>1921</v>
      </c>
      <c r="T2831" s="361">
        <v>49.5</v>
      </c>
    </row>
    <row r="2832" spans="1:20" x14ac:dyDescent="0.25">
      <c r="A2832" s="364" t="s">
        <v>6201</v>
      </c>
      <c r="B2832" s="361" t="s">
        <v>6202</v>
      </c>
      <c r="C2832">
        <v>2</v>
      </c>
      <c r="D2832" s="361">
        <v>97</v>
      </c>
      <c r="E2832" s="364"/>
      <c r="F2832" s="361" t="s">
        <v>1921</v>
      </c>
      <c r="T2832" s="361">
        <v>4.76</v>
      </c>
    </row>
    <row r="2833" spans="1:20" x14ac:dyDescent="0.25">
      <c r="A2833" s="364" t="s">
        <v>6203</v>
      </c>
      <c r="B2833" s="361" t="s">
        <v>6204</v>
      </c>
      <c r="C2833">
        <v>2</v>
      </c>
      <c r="D2833" s="361">
        <v>97</v>
      </c>
      <c r="E2833" s="364"/>
      <c r="F2833" s="361" t="s">
        <v>1921</v>
      </c>
      <c r="T2833" s="361">
        <v>27</v>
      </c>
    </row>
    <row r="2834" spans="1:20" x14ac:dyDescent="0.25">
      <c r="A2834" s="364" t="s">
        <v>6205</v>
      </c>
      <c r="B2834" s="361" t="s">
        <v>6206</v>
      </c>
      <c r="C2834">
        <v>2</v>
      </c>
      <c r="D2834" s="361">
        <v>97</v>
      </c>
      <c r="E2834" s="364"/>
      <c r="F2834" s="361" t="s">
        <v>1921</v>
      </c>
      <c r="T2834" s="361">
        <v>21.15</v>
      </c>
    </row>
    <row r="2835" spans="1:20" x14ac:dyDescent="0.25">
      <c r="A2835" s="364" t="s">
        <v>6207</v>
      </c>
      <c r="B2835" s="361" t="s">
        <v>6208</v>
      </c>
      <c r="C2835">
        <v>2</v>
      </c>
      <c r="D2835" s="361">
        <v>97</v>
      </c>
      <c r="E2835" s="364"/>
      <c r="F2835" s="361" t="s">
        <v>1921</v>
      </c>
      <c r="T2835" s="361">
        <v>1.45</v>
      </c>
    </row>
    <row r="2836" spans="1:20" x14ac:dyDescent="0.25">
      <c r="A2836" s="364" t="s">
        <v>6209</v>
      </c>
      <c r="B2836" s="361" t="s">
        <v>6210</v>
      </c>
      <c r="C2836">
        <v>2</v>
      </c>
      <c r="D2836" s="361">
        <v>97</v>
      </c>
      <c r="E2836" s="364"/>
      <c r="F2836" s="361" t="s">
        <v>1921</v>
      </c>
      <c r="T2836" s="361">
        <v>2.7</v>
      </c>
    </row>
    <row r="2837" spans="1:20" x14ac:dyDescent="0.25">
      <c r="A2837" s="364" t="s">
        <v>6211</v>
      </c>
      <c r="B2837" s="361" t="s">
        <v>6212</v>
      </c>
      <c r="C2837">
        <v>2</v>
      </c>
      <c r="D2837" s="361">
        <v>97</v>
      </c>
      <c r="E2837" s="364"/>
      <c r="F2837" s="361" t="s">
        <v>1921</v>
      </c>
      <c r="T2837" s="361">
        <v>20.5</v>
      </c>
    </row>
    <row r="2838" spans="1:20" x14ac:dyDescent="0.25">
      <c r="A2838" s="364" t="s">
        <v>6213</v>
      </c>
      <c r="B2838" s="361" t="s">
        <v>6214</v>
      </c>
      <c r="C2838">
        <v>2</v>
      </c>
      <c r="D2838" s="361">
        <v>97</v>
      </c>
      <c r="E2838" s="364"/>
      <c r="F2838" s="361" t="s">
        <v>1921</v>
      </c>
      <c r="T2838" s="361">
        <v>29</v>
      </c>
    </row>
    <row r="2839" spans="1:20" x14ac:dyDescent="0.25">
      <c r="A2839" s="364" t="s">
        <v>6215</v>
      </c>
      <c r="B2839" s="361" t="s">
        <v>6216</v>
      </c>
      <c r="C2839">
        <v>2</v>
      </c>
      <c r="D2839" s="361">
        <v>97</v>
      </c>
      <c r="E2839" s="364"/>
      <c r="F2839" s="361" t="s">
        <v>1921</v>
      </c>
      <c r="T2839" s="361">
        <v>11.63</v>
      </c>
    </row>
    <row r="2840" spans="1:20" x14ac:dyDescent="0.25">
      <c r="A2840" s="364" t="s">
        <v>6217</v>
      </c>
      <c r="B2840" s="361" t="s">
        <v>6218</v>
      </c>
      <c r="C2840">
        <v>2</v>
      </c>
      <c r="D2840" s="361">
        <v>97</v>
      </c>
      <c r="E2840" s="364"/>
      <c r="F2840" s="361" t="s">
        <v>1917</v>
      </c>
      <c r="T2840" s="361">
        <v>4.32</v>
      </c>
    </row>
    <row r="2841" spans="1:20" x14ac:dyDescent="0.25">
      <c r="A2841" s="364" t="s">
        <v>6219</v>
      </c>
      <c r="B2841" s="361" t="s">
        <v>6220</v>
      </c>
      <c r="C2841">
        <v>2</v>
      </c>
      <c r="D2841" s="361">
        <v>97</v>
      </c>
      <c r="E2841" s="364"/>
      <c r="F2841" s="361" t="s">
        <v>1917</v>
      </c>
      <c r="T2841" s="361">
        <v>4.32</v>
      </c>
    </row>
    <row r="2842" spans="1:20" x14ac:dyDescent="0.25">
      <c r="A2842" s="364" t="s">
        <v>6221</v>
      </c>
      <c r="B2842" s="361" t="s">
        <v>6222</v>
      </c>
      <c r="C2842">
        <v>2</v>
      </c>
      <c r="D2842" s="361">
        <v>97</v>
      </c>
      <c r="E2842" s="364"/>
      <c r="F2842" s="361" t="s">
        <v>1917</v>
      </c>
      <c r="T2842" s="361">
        <v>4.32</v>
      </c>
    </row>
    <row r="2843" spans="1:20" x14ac:dyDescent="0.25">
      <c r="A2843" s="364" t="s">
        <v>6223</v>
      </c>
      <c r="B2843" s="361" t="s">
        <v>6224</v>
      </c>
      <c r="C2843">
        <v>2</v>
      </c>
      <c r="D2843" s="361">
        <v>97</v>
      </c>
      <c r="E2843" s="364"/>
      <c r="F2843" s="361" t="s">
        <v>1917</v>
      </c>
      <c r="T2843" s="361">
        <v>4.32</v>
      </c>
    </row>
    <row r="2844" spans="1:20" x14ac:dyDescent="0.25">
      <c r="A2844" s="364" t="s">
        <v>6225</v>
      </c>
      <c r="B2844" s="361" t="s">
        <v>6226</v>
      </c>
      <c r="C2844">
        <v>2</v>
      </c>
      <c r="D2844" s="361">
        <v>97</v>
      </c>
      <c r="E2844" s="364"/>
      <c r="F2844" s="361" t="s">
        <v>1917</v>
      </c>
      <c r="T2844" s="361">
        <v>4.32</v>
      </c>
    </row>
    <row r="2845" spans="1:20" x14ac:dyDescent="0.25">
      <c r="A2845" s="364" t="s">
        <v>6227</v>
      </c>
      <c r="B2845" s="361" t="s">
        <v>6228</v>
      </c>
      <c r="C2845">
        <v>2</v>
      </c>
      <c r="D2845" s="361">
        <v>97</v>
      </c>
      <c r="E2845" s="364"/>
      <c r="F2845" s="361" t="s">
        <v>1917</v>
      </c>
      <c r="T2845" s="361">
        <v>4.32</v>
      </c>
    </row>
    <row r="2846" spans="1:20" x14ac:dyDescent="0.25">
      <c r="A2846" s="364" t="s">
        <v>6229</v>
      </c>
      <c r="B2846" s="361" t="s">
        <v>6230</v>
      </c>
      <c r="C2846">
        <v>2</v>
      </c>
      <c r="D2846" s="361">
        <v>97</v>
      </c>
      <c r="E2846" s="364"/>
      <c r="F2846" s="361" t="s">
        <v>1917</v>
      </c>
      <c r="T2846" s="361">
        <v>4.32</v>
      </c>
    </row>
    <row r="2847" spans="1:20" x14ac:dyDescent="0.25">
      <c r="A2847" s="364" t="s">
        <v>6231</v>
      </c>
      <c r="B2847" s="361" t="s">
        <v>6232</v>
      </c>
      <c r="C2847">
        <v>2</v>
      </c>
      <c r="D2847" s="361">
        <v>97</v>
      </c>
      <c r="E2847" s="364"/>
      <c r="F2847" s="361" t="s">
        <v>1921</v>
      </c>
      <c r="T2847" s="361">
        <v>163.25</v>
      </c>
    </row>
    <row r="2848" spans="1:20" x14ac:dyDescent="0.25">
      <c r="A2848" s="364" t="s">
        <v>6233</v>
      </c>
      <c r="B2848" s="361" t="s">
        <v>6234</v>
      </c>
      <c r="C2848">
        <v>2</v>
      </c>
      <c r="D2848" s="361">
        <v>97</v>
      </c>
      <c r="E2848" s="364"/>
      <c r="F2848" s="361" t="s">
        <v>1921</v>
      </c>
      <c r="T2848" s="361">
        <v>33.9</v>
      </c>
    </row>
    <row r="2849" spans="1:20" x14ac:dyDescent="0.25">
      <c r="A2849" s="364" t="s">
        <v>6235</v>
      </c>
      <c r="B2849" s="361" t="s">
        <v>6236</v>
      </c>
      <c r="C2849">
        <v>2</v>
      </c>
      <c r="D2849" s="361">
        <v>97</v>
      </c>
      <c r="E2849" s="364"/>
      <c r="F2849" s="361" t="s">
        <v>1921</v>
      </c>
      <c r="T2849" s="361">
        <v>4.05</v>
      </c>
    </row>
    <row r="2850" spans="1:20" x14ac:dyDescent="0.25">
      <c r="A2850" s="364" t="s">
        <v>6237</v>
      </c>
      <c r="B2850" s="361" t="s">
        <v>6238</v>
      </c>
      <c r="C2850">
        <v>2</v>
      </c>
      <c r="D2850" s="361">
        <v>97</v>
      </c>
      <c r="E2850" s="364"/>
      <c r="F2850" s="361" t="s">
        <v>1921</v>
      </c>
      <c r="T2850" s="361">
        <v>4.05</v>
      </c>
    </row>
    <row r="2851" spans="1:20" x14ac:dyDescent="0.25">
      <c r="A2851" s="364" t="s">
        <v>6239</v>
      </c>
      <c r="B2851" s="361" t="s">
        <v>6240</v>
      </c>
      <c r="C2851">
        <v>2</v>
      </c>
      <c r="D2851" s="361">
        <v>97</v>
      </c>
      <c r="E2851" s="364"/>
      <c r="F2851" s="361" t="s">
        <v>1921</v>
      </c>
      <c r="T2851" s="361">
        <v>4.05</v>
      </c>
    </row>
    <row r="2852" spans="1:20" x14ac:dyDescent="0.25">
      <c r="A2852" s="364" t="s">
        <v>6241</v>
      </c>
      <c r="B2852" s="361" t="s">
        <v>6242</v>
      </c>
      <c r="C2852">
        <v>2</v>
      </c>
      <c r="D2852" s="361">
        <v>97</v>
      </c>
      <c r="E2852" s="364"/>
      <c r="F2852" s="361" t="s">
        <v>1921</v>
      </c>
      <c r="T2852" s="361">
        <v>5.25</v>
      </c>
    </row>
    <row r="2853" spans="1:20" x14ac:dyDescent="0.25">
      <c r="A2853" s="364" t="s">
        <v>6243</v>
      </c>
      <c r="B2853" s="361" t="s">
        <v>6244</v>
      </c>
      <c r="C2853">
        <v>2</v>
      </c>
      <c r="D2853" s="361">
        <v>97</v>
      </c>
      <c r="E2853" s="364"/>
      <c r="F2853" s="361" t="s">
        <v>1921</v>
      </c>
      <c r="T2853" s="361">
        <v>5.25</v>
      </c>
    </row>
    <row r="2854" spans="1:20" x14ac:dyDescent="0.25">
      <c r="A2854" s="364" t="s">
        <v>6245</v>
      </c>
      <c r="B2854" s="361" t="s">
        <v>6246</v>
      </c>
      <c r="C2854">
        <v>2</v>
      </c>
      <c r="D2854" s="361">
        <v>97</v>
      </c>
      <c r="E2854" s="364"/>
      <c r="F2854" s="361" t="s">
        <v>1921</v>
      </c>
      <c r="T2854" s="361">
        <v>5.25</v>
      </c>
    </row>
    <row r="2855" spans="1:20" x14ac:dyDescent="0.25">
      <c r="A2855" s="364" t="s">
        <v>6247</v>
      </c>
      <c r="B2855" s="361" t="s">
        <v>6248</v>
      </c>
      <c r="C2855">
        <v>2</v>
      </c>
      <c r="D2855" s="361">
        <v>97</v>
      </c>
      <c r="E2855" s="364"/>
      <c r="F2855" s="361" t="s">
        <v>1921</v>
      </c>
      <c r="T2855" s="361">
        <v>44.2</v>
      </c>
    </row>
    <row r="2856" spans="1:20" x14ac:dyDescent="0.25">
      <c r="A2856" s="364" t="s">
        <v>6249</v>
      </c>
      <c r="B2856" s="361" t="s">
        <v>6250</v>
      </c>
      <c r="C2856">
        <v>2</v>
      </c>
      <c r="D2856" s="361">
        <v>97</v>
      </c>
      <c r="E2856" s="364"/>
      <c r="F2856" s="361" t="s">
        <v>1921</v>
      </c>
      <c r="T2856" s="361">
        <v>23</v>
      </c>
    </row>
    <row r="2857" spans="1:20" x14ac:dyDescent="0.25">
      <c r="A2857" s="364" t="s">
        <v>6251</v>
      </c>
      <c r="B2857" s="361" t="s">
        <v>6252</v>
      </c>
      <c r="C2857">
        <v>2</v>
      </c>
      <c r="D2857" s="361">
        <v>97</v>
      </c>
      <c r="E2857" s="364"/>
      <c r="F2857" s="361" t="s">
        <v>1921</v>
      </c>
      <c r="T2857" s="361">
        <v>17</v>
      </c>
    </row>
    <row r="2858" spans="1:20" x14ac:dyDescent="0.25">
      <c r="A2858" s="364" t="s">
        <v>6253</v>
      </c>
      <c r="B2858" s="361" t="s">
        <v>6254</v>
      </c>
      <c r="C2858">
        <v>2</v>
      </c>
      <c r="D2858" s="361">
        <v>97</v>
      </c>
      <c r="E2858" s="364"/>
      <c r="F2858" s="361" t="s">
        <v>1921</v>
      </c>
      <c r="T2858" s="361">
        <v>2.75E-2</v>
      </c>
    </row>
    <row r="2859" spans="1:20" x14ac:dyDescent="0.25">
      <c r="A2859" s="364" t="s">
        <v>6255</v>
      </c>
      <c r="B2859" s="361" t="s">
        <v>6256</v>
      </c>
      <c r="C2859">
        <v>2</v>
      </c>
      <c r="D2859" s="361">
        <v>97</v>
      </c>
      <c r="E2859" s="364"/>
      <c r="F2859" s="361" t="s">
        <v>1921</v>
      </c>
      <c r="T2859" s="361">
        <v>0.14299999999999999</v>
      </c>
    </row>
    <row r="2860" spans="1:20" x14ac:dyDescent="0.25">
      <c r="A2860" s="364" t="s">
        <v>6257</v>
      </c>
      <c r="B2860" s="361" t="s">
        <v>6258</v>
      </c>
      <c r="C2860">
        <v>2</v>
      </c>
      <c r="D2860" s="361">
        <v>97</v>
      </c>
      <c r="E2860" s="364"/>
      <c r="F2860" s="361" t="s">
        <v>1921</v>
      </c>
      <c r="T2860" s="361">
        <v>0.185</v>
      </c>
    </row>
    <row r="2861" spans="1:20" x14ac:dyDescent="0.25">
      <c r="A2861" s="364" t="s">
        <v>6259</v>
      </c>
      <c r="B2861" s="361" t="s">
        <v>6260</v>
      </c>
      <c r="C2861">
        <v>2</v>
      </c>
      <c r="D2861" s="361">
        <v>97</v>
      </c>
      <c r="E2861" s="364"/>
      <c r="F2861" s="361" t="s">
        <v>1921</v>
      </c>
      <c r="T2861" s="361">
        <v>30</v>
      </c>
    </row>
    <row r="2862" spans="1:20" x14ac:dyDescent="0.25">
      <c r="A2862" s="364" t="s">
        <v>6261</v>
      </c>
      <c r="B2862" s="361" t="s">
        <v>6262</v>
      </c>
      <c r="C2862">
        <v>2</v>
      </c>
      <c r="D2862" s="361">
        <v>97</v>
      </c>
      <c r="E2862" s="364"/>
      <c r="F2862" s="361" t="s">
        <v>1921</v>
      </c>
      <c r="T2862" s="361">
        <v>0.63200000000000001</v>
      </c>
    </row>
    <row r="2863" spans="1:20" x14ac:dyDescent="0.25">
      <c r="A2863" s="364" t="s">
        <v>6263</v>
      </c>
      <c r="B2863" s="361" t="s">
        <v>6264</v>
      </c>
      <c r="C2863">
        <v>2</v>
      </c>
      <c r="D2863" s="361">
        <v>97</v>
      </c>
      <c r="E2863" s="364"/>
      <c r="F2863" s="361" t="s">
        <v>1921</v>
      </c>
      <c r="T2863" s="361">
        <v>0.7</v>
      </c>
    </row>
    <row r="2864" spans="1:20" x14ac:dyDescent="0.25">
      <c r="A2864" s="364" t="s">
        <v>6265</v>
      </c>
      <c r="B2864" s="361" t="s">
        <v>6266</v>
      </c>
      <c r="C2864">
        <v>2</v>
      </c>
      <c r="D2864" s="361">
        <v>97</v>
      </c>
      <c r="E2864" s="364"/>
      <c r="F2864" s="361" t="s">
        <v>1921</v>
      </c>
      <c r="T2864" s="361">
        <v>1.37</v>
      </c>
    </row>
    <row r="2865" spans="1:20" x14ac:dyDescent="0.25">
      <c r="A2865" s="364" t="s">
        <v>6267</v>
      </c>
      <c r="B2865" s="361" t="s">
        <v>6268</v>
      </c>
      <c r="C2865">
        <v>2</v>
      </c>
      <c r="D2865" s="361">
        <v>97</v>
      </c>
      <c r="E2865" s="364"/>
      <c r="F2865" s="361" t="s">
        <v>1921</v>
      </c>
      <c r="T2865" s="361">
        <v>75</v>
      </c>
    </row>
    <row r="2866" spans="1:20" x14ac:dyDescent="0.25">
      <c r="A2866" s="364" t="s">
        <v>6269</v>
      </c>
      <c r="B2866" s="361" t="s">
        <v>6270</v>
      </c>
      <c r="C2866">
        <v>2</v>
      </c>
      <c r="D2866" s="361">
        <v>97</v>
      </c>
      <c r="E2866" s="364"/>
      <c r="F2866" s="361" t="s">
        <v>1921</v>
      </c>
      <c r="T2866" s="361">
        <v>40</v>
      </c>
    </row>
    <row r="2867" spans="1:20" x14ac:dyDescent="0.25">
      <c r="A2867" s="364" t="s">
        <v>6271</v>
      </c>
      <c r="B2867" s="361" t="s">
        <v>6272</v>
      </c>
      <c r="C2867">
        <v>2</v>
      </c>
      <c r="D2867" s="361">
        <v>97</v>
      </c>
      <c r="E2867" s="364"/>
      <c r="F2867" s="361" t="s">
        <v>1921</v>
      </c>
      <c r="T2867" s="361">
        <v>78</v>
      </c>
    </row>
    <row r="2868" spans="1:20" x14ac:dyDescent="0.25">
      <c r="A2868" s="364" t="s">
        <v>6273</v>
      </c>
      <c r="B2868" s="361" t="s">
        <v>6274</v>
      </c>
      <c r="C2868">
        <v>2</v>
      </c>
      <c r="D2868" s="361">
        <v>97</v>
      </c>
      <c r="E2868" s="364"/>
      <c r="F2868" s="361" t="s">
        <v>1921</v>
      </c>
      <c r="T2868" s="361">
        <v>52.65</v>
      </c>
    </row>
    <row r="2869" spans="1:20" x14ac:dyDescent="0.25">
      <c r="A2869" s="364" t="s">
        <v>6275</v>
      </c>
      <c r="B2869" s="361" t="s">
        <v>6276</v>
      </c>
      <c r="C2869">
        <v>2</v>
      </c>
      <c r="D2869" s="361">
        <v>97</v>
      </c>
      <c r="E2869" s="364"/>
      <c r="F2869" s="361" t="s">
        <v>1921</v>
      </c>
      <c r="T2869" s="361">
        <v>60</v>
      </c>
    </row>
    <row r="2870" spans="1:20" x14ac:dyDescent="0.25">
      <c r="A2870" s="364" t="s">
        <v>6277</v>
      </c>
      <c r="B2870" s="361" t="s">
        <v>6278</v>
      </c>
      <c r="C2870">
        <v>2</v>
      </c>
      <c r="D2870" s="361">
        <v>97</v>
      </c>
      <c r="E2870" s="364"/>
      <c r="F2870" s="361" t="s">
        <v>1921</v>
      </c>
      <c r="T2870" s="361">
        <v>166.05</v>
      </c>
    </row>
    <row r="2871" spans="1:20" x14ac:dyDescent="0.25">
      <c r="A2871" s="364" t="s">
        <v>6279</v>
      </c>
      <c r="B2871" s="361" t="s">
        <v>6280</v>
      </c>
      <c r="C2871">
        <v>2</v>
      </c>
      <c r="D2871" s="361">
        <v>97</v>
      </c>
      <c r="E2871" s="364"/>
      <c r="F2871" s="361" t="s">
        <v>1921</v>
      </c>
      <c r="T2871" s="361">
        <v>101.36</v>
      </c>
    </row>
    <row r="2872" spans="1:20" x14ac:dyDescent="0.25">
      <c r="A2872" s="364" t="s">
        <v>6281</v>
      </c>
      <c r="B2872" s="361" t="s">
        <v>6282</v>
      </c>
      <c r="C2872">
        <v>2</v>
      </c>
      <c r="D2872" s="361">
        <v>97</v>
      </c>
      <c r="E2872" s="364"/>
      <c r="F2872" s="361" t="s">
        <v>1921</v>
      </c>
      <c r="T2872" s="361">
        <v>98.23</v>
      </c>
    </row>
    <row r="2873" spans="1:20" x14ac:dyDescent="0.25">
      <c r="A2873" s="364" t="s">
        <v>6283</v>
      </c>
      <c r="B2873" s="361" t="s">
        <v>6284</v>
      </c>
      <c r="C2873">
        <v>2</v>
      </c>
      <c r="D2873" s="361">
        <v>97</v>
      </c>
      <c r="E2873" s="364"/>
      <c r="F2873" s="361" t="s">
        <v>1921</v>
      </c>
      <c r="T2873" s="361">
        <v>37.26</v>
      </c>
    </row>
    <row r="2874" spans="1:20" x14ac:dyDescent="0.25">
      <c r="A2874" s="364" t="s">
        <v>6285</v>
      </c>
      <c r="B2874" s="361" t="s">
        <v>6286</v>
      </c>
      <c r="C2874">
        <v>2</v>
      </c>
      <c r="D2874" s="361">
        <v>97</v>
      </c>
      <c r="E2874" s="364"/>
      <c r="F2874" s="361" t="s">
        <v>1921</v>
      </c>
      <c r="T2874" s="361">
        <v>0.31900000000000001</v>
      </c>
    </row>
    <row r="2875" spans="1:20" x14ac:dyDescent="0.25">
      <c r="A2875" s="364" t="s">
        <v>6287</v>
      </c>
      <c r="B2875" s="361" t="s">
        <v>6288</v>
      </c>
      <c r="C2875">
        <v>2</v>
      </c>
      <c r="D2875" s="361">
        <v>97</v>
      </c>
      <c r="E2875" s="364"/>
      <c r="F2875" s="361" t="s">
        <v>1921</v>
      </c>
      <c r="T2875" s="361">
        <v>18</v>
      </c>
    </row>
    <row r="2876" spans="1:20" x14ac:dyDescent="0.25">
      <c r="A2876" s="364" t="s">
        <v>6289</v>
      </c>
      <c r="B2876" s="361" t="s">
        <v>6290</v>
      </c>
      <c r="C2876">
        <v>2</v>
      </c>
      <c r="D2876" s="361">
        <v>97</v>
      </c>
      <c r="E2876" s="364"/>
      <c r="F2876" s="361" t="s">
        <v>1921</v>
      </c>
      <c r="T2876" s="361">
        <v>7.8</v>
      </c>
    </row>
    <row r="2877" spans="1:20" x14ac:dyDescent="0.25">
      <c r="A2877" s="364" t="s">
        <v>6291</v>
      </c>
      <c r="B2877" s="361" t="s">
        <v>6292</v>
      </c>
      <c r="C2877">
        <v>2</v>
      </c>
      <c r="D2877" s="361">
        <v>97</v>
      </c>
      <c r="E2877" s="364"/>
      <c r="F2877" s="361" t="s">
        <v>1921</v>
      </c>
      <c r="T2877" s="361">
        <v>52</v>
      </c>
    </row>
    <row r="2878" spans="1:20" x14ac:dyDescent="0.25">
      <c r="A2878" s="364" t="s">
        <v>6293</v>
      </c>
      <c r="B2878" s="361" t="s">
        <v>6294</v>
      </c>
      <c r="C2878">
        <v>2</v>
      </c>
      <c r="D2878" s="361">
        <v>97</v>
      </c>
      <c r="E2878" s="364"/>
      <c r="F2878" s="361" t="s">
        <v>1921</v>
      </c>
      <c r="T2878" s="361">
        <v>289</v>
      </c>
    </row>
    <row r="2879" spans="1:20" x14ac:dyDescent="0.25">
      <c r="A2879" s="364" t="s">
        <v>6295</v>
      </c>
      <c r="B2879" s="361" t="s">
        <v>6296</v>
      </c>
      <c r="C2879">
        <v>2</v>
      </c>
      <c r="D2879" s="361">
        <v>97</v>
      </c>
      <c r="E2879" s="364"/>
      <c r="F2879" s="361" t="s">
        <v>1921</v>
      </c>
      <c r="T2879" s="361">
        <v>0.39</v>
      </c>
    </row>
    <row r="2880" spans="1:20" x14ac:dyDescent="0.25">
      <c r="A2880" s="364" t="s">
        <v>6297</v>
      </c>
      <c r="B2880" s="361" t="s">
        <v>6298</v>
      </c>
      <c r="C2880" t="s">
        <v>1920</v>
      </c>
      <c r="D2880" s="361">
        <v>21</v>
      </c>
      <c r="E2880" s="364"/>
      <c r="F2880" s="361" t="s">
        <v>1921</v>
      </c>
      <c r="T2880" s="361">
        <v>6.9339999999999999E-2</v>
      </c>
    </row>
    <row r="2881" spans="1:20" x14ac:dyDescent="0.25">
      <c r="A2881" s="364" t="s">
        <v>6299</v>
      </c>
      <c r="B2881" s="361" t="s">
        <v>6300</v>
      </c>
      <c r="C2881" t="s">
        <v>1920</v>
      </c>
      <c r="D2881" s="361">
        <v>21</v>
      </c>
      <c r="E2881" s="364"/>
      <c r="F2881" s="361" t="s">
        <v>1921</v>
      </c>
      <c r="T2881" s="361">
        <v>4.1709999999999997E-2</v>
      </c>
    </row>
    <row r="2882" spans="1:20" x14ac:dyDescent="0.25">
      <c r="A2882" s="364" t="s">
        <v>6301</v>
      </c>
      <c r="B2882" s="361" t="s">
        <v>6302</v>
      </c>
      <c r="C2882" t="s">
        <v>1920</v>
      </c>
      <c r="D2882" s="361">
        <v>21</v>
      </c>
      <c r="E2882" s="364"/>
      <c r="F2882" s="361" t="s">
        <v>1921</v>
      </c>
      <c r="T2882" s="361">
        <v>1.4200000000000001E-2</v>
      </c>
    </row>
    <row r="2883" spans="1:20" x14ac:dyDescent="0.25">
      <c r="A2883" s="364" t="s">
        <v>6303</v>
      </c>
      <c r="B2883" s="361" t="s">
        <v>6304</v>
      </c>
      <c r="C2883">
        <v>2</v>
      </c>
      <c r="D2883" s="361">
        <v>97</v>
      </c>
      <c r="E2883" s="364"/>
      <c r="F2883" s="361" t="s">
        <v>1921</v>
      </c>
      <c r="T2883" s="361">
        <v>26.78</v>
      </c>
    </row>
    <row r="2884" spans="1:20" x14ac:dyDescent="0.25">
      <c r="A2884" s="364" t="s">
        <v>6305</v>
      </c>
      <c r="B2884" s="361" t="s">
        <v>6306</v>
      </c>
      <c r="C2884">
        <v>2</v>
      </c>
      <c r="D2884" s="361">
        <v>97</v>
      </c>
      <c r="E2884" s="364"/>
      <c r="F2884" s="361" t="s">
        <v>2201</v>
      </c>
      <c r="T2884" s="361">
        <v>118.45</v>
      </c>
    </row>
    <row r="2885" spans="1:20" x14ac:dyDescent="0.25">
      <c r="A2885" s="364" t="s">
        <v>6307</v>
      </c>
      <c r="B2885" s="361" t="s">
        <v>6308</v>
      </c>
      <c r="C2885">
        <v>2</v>
      </c>
      <c r="D2885" s="361">
        <v>97</v>
      </c>
      <c r="E2885" s="364"/>
      <c r="F2885" s="361" t="s">
        <v>2201</v>
      </c>
      <c r="T2885" s="361">
        <v>260.39999999999998</v>
      </c>
    </row>
    <row r="2886" spans="1:20" x14ac:dyDescent="0.25">
      <c r="A2886" s="364" t="s">
        <v>6309</v>
      </c>
      <c r="B2886" s="361" t="s">
        <v>6310</v>
      </c>
      <c r="C2886">
        <v>2</v>
      </c>
      <c r="D2886" s="361">
        <v>97</v>
      </c>
      <c r="E2886" s="364"/>
      <c r="F2886" s="361" t="s">
        <v>1921</v>
      </c>
      <c r="T2886" s="361">
        <v>42.19</v>
      </c>
    </row>
    <row r="2887" spans="1:20" x14ac:dyDescent="0.25">
      <c r="A2887" s="364" t="s">
        <v>6311</v>
      </c>
      <c r="B2887" s="361" t="s">
        <v>6312</v>
      </c>
      <c r="C2887">
        <v>2</v>
      </c>
      <c r="D2887" s="361">
        <v>97</v>
      </c>
      <c r="E2887" s="364"/>
      <c r="F2887" s="361" t="s">
        <v>1921</v>
      </c>
      <c r="T2887" s="361">
        <v>45.34</v>
      </c>
    </row>
    <row r="2888" spans="1:20" x14ac:dyDescent="0.25">
      <c r="A2888" s="364" t="s">
        <v>6313</v>
      </c>
      <c r="B2888" s="361" t="s">
        <v>6314</v>
      </c>
      <c r="C2888">
        <v>2</v>
      </c>
      <c r="D2888" s="361">
        <v>97</v>
      </c>
      <c r="E2888" s="364"/>
      <c r="F2888" s="361" t="s">
        <v>1921</v>
      </c>
      <c r="T2888" s="361">
        <v>5.5E-2</v>
      </c>
    </row>
    <row r="2889" spans="1:20" x14ac:dyDescent="0.25">
      <c r="A2889" s="364" t="s">
        <v>6315</v>
      </c>
      <c r="B2889" s="361" t="s">
        <v>6316</v>
      </c>
      <c r="C2889">
        <v>2</v>
      </c>
      <c r="D2889" s="361">
        <v>97</v>
      </c>
      <c r="E2889" s="364"/>
      <c r="F2889" s="361" t="s">
        <v>1921</v>
      </c>
      <c r="T2889" s="361">
        <v>6.5000000000000002E-2</v>
      </c>
    </row>
    <row r="2890" spans="1:20" x14ac:dyDescent="0.25">
      <c r="A2890" s="364" t="s">
        <v>6317</v>
      </c>
      <c r="B2890" s="361" t="s">
        <v>6318</v>
      </c>
      <c r="C2890">
        <v>2</v>
      </c>
      <c r="D2890" s="361">
        <v>97</v>
      </c>
      <c r="E2890" s="364"/>
      <c r="F2890" s="361" t="s">
        <v>1921</v>
      </c>
      <c r="T2890" s="361">
        <v>176.5</v>
      </c>
    </row>
    <row r="2891" spans="1:20" x14ac:dyDescent="0.25">
      <c r="A2891" s="364" t="s">
        <v>6319</v>
      </c>
      <c r="B2891" s="361" t="s">
        <v>6320</v>
      </c>
      <c r="C2891">
        <v>2</v>
      </c>
      <c r="D2891" s="361">
        <v>97</v>
      </c>
      <c r="E2891" s="364"/>
      <c r="F2891" s="361" t="s">
        <v>1921</v>
      </c>
      <c r="T2891" s="361">
        <v>1.1499999999999999</v>
      </c>
    </row>
    <row r="2892" spans="1:20" x14ac:dyDescent="0.25">
      <c r="A2892" s="364" t="s">
        <v>6321</v>
      </c>
      <c r="B2892" s="361" t="s">
        <v>6322</v>
      </c>
      <c r="C2892">
        <v>2</v>
      </c>
      <c r="D2892" s="361">
        <v>97</v>
      </c>
      <c r="E2892" s="364"/>
      <c r="F2892" s="361" t="s">
        <v>1921</v>
      </c>
      <c r="T2892" s="361">
        <v>18.37</v>
      </c>
    </row>
    <row r="2893" spans="1:20" x14ac:dyDescent="0.25">
      <c r="A2893" s="364" t="s">
        <v>6323</v>
      </c>
      <c r="B2893" s="361" t="s">
        <v>6324</v>
      </c>
      <c r="C2893">
        <v>2</v>
      </c>
      <c r="D2893" s="361">
        <v>97</v>
      </c>
      <c r="E2893" s="364"/>
      <c r="F2893" s="361" t="s">
        <v>1921</v>
      </c>
      <c r="T2893" s="361">
        <v>21.68</v>
      </c>
    </row>
    <row r="2894" spans="1:20" x14ac:dyDescent="0.25">
      <c r="A2894" s="364" t="s">
        <v>6325</v>
      </c>
      <c r="B2894" s="361" t="s">
        <v>6326</v>
      </c>
      <c r="C2894">
        <v>2</v>
      </c>
      <c r="D2894" s="361">
        <v>97</v>
      </c>
      <c r="E2894" s="364"/>
      <c r="F2894" s="361" t="s">
        <v>1921</v>
      </c>
      <c r="T2894" s="361">
        <v>21.68</v>
      </c>
    </row>
    <row r="2895" spans="1:20" x14ac:dyDescent="0.25">
      <c r="A2895" s="364" t="s">
        <v>6327</v>
      </c>
      <c r="B2895" s="361" t="s">
        <v>6328</v>
      </c>
      <c r="C2895">
        <v>2</v>
      </c>
      <c r="D2895" s="361">
        <v>97</v>
      </c>
      <c r="E2895" s="364"/>
      <c r="F2895" s="361" t="s">
        <v>1921</v>
      </c>
      <c r="T2895" s="361">
        <v>21.68</v>
      </c>
    </row>
    <row r="2896" spans="1:20" x14ac:dyDescent="0.25">
      <c r="A2896" s="364" t="s">
        <v>6329</v>
      </c>
      <c r="B2896" s="361" t="s">
        <v>6330</v>
      </c>
      <c r="C2896">
        <v>2</v>
      </c>
      <c r="D2896" s="361">
        <v>97</v>
      </c>
      <c r="E2896" s="364"/>
      <c r="F2896" s="361" t="s">
        <v>1921</v>
      </c>
      <c r="T2896" s="361">
        <v>9.69</v>
      </c>
    </row>
    <row r="2897" spans="1:20" x14ac:dyDescent="0.25">
      <c r="A2897" s="364" t="s">
        <v>6331</v>
      </c>
      <c r="B2897" s="361" t="s">
        <v>6332</v>
      </c>
      <c r="C2897">
        <v>2</v>
      </c>
      <c r="D2897" s="361">
        <v>97</v>
      </c>
      <c r="E2897" s="364"/>
      <c r="F2897" s="361" t="s">
        <v>1921</v>
      </c>
      <c r="T2897" s="361">
        <v>9.69</v>
      </c>
    </row>
    <row r="2898" spans="1:20" x14ac:dyDescent="0.25">
      <c r="A2898" s="364" t="s">
        <v>6333</v>
      </c>
      <c r="B2898" s="361" t="s">
        <v>6334</v>
      </c>
      <c r="C2898">
        <v>2</v>
      </c>
      <c r="D2898" s="361">
        <v>97</v>
      </c>
      <c r="E2898" s="364"/>
      <c r="F2898" s="361" t="s">
        <v>1921</v>
      </c>
      <c r="T2898" s="361">
        <v>9.69</v>
      </c>
    </row>
    <row r="2899" spans="1:20" x14ac:dyDescent="0.25">
      <c r="A2899" s="364" t="s">
        <v>6335</v>
      </c>
      <c r="B2899" s="361" t="s">
        <v>6336</v>
      </c>
      <c r="C2899">
        <v>2</v>
      </c>
      <c r="D2899" s="361">
        <v>97</v>
      </c>
      <c r="E2899" s="364"/>
      <c r="F2899" s="361" t="s">
        <v>1921</v>
      </c>
      <c r="T2899" s="361">
        <v>17.8</v>
      </c>
    </row>
    <row r="2900" spans="1:20" x14ac:dyDescent="0.25">
      <c r="A2900" s="364" t="s">
        <v>6337</v>
      </c>
      <c r="B2900" s="361" t="s">
        <v>6338</v>
      </c>
      <c r="C2900">
        <v>2</v>
      </c>
      <c r="D2900" s="361">
        <v>97</v>
      </c>
      <c r="E2900" s="364"/>
      <c r="F2900" s="361" t="s">
        <v>1921</v>
      </c>
      <c r="T2900" s="361">
        <v>17.8</v>
      </c>
    </row>
    <row r="2901" spans="1:20" x14ac:dyDescent="0.25">
      <c r="A2901" s="364" t="s">
        <v>6339</v>
      </c>
      <c r="B2901" s="361" t="s">
        <v>6340</v>
      </c>
      <c r="C2901">
        <v>2</v>
      </c>
      <c r="D2901" s="361">
        <v>97</v>
      </c>
      <c r="E2901" s="364"/>
      <c r="F2901" s="361" t="s">
        <v>1921</v>
      </c>
      <c r="T2901" s="361">
        <v>17.8</v>
      </c>
    </row>
    <row r="2902" spans="1:20" x14ac:dyDescent="0.25">
      <c r="A2902" s="364" t="s">
        <v>6341</v>
      </c>
      <c r="B2902" s="361" t="s">
        <v>6342</v>
      </c>
      <c r="C2902" t="s">
        <v>2419</v>
      </c>
      <c r="D2902" s="361">
        <v>1</v>
      </c>
      <c r="E2902" s="364"/>
      <c r="F2902" s="361" t="s">
        <v>2201</v>
      </c>
      <c r="T2902" s="361">
        <v>1.0000000000000001E-5</v>
      </c>
    </row>
    <row r="2903" spans="1:20" x14ac:dyDescent="0.25">
      <c r="A2903" s="364" t="s">
        <v>1493</v>
      </c>
      <c r="B2903" s="361" t="s">
        <v>1494</v>
      </c>
      <c r="C2903" t="s">
        <v>1922</v>
      </c>
      <c r="D2903" s="361">
        <v>1</v>
      </c>
      <c r="E2903" s="364"/>
      <c r="F2903" s="361" t="s">
        <v>1917</v>
      </c>
      <c r="T2903" s="361">
        <v>8.14</v>
      </c>
    </row>
    <row r="2904" spans="1:20" x14ac:dyDescent="0.25">
      <c r="A2904" s="364" t="s">
        <v>1495</v>
      </c>
      <c r="B2904" s="361" t="s">
        <v>1496</v>
      </c>
      <c r="C2904" t="s">
        <v>1922</v>
      </c>
      <c r="D2904" s="361">
        <v>1</v>
      </c>
      <c r="E2904" s="364"/>
      <c r="F2904" s="361" t="s">
        <v>1917</v>
      </c>
      <c r="T2904" s="361">
        <v>28.81</v>
      </c>
    </row>
    <row r="2905" spans="1:20" x14ac:dyDescent="0.25">
      <c r="A2905" s="364" t="s">
        <v>1497</v>
      </c>
      <c r="B2905" s="361" t="s">
        <v>1153</v>
      </c>
      <c r="C2905" t="s">
        <v>1916</v>
      </c>
      <c r="D2905" s="361">
        <v>2</v>
      </c>
      <c r="E2905" s="364"/>
      <c r="F2905" s="361" t="s">
        <v>2145</v>
      </c>
      <c r="T2905" s="361">
        <v>9.92</v>
      </c>
    </row>
    <row r="2906" spans="1:20" x14ac:dyDescent="0.25">
      <c r="A2906" s="364" t="s">
        <v>1498</v>
      </c>
      <c r="B2906" s="361" t="s">
        <v>1499</v>
      </c>
      <c r="C2906" t="s">
        <v>1922</v>
      </c>
      <c r="D2906" s="361">
        <v>1</v>
      </c>
      <c r="E2906" s="364"/>
      <c r="F2906" s="361" t="s">
        <v>1917</v>
      </c>
      <c r="T2906" s="361">
        <v>42.7</v>
      </c>
    </row>
    <row r="2907" spans="1:20" x14ac:dyDescent="0.25">
      <c r="A2907" s="364" t="s">
        <v>1500</v>
      </c>
      <c r="B2907" s="361" t="s">
        <v>1501</v>
      </c>
      <c r="C2907" t="s">
        <v>1922</v>
      </c>
      <c r="D2907" s="361">
        <v>1</v>
      </c>
      <c r="E2907" s="364"/>
      <c r="F2907" s="361" t="s">
        <v>1917</v>
      </c>
      <c r="T2907" s="361">
        <v>17.45</v>
      </c>
    </row>
    <row r="2908" spans="1:20" x14ac:dyDescent="0.25">
      <c r="A2908" s="364" t="s">
        <v>1502</v>
      </c>
      <c r="B2908" s="361" t="s">
        <v>1503</v>
      </c>
      <c r="C2908" t="s">
        <v>1916</v>
      </c>
      <c r="D2908" s="361">
        <v>2</v>
      </c>
      <c r="E2908" s="364"/>
      <c r="F2908" s="361" t="s">
        <v>1917</v>
      </c>
      <c r="T2908" s="361">
        <v>3.98</v>
      </c>
    </row>
    <row r="2909" spans="1:20" x14ac:dyDescent="0.25">
      <c r="A2909" s="364" t="s">
        <v>1504</v>
      </c>
      <c r="B2909" s="361" t="s">
        <v>1505</v>
      </c>
      <c r="C2909" t="s">
        <v>1922</v>
      </c>
      <c r="D2909" s="361">
        <v>1</v>
      </c>
      <c r="E2909" s="364"/>
      <c r="F2909" s="361" t="s">
        <v>1917</v>
      </c>
      <c r="T2909" s="361">
        <v>29.23</v>
      </c>
    </row>
    <row r="2910" spans="1:20" x14ac:dyDescent="0.25">
      <c r="A2910" s="364" t="s">
        <v>1506</v>
      </c>
      <c r="B2910" s="361" t="s">
        <v>1507</v>
      </c>
      <c r="C2910" t="s">
        <v>1922</v>
      </c>
      <c r="D2910" s="361">
        <v>1</v>
      </c>
      <c r="E2910" s="364"/>
      <c r="F2910" s="361" t="s">
        <v>1917</v>
      </c>
      <c r="T2910" s="361">
        <v>5.5</v>
      </c>
    </row>
    <row r="2911" spans="1:20" x14ac:dyDescent="0.25">
      <c r="A2911" s="364" t="s">
        <v>1508</v>
      </c>
      <c r="B2911" s="361" t="s">
        <v>1509</v>
      </c>
      <c r="C2911" t="s">
        <v>1922</v>
      </c>
      <c r="D2911" s="361">
        <v>1</v>
      </c>
      <c r="E2911" s="364"/>
      <c r="F2911" s="361" t="s">
        <v>1917</v>
      </c>
      <c r="T2911" s="361">
        <v>21.94</v>
      </c>
    </row>
    <row r="2912" spans="1:20" x14ac:dyDescent="0.25">
      <c r="A2912" s="364" t="s">
        <v>1510</v>
      </c>
      <c r="B2912" s="361" t="s">
        <v>1511</v>
      </c>
      <c r="C2912" t="s">
        <v>1916</v>
      </c>
      <c r="D2912" s="361">
        <v>2</v>
      </c>
      <c r="E2912" s="364"/>
      <c r="F2912" s="361" t="s">
        <v>1917</v>
      </c>
      <c r="T2912" s="361">
        <v>119</v>
      </c>
    </row>
    <row r="2913" spans="1:20" x14ac:dyDescent="0.25">
      <c r="A2913" s="364" t="s">
        <v>6343</v>
      </c>
      <c r="B2913" s="361" t="s">
        <v>6344</v>
      </c>
      <c r="C2913">
        <v>2</v>
      </c>
      <c r="D2913" s="361">
        <v>97</v>
      </c>
      <c r="E2913" s="364"/>
      <c r="F2913" s="361" t="s">
        <v>1921</v>
      </c>
      <c r="T2913" s="361">
        <v>13</v>
      </c>
    </row>
    <row r="2914" spans="1:20" x14ac:dyDescent="0.25">
      <c r="A2914" s="364" t="s">
        <v>1512</v>
      </c>
      <c r="B2914" s="361" t="s">
        <v>1513</v>
      </c>
      <c r="C2914" t="s">
        <v>1922</v>
      </c>
      <c r="D2914" s="361">
        <v>1</v>
      </c>
      <c r="E2914" s="364"/>
      <c r="F2914" s="361" t="s">
        <v>1917</v>
      </c>
      <c r="T2914" s="361">
        <v>21.91</v>
      </c>
    </row>
    <row r="2915" spans="1:20" x14ac:dyDescent="0.25">
      <c r="A2915" s="364" t="s">
        <v>1514</v>
      </c>
      <c r="B2915" s="361" t="s">
        <v>1515</v>
      </c>
      <c r="C2915" t="s">
        <v>1922</v>
      </c>
      <c r="D2915" s="361">
        <v>1</v>
      </c>
      <c r="E2915" s="364"/>
      <c r="F2915" s="361" t="s">
        <v>1917</v>
      </c>
      <c r="T2915" s="361">
        <v>57.75</v>
      </c>
    </row>
    <row r="2916" spans="1:20" x14ac:dyDescent="0.25">
      <c r="A2916" s="364" t="s">
        <v>6345</v>
      </c>
      <c r="B2916" s="361" t="s">
        <v>6346</v>
      </c>
      <c r="C2916" t="s">
        <v>2419</v>
      </c>
      <c r="D2916" s="361">
        <v>4</v>
      </c>
      <c r="E2916" s="364"/>
      <c r="F2916" s="361" t="s">
        <v>2201</v>
      </c>
      <c r="T2916" s="361">
        <v>6.14</v>
      </c>
    </row>
    <row r="2917" spans="1:20" x14ac:dyDescent="0.25">
      <c r="A2917" s="364" t="s">
        <v>1516</v>
      </c>
      <c r="B2917" s="361" t="s">
        <v>1517</v>
      </c>
      <c r="C2917" t="s">
        <v>1916</v>
      </c>
      <c r="D2917" s="361">
        <v>2</v>
      </c>
      <c r="E2917" s="364"/>
      <c r="F2917" s="361" t="s">
        <v>1917</v>
      </c>
      <c r="T2917" s="361">
        <v>95</v>
      </c>
    </row>
    <row r="2918" spans="1:20" x14ac:dyDescent="0.25">
      <c r="A2918" s="364" t="s">
        <v>132</v>
      </c>
      <c r="B2918" s="361" t="s">
        <v>1518</v>
      </c>
      <c r="C2918" t="s">
        <v>1922</v>
      </c>
      <c r="D2918" s="361">
        <v>1</v>
      </c>
      <c r="E2918" s="364"/>
      <c r="F2918" s="361" t="s">
        <v>1917</v>
      </c>
      <c r="T2918" s="361">
        <v>4.5999999999999996</v>
      </c>
    </row>
    <row r="2919" spans="1:20" x14ac:dyDescent="0.25">
      <c r="A2919" s="364" t="s">
        <v>1519</v>
      </c>
      <c r="B2919" s="361" t="s">
        <v>1520</v>
      </c>
      <c r="C2919" t="s">
        <v>1916</v>
      </c>
      <c r="D2919" s="361">
        <v>2</v>
      </c>
      <c r="E2919" s="364"/>
      <c r="F2919" s="361" t="s">
        <v>1917</v>
      </c>
      <c r="T2919" s="361">
        <v>118.8</v>
      </c>
    </row>
    <row r="2920" spans="1:20" x14ac:dyDescent="0.25">
      <c r="A2920" s="364" t="s">
        <v>174</v>
      </c>
      <c r="B2920" s="361" t="s">
        <v>1521</v>
      </c>
      <c r="C2920" t="s">
        <v>1916</v>
      </c>
      <c r="D2920" s="361">
        <v>2</v>
      </c>
      <c r="E2920" s="364"/>
      <c r="F2920" s="361" t="s">
        <v>1917</v>
      </c>
      <c r="T2920" s="361">
        <v>217.5</v>
      </c>
    </row>
    <row r="2921" spans="1:20" x14ac:dyDescent="0.25">
      <c r="A2921" s="364" t="s">
        <v>1522</v>
      </c>
      <c r="B2921" s="361" t="s">
        <v>1523</v>
      </c>
      <c r="C2921" t="s">
        <v>1916</v>
      </c>
      <c r="D2921" s="361">
        <v>2</v>
      </c>
      <c r="E2921" s="364"/>
      <c r="F2921" s="361" t="s">
        <v>1917</v>
      </c>
      <c r="T2921" s="361">
        <v>12.88</v>
      </c>
    </row>
    <row r="2922" spans="1:20" x14ac:dyDescent="0.25">
      <c r="A2922" s="364" t="s">
        <v>1524</v>
      </c>
      <c r="B2922" s="361" t="s">
        <v>1525</v>
      </c>
      <c r="C2922" t="s">
        <v>1916</v>
      </c>
      <c r="D2922" s="361">
        <v>2</v>
      </c>
      <c r="E2922" s="364"/>
      <c r="F2922" s="361" t="s">
        <v>1917</v>
      </c>
      <c r="T2922" s="361">
        <v>13.18</v>
      </c>
    </row>
    <row r="2923" spans="1:20" x14ac:dyDescent="0.25">
      <c r="A2923" s="364" t="s">
        <v>1526</v>
      </c>
      <c r="B2923" s="361" t="s">
        <v>1157</v>
      </c>
      <c r="C2923" t="s">
        <v>1916</v>
      </c>
      <c r="D2923" s="361">
        <v>2</v>
      </c>
      <c r="E2923" s="364"/>
      <c r="F2923" s="361" t="s">
        <v>1917</v>
      </c>
      <c r="T2923" s="361">
        <v>170</v>
      </c>
    </row>
    <row r="2924" spans="1:20" x14ac:dyDescent="0.25">
      <c r="A2924" s="364" t="s">
        <v>6347</v>
      </c>
      <c r="B2924" s="361" t="s">
        <v>6348</v>
      </c>
      <c r="C2924" t="s">
        <v>1920</v>
      </c>
      <c r="D2924" s="361">
        <v>20</v>
      </c>
      <c r="E2924" s="364"/>
      <c r="F2924" s="361" t="s">
        <v>2201</v>
      </c>
      <c r="T2924" s="361">
        <v>7.7</v>
      </c>
    </row>
    <row r="2925" spans="1:20" x14ac:dyDescent="0.25">
      <c r="A2925" s="364" t="s">
        <v>1527</v>
      </c>
      <c r="B2925" s="361" t="s">
        <v>1528</v>
      </c>
      <c r="C2925" t="s">
        <v>1922</v>
      </c>
      <c r="D2925" s="361">
        <v>1</v>
      </c>
      <c r="E2925" s="364"/>
      <c r="F2925" s="361" t="s">
        <v>1917</v>
      </c>
      <c r="T2925" s="361">
        <v>29.87</v>
      </c>
    </row>
    <row r="2926" spans="1:20" x14ac:dyDescent="0.25">
      <c r="A2926" s="364" t="s">
        <v>1529</v>
      </c>
      <c r="B2926" s="361" t="s">
        <v>1530</v>
      </c>
      <c r="C2926" t="s">
        <v>1916</v>
      </c>
      <c r="D2926" s="361">
        <v>2</v>
      </c>
      <c r="E2926" s="364"/>
      <c r="F2926" s="361" t="s">
        <v>1917</v>
      </c>
      <c r="T2926" s="361">
        <v>450</v>
      </c>
    </row>
    <row r="2927" spans="1:20" x14ac:dyDescent="0.25">
      <c r="A2927" s="364" t="s">
        <v>1531</v>
      </c>
      <c r="B2927" s="361" t="s">
        <v>1532</v>
      </c>
      <c r="C2927" t="s">
        <v>1922</v>
      </c>
      <c r="D2927" s="361">
        <v>1</v>
      </c>
      <c r="E2927" s="364"/>
      <c r="F2927" s="361" t="s">
        <v>1917</v>
      </c>
      <c r="T2927" s="361">
        <v>10.050000000000001</v>
      </c>
    </row>
    <row r="2928" spans="1:20" x14ac:dyDescent="0.25">
      <c r="A2928" s="364" t="s">
        <v>1533</v>
      </c>
      <c r="B2928" s="361" t="s">
        <v>1014</v>
      </c>
      <c r="C2928" t="s">
        <v>1922</v>
      </c>
      <c r="D2928" s="361">
        <v>5</v>
      </c>
      <c r="E2928" s="364"/>
      <c r="F2928" s="361" t="s">
        <v>1917</v>
      </c>
      <c r="T2928" s="361">
        <v>215</v>
      </c>
    </row>
    <row r="2929" spans="1:20" x14ac:dyDescent="0.25">
      <c r="A2929" s="364" t="s">
        <v>297</v>
      </c>
      <c r="B2929" s="361" t="s">
        <v>1534</v>
      </c>
      <c r="C2929" t="s">
        <v>1922</v>
      </c>
      <c r="D2929" s="361">
        <v>1</v>
      </c>
      <c r="E2929" s="364"/>
      <c r="F2929" s="361" t="s">
        <v>1917</v>
      </c>
      <c r="T2929" s="361">
        <v>18.600000000000001</v>
      </c>
    </row>
    <row r="2930" spans="1:20" x14ac:dyDescent="0.25">
      <c r="A2930" s="364" t="s">
        <v>304</v>
      </c>
      <c r="B2930" s="361" t="s">
        <v>1535</v>
      </c>
      <c r="C2930" t="s">
        <v>1922</v>
      </c>
      <c r="D2930" s="361">
        <v>1</v>
      </c>
      <c r="E2930" s="364"/>
      <c r="F2930" s="361" t="s">
        <v>1917</v>
      </c>
      <c r="T2930" s="361">
        <v>35</v>
      </c>
    </row>
    <row r="2931" spans="1:20" x14ac:dyDescent="0.25">
      <c r="A2931" s="364" t="s">
        <v>1536</v>
      </c>
      <c r="B2931" s="361" t="s">
        <v>1537</v>
      </c>
      <c r="C2931" t="s">
        <v>1922</v>
      </c>
      <c r="D2931" s="361">
        <v>1</v>
      </c>
      <c r="E2931" s="364"/>
      <c r="F2931" s="361" t="s">
        <v>1917</v>
      </c>
      <c r="T2931" s="361">
        <v>17.3</v>
      </c>
    </row>
    <row r="2932" spans="1:20" x14ac:dyDescent="0.25">
      <c r="A2932" s="364" t="s">
        <v>16</v>
      </c>
      <c r="B2932" s="361" t="s">
        <v>1538</v>
      </c>
      <c r="C2932" t="s">
        <v>1922</v>
      </c>
      <c r="D2932" s="361">
        <v>1</v>
      </c>
      <c r="E2932" s="364"/>
      <c r="F2932" s="361" t="s">
        <v>1917</v>
      </c>
      <c r="T2932" s="361">
        <v>9.58</v>
      </c>
    </row>
    <row r="2933" spans="1:20" x14ac:dyDescent="0.25">
      <c r="A2933" s="364" t="s">
        <v>130</v>
      </c>
      <c r="B2933" s="361" t="s">
        <v>1539</v>
      </c>
      <c r="C2933" t="s">
        <v>1922</v>
      </c>
      <c r="D2933" s="361">
        <v>1</v>
      </c>
      <c r="E2933" s="364"/>
      <c r="F2933" s="361" t="s">
        <v>1917</v>
      </c>
      <c r="T2933" s="361">
        <v>2.7</v>
      </c>
    </row>
    <row r="2934" spans="1:20" x14ac:dyDescent="0.25">
      <c r="A2934" s="364" t="s">
        <v>315</v>
      </c>
      <c r="B2934" s="361" t="s">
        <v>1540</v>
      </c>
      <c r="C2934" t="s">
        <v>1922</v>
      </c>
      <c r="D2934" s="361">
        <v>1</v>
      </c>
      <c r="E2934" s="364"/>
      <c r="F2934" s="361" t="s">
        <v>1917</v>
      </c>
      <c r="T2934" s="361">
        <v>1.3640000000000001</v>
      </c>
    </row>
    <row r="2935" spans="1:20" x14ac:dyDescent="0.25">
      <c r="A2935" s="364" t="s">
        <v>131</v>
      </c>
      <c r="B2935" s="361" t="s">
        <v>1494</v>
      </c>
      <c r="C2935" t="s">
        <v>1922</v>
      </c>
      <c r="D2935" s="361">
        <v>1</v>
      </c>
      <c r="E2935" s="364"/>
      <c r="F2935" s="361" t="s">
        <v>1917</v>
      </c>
      <c r="T2935" s="361">
        <v>5.55</v>
      </c>
    </row>
    <row r="2936" spans="1:20" x14ac:dyDescent="0.25">
      <c r="A2936" s="364" t="s">
        <v>1541</v>
      </c>
      <c r="B2936" s="361" t="s">
        <v>1542</v>
      </c>
      <c r="C2936" t="s">
        <v>1922</v>
      </c>
      <c r="D2936" s="361">
        <v>1</v>
      </c>
      <c r="E2936" s="364"/>
      <c r="F2936" s="361" t="s">
        <v>1917</v>
      </c>
      <c r="T2936" s="361">
        <v>7.95</v>
      </c>
    </row>
    <row r="2937" spans="1:20" x14ac:dyDescent="0.25">
      <c r="A2937" s="364" t="s">
        <v>134</v>
      </c>
      <c r="B2937" s="361" t="s">
        <v>1543</v>
      </c>
      <c r="C2937" t="s">
        <v>1922</v>
      </c>
      <c r="D2937" s="361">
        <v>1</v>
      </c>
      <c r="E2937" s="364"/>
      <c r="F2937" s="361" t="s">
        <v>1917</v>
      </c>
      <c r="T2937" s="361">
        <v>21.5</v>
      </c>
    </row>
    <row r="2938" spans="1:20" x14ac:dyDescent="0.25">
      <c r="A2938" s="364" t="s">
        <v>3</v>
      </c>
      <c r="B2938" s="361" t="s">
        <v>1544</v>
      </c>
      <c r="C2938" t="s">
        <v>1922</v>
      </c>
      <c r="D2938" s="361">
        <v>1</v>
      </c>
      <c r="E2938" s="364"/>
      <c r="F2938" s="361" t="s">
        <v>1917</v>
      </c>
      <c r="T2938" s="361">
        <v>5.75</v>
      </c>
    </row>
    <row r="2939" spans="1:20" x14ac:dyDescent="0.25">
      <c r="A2939" s="364" t="s">
        <v>217</v>
      </c>
      <c r="B2939" s="361" t="s">
        <v>1545</v>
      </c>
      <c r="C2939" t="s">
        <v>1922</v>
      </c>
      <c r="D2939" s="361">
        <v>1</v>
      </c>
      <c r="E2939" s="364"/>
      <c r="F2939" s="361" t="s">
        <v>1917</v>
      </c>
      <c r="T2939" s="361">
        <v>6</v>
      </c>
    </row>
    <row r="2940" spans="1:20" x14ac:dyDescent="0.25">
      <c r="A2940" s="364" t="s">
        <v>110</v>
      </c>
      <c r="B2940" s="361" t="s">
        <v>710</v>
      </c>
      <c r="C2940" t="s">
        <v>1922</v>
      </c>
      <c r="D2940" s="361">
        <v>1</v>
      </c>
      <c r="E2940" s="364"/>
      <c r="F2940" s="361" t="s">
        <v>1917</v>
      </c>
      <c r="T2940" s="361">
        <v>7.9</v>
      </c>
    </row>
    <row r="2941" spans="1:20" x14ac:dyDescent="0.25">
      <c r="A2941" s="364" t="s">
        <v>310</v>
      </c>
      <c r="B2941" s="361" t="s">
        <v>1546</v>
      </c>
      <c r="C2941" t="s">
        <v>1922</v>
      </c>
      <c r="D2941" s="361">
        <v>1</v>
      </c>
      <c r="E2941" s="364"/>
      <c r="F2941" s="361" t="s">
        <v>1917</v>
      </c>
      <c r="T2941" s="361">
        <v>1.57</v>
      </c>
    </row>
    <row r="2942" spans="1:20" x14ac:dyDescent="0.25">
      <c r="A2942" s="364" t="s">
        <v>272</v>
      </c>
      <c r="B2942" s="361" t="s">
        <v>1547</v>
      </c>
      <c r="C2942" t="s">
        <v>1922</v>
      </c>
      <c r="D2942" s="361">
        <v>1</v>
      </c>
      <c r="E2942" s="364"/>
      <c r="F2942" s="361" t="s">
        <v>1917</v>
      </c>
      <c r="T2942" s="361">
        <v>10.86</v>
      </c>
    </row>
    <row r="2943" spans="1:20" x14ac:dyDescent="0.25">
      <c r="A2943" s="364" t="s">
        <v>162</v>
      </c>
      <c r="B2943" s="361" t="s">
        <v>1548</v>
      </c>
      <c r="C2943" t="s">
        <v>1922</v>
      </c>
      <c r="D2943" s="361">
        <v>1</v>
      </c>
      <c r="E2943" s="364"/>
      <c r="F2943" s="361" t="s">
        <v>1917</v>
      </c>
      <c r="T2943" s="361">
        <v>33.9</v>
      </c>
    </row>
    <row r="2944" spans="1:20" x14ac:dyDescent="0.25">
      <c r="A2944" s="364" t="s">
        <v>17</v>
      </c>
      <c r="B2944" s="361" t="s">
        <v>1393</v>
      </c>
      <c r="C2944" t="s">
        <v>1922</v>
      </c>
      <c r="D2944" s="361">
        <v>1</v>
      </c>
      <c r="E2944" s="364"/>
      <c r="F2944" s="361" t="s">
        <v>1917</v>
      </c>
      <c r="T2944" s="361">
        <v>19</v>
      </c>
    </row>
    <row r="2945" spans="1:20" x14ac:dyDescent="0.25">
      <c r="A2945" s="364" t="s">
        <v>318</v>
      </c>
      <c r="B2945" s="361" t="s">
        <v>1549</v>
      </c>
      <c r="C2945" t="s">
        <v>1922</v>
      </c>
      <c r="D2945" s="361">
        <v>1</v>
      </c>
      <c r="E2945" s="364"/>
      <c r="F2945" s="361" t="s">
        <v>1917</v>
      </c>
      <c r="T2945" s="361">
        <v>2.25</v>
      </c>
    </row>
    <row r="2946" spans="1:20" x14ac:dyDescent="0.25">
      <c r="A2946" s="364" t="s">
        <v>320</v>
      </c>
      <c r="B2946" s="361" t="s">
        <v>1550</v>
      </c>
      <c r="C2946" t="s">
        <v>1922</v>
      </c>
      <c r="D2946" s="361">
        <v>1</v>
      </c>
      <c r="E2946" s="364"/>
      <c r="F2946" s="361" t="s">
        <v>1917</v>
      </c>
      <c r="T2946" s="361">
        <v>34.799999999999997</v>
      </c>
    </row>
    <row r="2947" spans="1:20" x14ac:dyDescent="0.25">
      <c r="A2947" s="364" t="s">
        <v>321</v>
      </c>
      <c r="B2947" s="361" t="s">
        <v>1448</v>
      </c>
      <c r="C2947" t="s">
        <v>1922</v>
      </c>
      <c r="D2947" s="361">
        <v>1</v>
      </c>
      <c r="E2947" s="364"/>
      <c r="F2947" s="361" t="s">
        <v>1917</v>
      </c>
      <c r="T2947" s="361">
        <v>30.85</v>
      </c>
    </row>
    <row r="2948" spans="1:20" x14ac:dyDescent="0.25">
      <c r="A2948" s="364" t="s">
        <v>118</v>
      </c>
      <c r="B2948" s="361" t="s">
        <v>1199</v>
      </c>
      <c r="C2948" t="s">
        <v>1922</v>
      </c>
      <c r="D2948" s="361">
        <v>1</v>
      </c>
      <c r="E2948" s="364"/>
      <c r="F2948" s="361" t="s">
        <v>1917</v>
      </c>
      <c r="T2948" s="361">
        <v>43.01</v>
      </c>
    </row>
    <row r="2949" spans="1:20" x14ac:dyDescent="0.25">
      <c r="A2949" s="364" t="s">
        <v>169</v>
      </c>
      <c r="B2949" s="361" t="s">
        <v>1551</v>
      </c>
      <c r="C2949" t="s">
        <v>1922</v>
      </c>
      <c r="D2949" s="361">
        <v>1</v>
      </c>
      <c r="E2949" s="364"/>
      <c r="F2949" s="361" t="s">
        <v>1917</v>
      </c>
      <c r="T2949" s="361">
        <v>1.33</v>
      </c>
    </row>
    <row r="2950" spans="1:20" x14ac:dyDescent="0.25">
      <c r="A2950" s="364" t="s">
        <v>1552</v>
      </c>
      <c r="B2950" s="361" t="s">
        <v>1553</v>
      </c>
      <c r="C2950" t="s">
        <v>1916</v>
      </c>
      <c r="D2950" s="361">
        <v>2</v>
      </c>
      <c r="E2950" s="364"/>
      <c r="F2950" s="361" t="s">
        <v>1917</v>
      </c>
      <c r="T2950" s="361">
        <v>1.0000000000000001E-5</v>
      </c>
    </row>
    <row r="2951" spans="1:20" x14ac:dyDescent="0.25">
      <c r="A2951" s="364" t="s">
        <v>1554</v>
      </c>
      <c r="B2951" s="361" t="s">
        <v>1555</v>
      </c>
      <c r="C2951" t="s">
        <v>1922</v>
      </c>
      <c r="D2951" s="361">
        <v>1</v>
      </c>
      <c r="E2951" s="364"/>
      <c r="F2951" s="361" t="s">
        <v>1917</v>
      </c>
      <c r="T2951" s="361">
        <v>1.0000000000000001E-5</v>
      </c>
    </row>
    <row r="2952" spans="1:20" x14ac:dyDescent="0.25">
      <c r="A2952" s="364" t="s">
        <v>165</v>
      </c>
      <c r="B2952" s="361" t="s">
        <v>1556</v>
      </c>
      <c r="C2952" t="s">
        <v>1922</v>
      </c>
      <c r="D2952" s="361">
        <v>1</v>
      </c>
      <c r="E2952" s="364"/>
      <c r="F2952" s="361" t="s">
        <v>1917</v>
      </c>
      <c r="T2952" s="361">
        <v>2.1800000000000002</v>
      </c>
    </row>
    <row r="2953" spans="1:20" x14ac:dyDescent="0.25">
      <c r="A2953" s="364" t="s">
        <v>109</v>
      </c>
      <c r="B2953" s="361" t="s">
        <v>1557</v>
      </c>
      <c r="C2953" t="s">
        <v>1922</v>
      </c>
      <c r="D2953" s="361">
        <v>1</v>
      </c>
      <c r="E2953" s="364"/>
      <c r="F2953" s="361" t="s">
        <v>1917</v>
      </c>
      <c r="T2953" s="361">
        <v>4.5999999999999996</v>
      </c>
    </row>
    <row r="2954" spans="1:20" x14ac:dyDescent="0.25">
      <c r="A2954" s="364" t="s">
        <v>156</v>
      </c>
      <c r="B2954" s="361" t="s">
        <v>1558</v>
      </c>
      <c r="C2954" t="s">
        <v>1922</v>
      </c>
      <c r="D2954" s="361">
        <v>1</v>
      </c>
      <c r="E2954" s="364"/>
      <c r="F2954" s="361" t="s">
        <v>1917</v>
      </c>
      <c r="T2954" s="361">
        <v>3.75</v>
      </c>
    </row>
    <row r="2955" spans="1:20" x14ac:dyDescent="0.25">
      <c r="A2955" s="364" t="s">
        <v>1559</v>
      </c>
      <c r="B2955" s="361" t="s">
        <v>1560</v>
      </c>
      <c r="C2955" t="s">
        <v>1922</v>
      </c>
      <c r="D2955" s="361">
        <v>1</v>
      </c>
      <c r="E2955" s="364"/>
      <c r="F2955" s="361" t="s">
        <v>1917</v>
      </c>
      <c r="T2955" s="361">
        <v>44.75</v>
      </c>
    </row>
    <row r="2956" spans="1:20" x14ac:dyDescent="0.25">
      <c r="A2956" s="364" t="s">
        <v>313</v>
      </c>
      <c r="B2956" s="361" t="s">
        <v>1561</v>
      </c>
      <c r="C2956" t="s">
        <v>1922</v>
      </c>
      <c r="D2956" s="361">
        <v>1</v>
      </c>
      <c r="E2956" s="364"/>
      <c r="F2956" s="361" t="s">
        <v>1917</v>
      </c>
      <c r="T2956" s="361">
        <v>2.15</v>
      </c>
    </row>
    <row r="2957" spans="1:20" x14ac:dyDescent="0.25">
      <c r="A2957" s="364" t="s">
        <v>1562</v>
      </c>
      <c r="B2957" s="361" t="s">
        <v>1563</v>
      </c>
      <c r="C2957" t="s">
        <v>1922</v>
      </c>
      <c r="D2957" s="361">
        <v>1</v>
      </c>
      <c r="E2957" s="364"/>
      <c r="F2957" s="361" t="s">
        <v>1917</v>
      </c>
      <c r="T2957" s="361">
        <v>8.76</v>
      </c>
    </row>
    <row r="2958" spans="1:20" x14ac:dyDescent="0.25">
      <c r="A2958" s="364" t="s">
        <v>292</v>
      </c>
      <c r="B2958" s="361" t="s">
        <v>1564</v>
      </c>
      <c r="C2958" t="s">
        <v>1922</v>
      </c>
      <c r="D2958" s="361">
        <v>1</v>
      </c>
      <c r="E2958" s="364"/>
      <c r="F2958" s="361" t="s">
        <v>1917</v>
      </c>
      <c r="T2958" s="361">
        <v>56.95</v>
      </c>
    </row>
    <row r="2959" spans="1:20" x14ac:dyDescent="0.25">
      <c r="A2959" s="364" t="s">
        <v>275</v>
      </c>
      <c r="B2959" s="361" t="s">
        <v>1565</v>
      </c>
      <c r="C2959" t="s">
        <v>1922</v>
      </c>
      <c r="D2959" s="361">
        <v>1</v>
      </c>
      <c r="E2959" s="364"/>
      <c r="F2959" s="361" t="s">
        <v>1917</v>
      </c>
      <c r="T2959" s="361">
        <v>31.4</v>
      </c>
    </row>
    <row r="2960" spans="1:20" x14ac:dyDescent="0.25">
      <c r="A2960" s="364" t="s">
        <v>314</v>
      </c>
      <c r="B2960" s="361" t="s">
        <v>1566</v>
      </c>
      <c r="C2960" t="s">
        <v>1922</v>
      </c>
      <c r="D2960" s="361">
        <v>1</v>
      </c>
      <c r="E2960" s="364"/>
      <c r="F2960" s="361" t="s">
        <v>1917</v>
      </c>
      <c r="T2960" s="361">
        <v>9.25</v>
      </c>
    </row>
    <row r="2961" spans="1:20" x14ac:dyDescent="0.25">
      <c r="A2961" s="364" t="s">
        <v>1567</v>
      </c>
      <c r="B2961" s="361" t="s">
        <v>1568</v>
      </c>
      <c r="C2961" t="s">
        <v>1922</v>
      </c>
      <c r="D2961" s="361">
        <v>1</v>
      </c>
      <c r="E2961" s="364"/>
      <c r="F2961" s="361" t="s">
        <v>1917</v>
      </c>
      <c r="T2961" s="361">
        <v>2.4900000000000002</v>
      </c>
    </row>
    <row r="2962" spans="1:20" x14ac:dyDescent="0.25">
      <c r="A2962" s="364" t="s">
        <v>1569</v>
      </c>
      <c r="B2962" s="361" t="s">
        <v>1238</v>
      </c>
      <c r="C2962" t="s">
        <v>1922</v>
      </c>
      <c r="D2962" s="361">
        <v>1</v>
      </c>
      <c r="E2962" s="364"/>
      <c r="F2962" s="361" t="s">
        <v>1917</v>
      </c>
      <c r="T2962" s="361">
        <v>5.55</v>
      </c>
    </row>
    <row r="2963" spans="1:20" x14ac:dyDescent="0.25">
      <c r="A2963" s="364" t="s">
        <v>1570</v>
      </c>
      <c r="B2963" s="361" t="s">
        <v>1440</v>
      </c>
      <c r="C2963" t="s">
        <v>1922</v>
      </c>
      <c r="D2963" s="361">
        <v>1</v>
      </c>
      <c r="E2963" s="364"/>
      <c r="F2963" s="361" t="s">
        <v>1917</v>
      </c>
      <c r="T2963" s="361">
        <v>3.07</v>
      </c>
    </row>
    <row r="2964" spans="1:20" x14ac:dyDescent="0.25">
      <c r="A2964" s="364" t="s">
        <v>127</v>
      </c>
      <c r="B2964" s="361" t="s">
        <v>1571</v>
      </c>
      <c r="C2964" t="s">
        <v>1922</v>
      </c>
      <c r="D2964" s="361">
        <v>1</v>
      </c>
      <c r="E2964" s="364"/>
      <c r="F2964" s="361" t="s">
        <v>1917</v>
      </c>
      <c r="T2964" s="361">
        <v>14.2</v>
      </c>
    </row>
    <row r="2965" spans="1:20" x14ac:dyDescent="0.25">
      <c r="A2965" s="364" t="s">
        <v>1572</v>
      </c>
      <c r="B2965" s="361" t="s">
        <v>561</v>
      </c>
      <c r="C2965" t="s">
        <v>1922</v>
      </c>
      <c r="D2965" s="361">
        <v>1</v>
      </c>
      <c r="E2965" s="364"/>
      <c r="F2965" s="361" t="s">
        <v>1917</v>
      </c>
      <c r="T2965" s="361">
        <v>211.12</v>
      </c>
    </row>
    <row r="2966" spans="1:20" x14ac:dyDescent="0.25">
      <c r="A2966" s="364" t="s">
        <v>6349</v>
      </c>
      <c r="B2966" s="361" t="s">
        <v>6350</v>
      </c>
      <c r="C2966" t="s">
        <v>2419</v>
      </c>
      <c r="D2966" s="361">
        <v>4</v>
      </c>
      <c r="E2966" s="364"/>
      <c r="F2966" s="361" t="s">
        <v>2201</v>
      </c>
      <c r="T2966" s="361">
        <v>31.77</v>
      </c>
    </row>
    <row r="2967" spans="1:20" x14ac:dyDescent="0.25">
      <c r="A2967" s="364" t="s">
        <v>1573</v>
      </c>
      <c r="B2967" s="361" t="s">
        <v>1574</v>
      </c>
      <c r="C2967" t="s">
        <v>1922</v>
      </c>
      <c r="D2967" s="361">
        <v>33</v>
      </c>
      <c r="E2967" s="364"/>
      <c r="F2967" s="361" t="s">
        <v>2201</v>
      </c>
      <c r="T2967" s="361">
        <v>27.04</v>
      </c>
    </row>
    <row r="2968" spans="1:20" x14ac:dyDescent="0.25">
      <c r="A2968" s="364" t="s">
        <v>1575</v>
      </c>
      <c r="B2968" s="361" t="s">
        <v>1576</v>
      </c>
      <c r="C2968" t="s">
        <v>1922</v>
      </c>
      <c r="D2968" s="361">
        <v>1</v>
      </c>
      <c r="E2968" s="364"/>
      <c r="F2968" s="361" t="s">
        <v>2145</v>
      </c>
      <c r="T2968" s="361">
        <v>0.27500000000000002</v>
      </c>
    </row>
    <row r="2969" spans="1:20" x14ac:dyDescent="0.25">
      <c r="A2969" s="364" t="s">
        <v>1577</v>
      </c>
      <c r="B2969" s="361" t="s">
        <v>1578</v>
      </c>
      <c r="C2969" t="s">
        <v>1916</v>
      </c>
      <c r="D2969" s="361">
        <v>2</v>
      </c>
      <c r="E2969" s="364"/>
      <c r="F2969" s="361" t="s">
        <v>1917</v>
      </c>
      <c r="T2969" s="361">
        <v>9.4</v>
      </c>
    </row>
    <row r="2970" spans="1:20" x14ac:dyDescent="0.25">
      <c r="A2970" s="364" t="s">
        <v>6351</v>
      </c>
      <c r="B2970" s="361" t="s">
        <v>6352</v>
      </c>
      <c r="C2970" t="s">
        <v>2419</v>
      </c>
      <c r="D2970" s="361">
        <v>4</v>
      </c>
      <c r="E2970" s="364"/>
      <c r="F2970" s="361" t="s">
        <v>2201</v>
      </c>
      <c r="T2970" s="361">
        <v>14.45</v>
      </c>
    </row>
    <row r="2971" spans="1:20" x14ac:dyDescent="0.25">
      <c r="A2971" s="364" t="s">
        <v>270</v>
      </c>
      <c r="B2971" s="361" t="s">
        <v>1579</v>
      </c>
      <c r="C2971" t="s">
        <v>1922</v>
      </c>
      <c r="D2971" s="361">
        <v>1</v>
      </c>
      <c r="E2971" s="364"/>
      <c r="F2971" s="361" t="s">
        <v>1917</v>
      </c>
      <c r="T2971" s="361">
        <v>78.099999999999994</v>
      </c>
    </row>
    <row r="2972" spans="1:20" x14ac:dyDescent="0.25">
      <c r="A2972" s="364" t="s">
        <v>6353</v>
      </c>
      <c r="B2972" s="361" t="s">
        <v>6354</v>
      </c>
      <c r="C2972" t="s">
        <v>2419</v>
      </c>
      <c r="D2972" s="361">
        <v>4</v>
      </c>
      <c r="E2972" s="364"/>
      <c r="F2972" s="361" t="s">
        <v>2201</v>
      </c>
      <c r="T2972" s="361">
        <v>9.7100000000000009</v>
      </c>
    </row>
    <row r="2973" spans="1:20" x14ac:dyDescent="0.25">
      <c r="A2973" s="364" t="s">
        <v>1580</v>
      </c>
      <c r="B2973" s="361" t="s">
        <v>1016</v>
      </c>
      <c r="C2973" t="s">
        <v>1922</v>
      </c>
      <c r="D2973" s="361">
        <v>1</v>
      </c>
      <c r="E2973" s="364"/>
      <c r="F2973" s="361" t="s">
        <v>1917</v>
      </c>
      <c r="T2973" s="361">
        <v>8.35</v>
      </c>
    </row>
    <row r="2974" spans="1:20" x14ac:dyDescent="0.25">
      <c r="A2974" s="364" t="s">
        <v>1581</v>
      </c>
      <c r="B2974" s="361" t="s">
        <v>1582</v>
      </c>
      <c r="C2974" t="s">
        <v>1922</v>
      </c>
      <c r="D2974" s="361">
        <v>90</v>
      </c>
      <c r="E2974" s="364"/>
      <c r="F2974" s="361" t="s">
        <v>1917</v>
      </c>
      <c r="T2974" s="361">
        <v>151.41</v>
      </c>
    </row>
    <row r="2975" spans="1:20" x14ac:dyDescent="0.25">
      <c r="A2975" s="364" t="s">
        <v>197</v>
      </c>
      <c r="B2975" s="361" t="s">
        <v>1583</v>
      </c>
      <c r="C2975" t="s">
        <v>1916</v>
      </c>
      <c r="D2975" s="361">
        <v>2</v>
      </c>
      <c r="E2975" s="364"/>
      <c r="F2975" s="361" t="s">
        <v>1917</v>
      </c>
      <c r="T2975" s="361">
        <v>27.55</v>
      </c>
    </row>
    <row r="2976" spans="1:20" x14ac:dyDescent="0.25">
      <c r="A2976" s="364" t="s">
        <v>1584</v>
      </c>
      <c r="B2976" s="361" t="s">
        <v>1585</v>
      </c>
      <c r="C2976" t="s">
        <v>1922</v>
      </c>
      <c r="D2976" s="361">
        <v>1</v>
      </c>
      <c r="E2976" s="364"/>
      <c r="F2976" s="361" t="s">
        <v>2201</v>
      </c>
      <c r="T2976" s="361">
        <v>2.61</v>
      </c>
    </row>
    <row r="2977" spans="1:20" x14ac:dyDescent="0.25">
      <c r="A2977" s="364" t="s">
        <v>1586</v>
      </c>
      <c r="B2977" s="361" t="s">
        <v>1587</v>
      </c>
      <c r="C2977" t="s">
        <v>1922</v>
      </c>
      <c r="D2977" s="361">
        <v>1</v>
      </c>
      <c r="E2977" s="364"/>
      <c r="F2977" s="361" t="s">
        <v>2201</v>
      </c>
      <c r="T2977" s="361">
        <v>2.61</v>
      </c>
    </row>
    <row r="2978" spans="1:20" x14ac:dyDescent="0.25">
      <c r="A2978" s="364" t="s">
        <v>196</v>
      </c>
      <c r="B2978" s="361" t="s">
        <v>1588</v>
      </c>
      <c r="C2978" t="s">
        <v>1916</v>
      </c>
      <c r="D2978" s="361">
        <v>2</v>
      </c>
      <c r="E2978" s="364"/>
      <c r="F2978" s="361" t="s">
        <v>1917</v>
      </c>
      <c r="T2978" s="361">
        <v>22.82</v>
      </c>
    </row>
    <row r="2979" spans="1:20" x14ac:dyDescent="0.25">
      <c r="A2979" s="364" t="s">
        <v>1589</v>
      </c>
      <c r="B2979" s="361" t="s">
        <v>1590</v>
      </c>
      <c r="C2979" t="s">
        <v>1922</v>
      </c>
      <c r="D2979" s="361">
        <v>1</v>
      </c>
      <c r="E2979" s="364"/>
      <c r="F2979" s="361" t="s">
        <v>2201</v>
      </c>
      <c r="T2979" s="361">
        <v>2.58</v>
      </c>
    </row>
    <row r="2980" spans="1:20" x14ac:dyDescent="0.25">
      <c r="A2980" s="364" t="s">
        <v>1591</v>
      </c>
      <c r="B2980" s="361" t="s">
        <v>1592</v>
      </c>
      <c r="C2980" t="s">
        <v>1922</v>
      </c>
      <c r="D2980" s="361">
        <v>1</v>
      </c>
      <c r="E2980" s="364"/>
      <c r="F2980" s="361" t="s">
        <v>2201</v>
      </c>
      <c r="T2980" s="361">
        <v>2.58</v>
      </c>
    </row>
    <row r="2981" spans="1:20" x14ac:dyDescent="0.25">
      <c r="A2981" s="364" t="s">
        <v>6355</v>
      </c>
      <c r="B2981" s="361" t="s">
        <v>6356</v>
      </c>
      <c r="C2981" t="s">
        <v>1920</v>
      </c>
      <c r="D2981" s="361">
        <v>19</v>
      </c>
      <c r="E2981" s="364"/>
      <c r="F2981" s="361" t="s">
        <v>1917</v>
      </c>
      <c r="T2981" s="361">
        <v>19.45</v>
      </c>
    </row>
    <row r="2982" spans="1:20" x14ac:dyDescent="0.25">
      <c r="A2982" s="364" t="s">
        <v>1593</v>
      </c>
      <c r="B2982" s="361" t="s">
        <v>1594</v>
      </c>
      <c r="C2982" t="s">
        <v>1916</v>
      </c>
      <c r="D2982" s="361">
        <v>2</v>
      </c>
      <c r="E2982" s="364"/>
      <c r="F2982" s="361" t="s">
        <v>1917</v>
      </c>
      <c r="T2982" s="361">
        <v>1.0000000000000001E-5</v>
      </c>
    </row>
    <row r="2983" spans="1:20" x14ac:dyDescent="0.25">
      <c r="A2983" s="364" t="s">
        <v>1595</v>
      </c>
      <c r="B2983" s="361" t="s">
        <v>1596</v>
      </c>
      <c r="C2983" t="s">
        <v>1922</v>
      </c>
      <c r="D2983" s="361">
        <v>1</v>
      </c>
      <c r="E2983" s="364"/>
      <c r="F2983" s="361" t="s">
        <v>1917</v>
      </c>
      <c r="T2983" s="361">
        <v>40.92</v>
      </c>
    </row>
    <row r="2984" spans="1:20" x14ac:dyDescent="0.25">
      <c r="A2984" s="364" t="s">
        <v>6357</v>
      </c>
      <c r="B2984" s="361" t="s">
        <v>6358</v>
      </c>
      <c r="C2984" t="s">
        <v>1920</v>
      </c>
      <c r="D2984" s="361">
        <v>20</v>
      </c>
      <c r="E2984" s="364"/>
      <c r="F2984" s="361" t="s">
        <v>2201</v>
      </c>
      <c r="T2984" s="361">
        <v>90.88</v>
      </c>
    </row>
    <row r="2985" spans="1:20" x14ac:dyDescent="0.25">
      <c r="A2985" s="364" t="s">
        <v>6359</v>
      </c>
      <c r="B2985" s="361" t="s">
        <v>6360</v>
      </c>
      <c r="C2985" t="s">
        <v>1920</v>
      </c>
      <c r="D2985" s="361">
        <v>33</v>
      </c>
      <c r="E2985" s="364"/>
      <c r="F2985" s="361" t="s">
        <v>1917</v>
      </c>
      <c r="T2985" s="361">
        <v>12.41</v>
      </c>
    </row>
    <row r="2986" spans="1:20" x14ac:dyDescent="0.25">
      <c r="A2986" s="364" t="s">
        <v>1597</v>
      </c>
      <c r="B2986" s="361" t="s">
        <v>1598</v>
      </c>
      <c r="C2986" t="s">
        <v>1922</v>
      </c>
      <c r="D2986" s="361">
        <v>1</v>
      </c>
      <c r="E2986" s="364"/>
      <c r="F2986" s="361" t="s">
        <v>1917</v>
      </c>
      <c r="T2986" s="361">
        <v>67.5</v>
      </c>
    </row>
    <row r="2987" spans="1:20" x14ac:dyDescent="0.25">
      <c r="A2987" s="364" t="s">
        <v>213</v>
      </c>
      <c r="B2987" s="361" t="s">
        <v>1599</v>
      </c>
      <c r="C2987" t="s">
        <v>1922</v>
      </c>
      <c r="D2987" s="361">
        <v>5</v>
      </c>
      <c r="E2987" s="364"/>
      <c r="F2987" s="361" t="s">
        <v>1917</v>
      </c>
      <c r="T2987" s="361">
        <v>120</v>
      </c>
    </row>
    <row r="2988" spans="1:20" x14ac:dyDescent="0.25">
      <c r="A2988" s="364" t="s">
        <v>6361</v>
      </c>
      <c r="B2988" s="361" t="s">
        <v>6362</v>
      </c>
      <c r="C2988">
        <v>2</v>
      </c>
      <c r="D2988" s="361">
        <v>33</v>
      </c>
      <c r="E2988" s="364"/>
      <c r="F2988" s="361" t="s">
        <v>1921</v>
      </c>
      <c r="T2988" s="361">
        <v>1.2569999999999999</v>
      </c>
    </row>
    <row r="2989" spans="1:20" x14ac:dyDescent="0.25">
      <c r="A2989" s="364" t="s">
        <v>1600</v>
      </c>
      <c r="B2989" s="361" t="s">
        <v>1601</v>
      </c>
      <c r="C2989" t="s">
        <v>1916</v>
      </c>
      <c r="D2989" s="361">
        <v>2</v>
      </c>
      <c r="E2989" s="364"/>
      <c r="F2989" s="361" t="s">
        <v>1917</v>
      </c>
      <c r="T2989" s="361">
        <v>441.29615000000001</v>
      </c>
    </row>
    <row r="2990" spans="1:20" x14ac:dyDescent="0.25">
      <c r="A2990" s="364" t="s">
        <v>6363</v>
      </c>
      <c r="B2990" s="361" t="s">
        <v>6364</v>
      </c>
      <c r="C2990" t="s">
        <v>2419</v>
      </c>
      <c r="D2990" s="361">
        <v>4</v>
      </c>
      <c r="E2990" s="364"/>
      <c r="F2990" s="361" t="s">
        <v>2201</v>
      </c>
      <c r="T2990" s="361">
        <v>177.1</v>
      </c>
    </row>
    <row r="2991" spans="1:20" x14ac:dyDescent="0.25">
      <c r="A2991" s="364" t="s">
        <v>6365</v>
      </c>
      <c r="B2991" s="361" t="s">
        <v>6366</v>
      </c>
      <c r="C2991" t="s">
        <v>2419</v>
      </c>
      <c r="D2991" s="361">
        <v>4</v>
      </c>
      <c r="E2991" s="364"/>
      <c r="F2991" s="361" t="s">
        <v>2201</v>
      </c>
      <c r="T2991" s="361">
        <v>1977.8929700000001</v>
      </c>
    </row>
    <row r="2992" spans="1:20" x14ac:dyDescent="0.25">
      <c r="A2992" s="364" t="s">
        <v>303</v>
      </c>
      <c r="B2992" s="361" t="s">
        <v>1602</v>
      </c>
      <c r="C2992" t="s">
        <v>1916</v>
      </c>
      <c r="D2992" s="361">
        <v>2</v>
      </c>
      <c r="E2992" s="364"/>
      <c r="F2992" s="361" t="s">
        <v>1917</v>
      </c>
      <c r="T2992" s="361">
        <v>7.7</v>
      </c>
    </row>
    <row r="2993" spans="1:20" x14ac:dyDescent="0.25">
      <c r="A2993" s="364" t="s">
        <v>1603</v>
      </c>
      <c r="B2993" s="361" t="s">
        <v>1604</v>
      </c>
      <c r="C2993" t="s">
        <v>1922</v>
      </c>
      <c r="D2993" s="361">
        <v>1</v>
      </c>
      <c r="E2993" s="364"/>
      <c r="F2993" s="361" t="s">
        <v>1917</v>
      </c>
      <c r="T2993" s="361">
        <v>18.600000000000001</v>
      </c>
    </row>
    <row r="2994" spans="1:20" x14ac:dyDescent="0.25">
      <c r="A2994" s="364" t="s">
        <v>1605</v>
      </c>
      <c r="B2994" s="361" t="s">
        <v>1606</v>
      </c>
      <c r="C2994" t="s">
        <v>1916</v>
      </c>
      <c r="D2994" s="361">
        <v>2</v>
      </c>
      <c r="E2994" s="364"/>
      <c r="F2994" s="361" t="s">
        <v>1917</v>
      </c>
      <c r="T2994" s="361">
        <v>16.75</v>
      </c>
    </row>
    <row r="2995" spans="1:20" x14ac:dyDescent="0.25">
      <c r="A2995" s="364" t="s">
        <v>6367</v>
      </c>
      <c r="B2995" s="361" t="s">
        <v>6368</v>
      </c>
      <c r="C2995" t="s">
        <v>1920</v>
      </c>
      <c r="D2995" s="361">
        <v>16</v>
      </c>
      <c r="E2995" s="364"/>
      <c r="F2995" s="361" t="s">
        <v>1917</v>
      </c>
      <c r="T2995" s="361">
        <v>5.6</v>
      </c>
    </row>
    <row r="2996" spans="1:20" x14ac:dyDescent="0.25">
      <c r="A2996" s="364" t="s">
        <v>6369</v>
      </c>
      <c r="B2996" s="361" t="s">
        <v>6370</v>
      </c>
      <c r="C2996" t="s">
        <v>1920</v>
      </c>
      <c r="D2996" s="361">
        <v>11</v>
      </c>
      <c r="E2996" s="364"/>
      <c r="F2996" s="361" t="s">
        <v>2201</v>
      </c>
      <c r="T2996" s="361">
        <v>86.539839999999998</v>
      </c>
    </row>
    <row r="2997" spans="1:20" x14ac:dyDescent="0.25">
      <c r="A2997" s="364" t="s">
        <v>6371</v>
      </c>
      <c r="B2997" s="361" t="s">
        <v>6372</v>
      </c>
      <c r="C2997" t="s">
        <v>1920</v>
      </c>
      <c r="D2997" s="361">
        <v>12</v>
      </c>
      <c r="E2997" s="364"/>
      <c r="F2997" s="361" t="s">
        <v>2201</v>
      </c>
      <c r="T2997" s="361">
        <v>54.689869999999999</v>
      </c>
    </row>
    <row r="2998" spans="1:20" x14ac:dyDescent="0.25">
      <c r="A2998" s="364" t="s">
        <v>6373</v>
      </c>
      <c r="B2998" s="361" t="s">
        <v>6374</v>
      </c>
      <c r="C2998" t="s">
        <v>1920</v>
      </c>
      <c r="D2998" s="361">
        <v>33</v>
      </c>
      <c r="E2998" s="364"/>
      <c r="F2998" s="361" t="s">
        <v>1917</v>
      </c>
      <c r="T2998" s="361">
        <v>3.7</v>
      </c>
    </row>
    <row r="2999" spans="1:20" x14ac:dyDescent="0.25">
      <c r="A2999" s="364" t="s">
        <v>6375</v>
      </c>
      <c r="B2999" s="361" t="s">
        <v>6376</v>
      </c>
      <c r="C2999" t="s">
        <v>1920</v>
      </c>
      <c r="D2999" s="361">
        <v>33</v>
      </c>
      <c r="E2999" s="364"/>
      <c r="F2999" s="361" t="s">
        <v>1917</v>
      </c>
      <c r="T2999" s="361">
        <v>3.7</v>
      </c>
    </row>
    <row r="3000" spans="1:20" x14ac:dyDescent="0.25">
      <c r="A3000" s="364" t="s">
        <v>6377</v>
      </c>
      <c r="B3000" s="361" t="s">
        <v>6378</v>
      </c>
      <c r="C3000" t="s">
        <v>1920</v>
      </c>
      <c r="D3000" s="361">
        <v>11</v>
      </c>
      <c r="E3000" s="364"/>
      <c r="F3000" s="361" t="s">
        <v>2201</v>
      </c>
      <c r="T3000" s="361">
        <v>50.4</v>
      </c>
    </row>
    <row r="3001" spans="1:20" x14ac:dyDescent="0.25">
      <c r="A3001" s="364" t="s">
        <v>6379</v>
      </c>
      <c r="B3001" s="361" t="s">
        <v>6380</v>
      </c>
      <c r="C3001" t="s">
        <v>1920</v>
      </c>
      <c r="D3001" s="361" t="s">
        <v>6381</v>
      </c>
      <c r="E3001" s="364"/>
      <c r="F3001" s="361" t="s">
        <v>2201</v>
      </c>
      <c r="T3001" s="361">
        <v>957.8</v>
      </c>
    </row>
    <row r="3002" spans="1:20" x14ac:dyDescent="0.25">
      <c r="A3002" s="364" t="s">
        <v>6382</v>
      </c>
      <c r="B3002" s="361" t="s">
        <v>6383</v>
      </c>
      <c r="C3002" t="s">
        <v>1920</v>
      </c>
      <c r="D3002" s="361">
        <v>25</v>
      </c>
      <c r="E3002" s="364"/>
      <c r="F3002" s="361" t="s">
        <v>1921</v>
      </c>
      <c r="T3002" s="361">
        <v>1.6</v>
      </c>
    </row>
    <row r="3003" spans="1:20" x14ac:dyDescent="0.25">
      <c r="A3003" s="364" t="s">
        <v>6384</v>
      </c>
      <c r="B3003" s="361" t="s">
        <v>6385</v>
      </c>
      <c r="C3003" t="s">
        <v>1920</v>
      </c>
      <c r="D3003" s="361" t="s">
        <v>6386</v>
      </c>
      <c r="E3003" s="364"/>
      <c r="F3003" s="361" t="s">
        <v>2201</v>
      </c>
      <c r="T3003" s="361">
        <v>46</v>
      </c>
    </row>
    <row r="3004" spans="1:20" x14ac:dyDescent="0.25">
      <c r="A3004" s="364" t="s">
        <v>6387</v>
      </c>
      <c r="B3004" s="361" t="s">
        <v>6388</v>
      </c>
      <c r="C3004" t="s">
        <v>1920</v>
      </c>
      <c r="D3004" s="361" t="s">
        <v>6381</v>
      </c>
      <c r="E3004" s="364"/>
      <c r="F3004" s="361" t="s">
        <v>2201</v>
      </c>
      <c r="T3004" s="361">
        <v>496.5</v>
      </c>
    </row>
    <row r="3005" spans="1:20" x14ac:dyDescent="0.25">
      <c r="A3005" s="364" t="s">
        <v>6389</v>
      </c>
      <c r="B3005" s="361" t="s">
        <v>6390</v>
      </c>
      <c r="C3005" t="s">
        <v>1920</v>
      </c>
      <c r="D3005" s="361" t="s">
        <v>6386</v>
      </c>
      <c r="E3005" s="364"/>
      <c r="F3005" s="361" t="s">
        <v>2201</v>
      </c>
      <c r="T3005" s="361">
        <v>40</v>
      </c>
    </row>
    <row r="3006" spans="1:20" x14ac:dyDescent="0.25">
      <c r="A3006" s="364" t="s">
        <v>6391</v>
      </c>
      <c r="B3006" s="361" t="s">
        <v>6392</v>
      </c>
      <c r="C3006" t="s">
        <v>2419</v>
      </c>
      <c r="D3006" s="361">
        <v>4</v>
      </c>
      <c r="E3006" s="364"/>
      <c r="F3006" s="361" t="s">
        <v>2201</v>
      </c>
      <c r="T3006" s="361">
        <v>732.98382000000004</v>
      </c>
    </row>
    <row r="3007" spans="1:20" x14ac:dyDescent="0.25">
      <c r="A3007" s="364" t="s">
        <v>1607</v>
      </c>
      <c r="B3007" s="361" t="s">
        <v>1608</v>
      </c>
      <c r="C3007" t="s">
        <v>1922</v>
      </c>
      <c r="D3007" s="361">
        <v>1</v>
      </c>
      <c r="E3007" s="364"/>
      <c r="F3007" s="361" t="s">
        <v>1917</v>
      </c>
      <c r="T3007" s="361">
        <v>13.9</v>
      </c>
    </row>
    <row r="3008" spans="1:20" x14ac:dyDescent="0.25">
      <c r="A3008" s="364" t="s">
        <v>1609</v>
      </c>
      <c r="B3008" s="361" t="s">
        <v>1610</v>
      </c>
      <c r="C3008" t="s">
        <v>1922</v>
      </c>
      <c r="D3008" s="361">
        <v>1</v>
      </c>
      <c r="E3008" s="364"/>
      <c r="F3008" s="361" t="s">
        <v>2638</v>
      </c>
      <c r="T3008" s="361">
        <v>4.8</v>
      </c>
    </row>
    <row r="3009" spans="1:20" x14ac:dyDescent="0.25">
      <c r="A3009" s="364" t="s">
        <v>1611</v>
      </c>
      <c r="B3009" s="361" t="s">
        <v>1612</v>
      </c>
      <c r="C3009" t="s">
        <v>1922</v>
      </c>
      <c r="D3009" s="361">
        <v>1</v>
      </c>
      <c r="E3009" s="364"/>
      <c r="F3009" s="361" t="s">
        <v>2638</v>
      </c>
      <c r="T3009" s="361">
        <v>1.81</v>
      </c>
    </row>
    <row r="3010" spans="1:20" x14ac:dyDescent="0.25">
      <c r="A3010" s="364" t="s">
        <v>1613</v>
      </c>
      <c r="B3010" s="361" t="s">
        <v>1614</v>
      </c>
      <c r="C3010" t="s">
        <v>1916</v>
      </c>
      <c r="D3010" s="361">
        <v>2</v>
      </c>
      <c r="E3010" s="364"/>
      <c r="F3010" s="361" t="s">
        <v>1917</v>
      </c>
      <c r="T3010" s="361">
        <v>99.9</v>
      </c>
    </row>
    <row r="3011" spans="1:20" x14ac:dyDescent="0.25">
      <c r="A3011" s="364" t="s">
        <v>1615</v>
      </c>
      <c r="B3011" s="361" t="s">
        <v>1616</v>
      </c>
      <c r="C3011" t="s">
        <v>1922</v>
      </c>
      <c r="D3011" s="361">
        <v>1</v>
      </c>
      <c r="E3011" s="364"/>
      <c r="F3011" s="361" t="s">
        <v>1917</v>
      </c>
      <c r="T3011" s="361">
        <v>20.399999999999999</v>
      </c>
    </row>
    <row r="3012" spans="1:20" x14ac:dyDescent="0.25">
      <c r="A3012" s="364" t="s">
        <v>1617</v>
      </c>
      <c r="B3012" s="361" t="s">
        <v>1618</v>
      </c>
      <c r="C3012" t="s">
        <v>1922</v>
      </c>
      <c r="D3012" s="361">
        <v>1</v>
      </c>
      <c r="E3012" s="364"/>
      <c r="F3012" s="361" t="s">
        <v>1917</v>
      </c>
      <c r="T3012" s="361">
        <v>124.42</v>
      </c>
    </row>
    <row r="3013" spans="1:20" x14ac:dyDescent="0.25">
      <c r="A3013" s="364" t="s">
        <v>1619</v>
      </c>
      <c r="B3013" s="361" t="s">
        <v>1620</v>
      </c>
      <c r="C3013" t="s">
        <v>1922</v>
      </c>
      <c r="D3013" s="361">
        <v>1</v>
      </c>
      <c r="E3013" s="364"/>
      <c r="F3013" s="361" t="s">
        <v>1917</v>
      </c>
      <c r="T3013" s="361">
        <v>36.869999999999997</v>
      </c>
    </row>
    <row r="3014" spans="1:20" x14ac:dyDescent="0.25">
      <c r="A3014" s="364" t="s">
        <v>190</v>
      </c>
      <c r="B3014" s="361" t="s">
        <v>1621</v>
      </c>
      <c r="C3014" t="s">
        <v>1922</v>
      </c>
      <c r="D3014" s="361">
        <v>1</v>
      </c>
      <c r="E3014" s="364"/>
      <c r="F3014" s="361" t="s">
        <v>1917</v>
      </c>
      <c r="T3014" s="361">
        <v>19.600000000000001</v>
      </c>
    </row>
    <row r="3015" spans="1:20" x14ac:dyDescent="0.25">
      <c r="A3015" s="364" t="s">
        <v>1622</v>
      </c>
      <c r="B3015" s="361" t="s">
        <v>1623</v>
      </c>
      <c r="C3015" t="s">
        <v>1922</v>
      </c>
      <c r="D3015" s="361">
        <v>1</v>
      </c>
      <c r="E3015" s="364"/>
      <c r="F3015" s="361" t="s">
        <v>1917</v>
      </c>
      <c r="T3015" s="361">
        <v>5.95</v>
      </c>
    </row>
    <row r="3016" spans="1:20" x14ac:dyDescent="0.25">
      <c r="A3016" s="364" t="s">
        <v>1624</v>
      </c>
      <c r="B3016" s="361" t="s">
        <v>1625</v>
      </c>
      <c r="C3016" t="s">
        <v>1922</v>
      </c>
      <c r="D3016" s="361">
        <v>1</v>
      </c>
      <c r="E3016" s="364"/>
      <c r="F3016" s="361" t="s">
        <v>1917</v>
      </c>
      <c r="T3016" s="361">
        <v>31.4</v>
      </c>
    </row>
    <row r="3017" spans="1:20" x14ac:dyDescent="0.25">
      <c r="A3017" s="364" t="s">
        <v>1626</v>
      </c>
      <c r="B3017" s="361" t="s">
        <v>1627</v>
      </c>
      <c r="C3017" t="s">
        <v>1922</v>
      </c>
      <c r="D3017" s="361">
        <v>1</v>
      </c>
      <c r="E3017" s="364"/>
      <c r="F3017" s="361" t="s">
        <v>1917</v>
      </c>
      <c r="T3017" s="361">
        <v>7.9</v>
      </c>
    </row>
    <row r="3018" spans="1:20" x14ac:dyDescent="0.25">
      <c r="A3018" s="364" t="s">
        <v>6393</v>
      </c>
      <c r="B3018" s="361" t="s">
        <v>6394</v>
      </c>
      <c r="C3018">
        <v>0</v>
      </c>
      <c r="D3018" s="361">
        <v>1</v>
      </c>
      <c r="E3018" s="364"/>
      <c r="F3018" s="361" t="s">
        <v>1917</v>
      </c>
      <c r="T3018" s="361">
        <v>250.75405000000001</v>
      </c>
    </row>
    <row r="3019" spans="1:20" x14ac:dyDescent="0.25">
      <c r="A3019" s="364" t="s">
        <v>1628</v>
      </c>
      <c r="B3019" s="361" t="s">
        <v>1629</v>
      </c>
      <c r="C3019" t="s">
        <v>1922</v>
      </c>
      <c r="D3019" s="361">
        <v>1</v>
      </c>
      <c r="E3019" s="364"/>
      <c r="F3019" s="361" t="s">
        <v>1917</v>
      </c>
      <c r="T3019" s="361">
        <v>108.22</v>
      </c>
    </row>
    <row r="3020" spans="1:20" x14ac:dyDescent="0.25">
      <c r="A3020" s="364" t="s">
        <v>6395</v>
      </c>
      <c r="B3020" s="361" t="s">
        <v>6396</v>
      </c>
      <c r="C3020" t="s">
        <v>1920</v>
      </c>
      <c r="D3020" s="361">
        <v>12</v>
      </c>
      <c r="E3020" s="364"/>
      <c r="F3020" s="361" t="s">
        <v>2201</v>
      </c>
      <c r="T3020" s="361">
        <v>42.11956</v>
      </c>
    </row>
    <row r="3021" spans="1:20" x14ac:dyDescent="0.25">
      <c r="A3021" s="364" t="s">
        <v>1630</v>
      </c>
      <c r="B3021" s="361" t="s">
        <v>1631</v>
      </c>
      <c r="C3021" t="s">
        <v>1922</v>
      </c>
      <c r="D3021" s="361">
        <v>1</v>
      </c>
      <c r="E3021" s="364"/>
      <c r="F3021" s="361" t="s">
        <v>1917</v>
      </c>
      <c r="T3021" s="361">
        <v>7.8</v>
      </c>
    </row>
    <row r="3022" spans="1:20" x14ac:dyDescent="0.25">
      <c r="A3022" s="364" t="s">
        <v>6397</v>
      </c>
      <c r="B3022" s="361" t="s">
        <v>6398</v>
      </c>
      <c r="C3022" t="s">
        <v>1920</v>
      </c>
      <c r="D3022" s="361" t="s">
        <v>6386</v>
      </c>
      <c r="E3022" s="364"/>
      <c r="F3022" s="361" t="s">
        <v>2201</v>
      </c>
      <c r="T3022" s="361">
        <v>39.25</v>
      </c>
    </row>
    <row r="3023" spans="1:20" x14ac:dyDescent="0.25">
      <c r="A3023" s="364" t="s">
        <v>6399</v>
      </c>
      <c r="B3023" s="361" t="s">
        <v>6400</v>
      </c>
      <c r="C3023" t="s">
        <v>1920</v>
      </c>
      <c r="D3023" s="361">
        <v>11</v>
      </c>
      <c r="E3023" s="364"/>
      <c r="F3023" s="361" t="s">
        <v>2201</v>
      </c>
      <c r="T3023" s="361">
        <v>90.340649999999997</v>
      </c>
    </row>
    <row r="3024" spans="1:20" x14ac:dyDescent="0.25">
      <c r="A3024" s="364" t="s">
        <v>1632</v>
      </c>
      <c r="B3024" s="361" t="s">
        <v>1633</v>
      </c>
      <c r="C3024" t="s">
        <v>1922</v>
      </c>
      <c r="D3024" s="361">
        <v>1</v>
      </c>
      <c r="E3024" s="364"/>
      <c r="F3024" s="361" t="s">
        <v>1917</v>
      </c>
      <c r="T3024" s="361">
        <v>12</v>
      </c>
    </row>
    <row r="3025" spans="1:20" x14ac:dyDescent="0.25">
      <c r="A3025" s="364" t="s">
        <v>6401</v>
      </c>
      <c r="B3025" s="361" t="s">
        <v>6402</v>
      </c>
      <c r="C3025" t="s">
        <v>1920</v>
      </c>
      <c r="D3025" s="361">
        <v>16</v>
      </c>
      <c r="E3025" s="364"/>
      <c r="F3025" s="361" t="s">
        <v>1917</v>
      </c>
      <c r="T3025" s="361">
        <v>8.24</v>
      </c>
    </row>
    <row r="3026" spans="1:20" x14ac:dyDescent="0.25">
      <c r="A3026" s="364" t="s">
        <v>1634</v>
      </c>
      <c r="B3026" s="361" t="s">
        <v>1635</v>
      </c>
      <c r="C3026" t="s">
        <v>1922</v>
      </c>
      <c r="D3026" s="361">
        <v>33</v>
      </c>
      <c r="E3026" s="364"/>
      <c r="F3026" s="361" t="s">
        <v>2201</v>
      </c>
      <c r="T3026" s="361">
        <v>3455.24</v>
      </c>
    </row>
    <row r="3027" spans="1:20" x14ac:dyDescent="0.25">
      <c r="A3027" s="364" t="s">
        <v>6403</v>
      </c>
      <c r="B3027" s="361" t="s">
        <v>6404</v>
      </c>
      <c r="C3027" t="s">
        <v>1920</v>
      </c>
      <c r="D3027" s="361">
        <v>12</v>
      </c>
      <c r="E3027" s="364"/>
      <c r="F3027" s="361" t="s">
        <v>2201</v>
      </c>
      <c r="T3027" s="361">
        <v>50.088329999999999</v>
      </c>
    </row>
    <row r="3028" spans="1:20" x14ac:dyDescent="0.25">
      <c r="A3028" s="364" t="s">
        <v>6405</v>
      </c>
      <c r="B3028" s="361" t="s">
        <v>6406</v>
      </c>
      <c r="C3028" t="s">
        <v>1920</v>
      </c>
      <c r="D3028" s="361">
        <v>11</v>
      </c>
      <c r="E3028" s="364"/>
      <c r="F3028" s="361" t="s">
        <v>2201</v>
      </c>
      <c r="T3028" s="361">
        <v>196.89</v>
      </c>
    </row>
    <row r="3029" spans="1:20" x14ac:dyDescent="0.25">
      <c r="A3029" s="364" t="s">
        <v>6407</v>
      </c>
      <c r="B3029" s="361" t="s">
        <v>6408</v>
      </c>
      <c r="C3029" t="s">
        <v>1920</v>
      </c>
      <c r="D3029" s="361">
        <v>12</v>
      </c>
      <c r="E3029" s="364"/>
      <c r="F3029" s="361" t="s">
        <v>2201</v>
      </c>
      <c r="T3029" s="361">
        <v>124.05</v>
      </c>
    </row>
    <row r="3030" spans="1:20" x14ac:dyDescent="0.25">
      <c r="A3030" s="364" t="s">
        <v>6409</v>
      </c>
      <c r="B3030" s="361" t="s">
        <v>6410</v>
      </c>
      <c r="C3030" t="s">
        <v>1920</v>
      </c>
      <c r="D3030" s="361">
        <v>11</v>
      </c>
      <c r="E3030" s="364"/>
      <c r="F3030" s="361" t="s">
        <v>2201</v>
      </c>
      <c r="T3030" s="361">
        <v>434.27199999999999</v>
      </c>
    </row>
    <row r="3031" spans="1:20" x14ac:dyDescent="0.25">
      <c r="A3031" s="364" t="s">
        <v>6411</v>
      </c>
      <c r="B3031" s="361" t="s">
        <v>6412</v>
      </c>
      <c r="C3031" t="s">
        <v>1920</v>
      </c>
      <c r="D3031" s="361">
        <v>15</v>
      </c>
      <c r="E3031" s="364"/>
      <c r="F3031" s="361" t="s">
        <v>1917</v>
      </c>
      <c r="T3031" s="361">
        <v>44.84</v>
      </c>
    </row>
    <row r="3032" spans="1:20" x14ac:dyDescent="0.25">
      <c r="A3032" s="364" t="s">
        <v>6413</v>
      </c>
      <c r="B3032" s="361" t="s">
        <v>6414</v>
      </c>
      <c r="C3032" t="s">
        <v>1920</v>
      </c>
      <c r="D3032" s="361">
        <v>16</v>
      </c>
      <c r="E3032" s="364"/>
      <c r="F3032" s="361" t="s">
        <v>1917</v>
      </c>
      <c r="T3032" s="361">
        <v>4.2</v>
      </c>
    </row>
    <row r="3033" spans="1:20" x14ac:dyDescent="0.25">
      <c r="A3033" s="364" t="s">
        <v>6415</v>
      </c>
      <c r="B3033" s="361" t="s">
        <v>6416</v>
      </c>
      <c r="C3033" t="s">
        <v>1920</v>
      </c>
      <c r="D3033" s="361" t="s">
        <v>6381</v>
      </c>
      <c r="E3033" s="364"/>
      <c r="F3033" s="361" t="s">
        <v>2201</v>
      </c>
      <c r="T3033" s="361">
        <v>1921.4</v>
      </c>
    </row>
    <row r="3034" spans="1:20" x14ac:dyDescent="0.25">
      <c r="A3034" s="364" t="s">
        <v>6417</v>
      </c>
      <c r="B3034" s="361" t="s">
        <v>6418</v>
      </c>
      <c r="C3034">
        <v>2</v>
      </c>
      <c r="D3034" s="361">
        <v>33</v>
      </c>
      <c r="E3034" s="364"/>
      <c r="F3034" s="361" t="s">
        <v>1921</v>
      </c>
      <c r="T3034" s="361">
        <v>6.24</v>
      </c>
    </row>
    <row r="3035" spans="1:20" x14ac:dyDescent="0.25">
      <c r="A3035" s="364" t="s">
        <v>6419</v>
      </c>
      <c r="B3035" s="361" t="s">
        <v>6420</v>
      </c>
      <c r="C3035">
        <v>2</v>
      </c>
      <c r="D3035" s="361">
        <v>96</v>
      </c>
      <c r="E3035" s="364"/>
      <c r="F3035" s="361" t="s">
        <v>1921</v>
      </c>
      <c r="T3035" s="361">
        <v>26.78</v>
      </c>
    </row>
    <row r="3036" spans="1:20" x14ac:dyDescent="0.25">
      <c r="A3036" s="364" t="s">
        <v>6421</v>
      </c>
      <c r="B3036" s="361" t="s">
        <v>6422</v>
      </c>
      <c r="C3036" t="s">
        <v>1920</v>
      </c>
      <c r="D3036" s="361">
        <v>33</v>
      </c>
      <c r="E3036" s="364"/>
      <c r="F3036" s="361" t="s">
        <v>2201</v>
      </c>
      <c r="T3036" s="361">
        <v>39.930999999999997</v>
      </c>
    </row>
    <row r="3037" spans="1:20" x14ac:dyDescent="0.25">
      <c r="A3037" s="364" t="s">
        <v>6423</v>
      </c>
      <c r="B3037" s="361" t="s">
        <v>6424</v>
      </c>
      <c r="C3037" t="s">
        <v>1920</v>
      </c>
      <c r="D3037" s="361">
        <v>10</v>
      </c>
      <c r="E3037" s="364"/>
      <c r="F3037" s="361" t="s">
        <v>2201</v>
      </c>
      <c r="T3037" s="361">
        <v>105.20089</v>
      </c>
    </row>
    <row r="3038" spans="1:20" x14ac:dyDescent="0.25">
      <c r="A3038" s="364" t="s">
        <v>6425</v>
      </c>
      <c r="B3038" s="361" t="s">
        <v>6426</v>
      </c>
      <c r="C3038" t="s">
        <v>1920</v>
      </c>
      <c r="D3038" s="361">
        <v>12</v>
      </c>
      <c r="E3038" s="364"/>
      <c r="F3038" s="361" t="s">
        <v>2201</v>
      </c>
      <c r="T3038" s="361">
        <v>47.2104</v>
      </c>
    </row>
    <row r="3039" spans="1:20" x14ac:dyDescent="0.25">
      <c r="A3039" s="364" t="s">
        <v>6427</v>
      </c>
      <c r="B3039" s="361" t="s">
        <v>6428</v>
      </c>
      <c r="C3039">
        <v>2</v>
      </c>
      <c r="D3039" s="361">
        <v>96</v>
      </c>
      <c r="E3039" s="364"/>
      <c r="F3039" s="361" t="s">
        <v>1921</v>
      </c>
      <c r="T3039" s="361">
        <v>11.5</v>
      </c>
    </row>
    <row r="3040" spans="1:20" x14ac:dyDescent="0.25">
      <c r="A3040" s="364" t="s">
        <v>6429</v>
      </c>
      <c r="B3040" s="361" t="s">
        <v>6430</v>
      </c>
      <c r="C3040">
        <v>2</v>
      </c>
      <c r="D3040" s="361">
        <v>96</v>
      </c>
      <c r="E3040" s="364"/>
      <c r="F3040" s="361" t="s">
        <v>1921</v>
      </c>
      <c r="T3040" s="361">
        <v>11.35</v>
      </c>
    </row>
    <row r="3041" spans="1:20" x14ac:dyDescent="0.25">
      <c r="A3041" s="364" t="s">
        <v>6431</v>
      </c>
      <c r="B3041" s="361" t="s">
        <v>6432</v>
      </c>
      <c r="C3041">
        <v>2</v>
      </c>
      <c r="D3041" s="361">
        <v>96</v>
      </c>
      <c r="E3041" s="364"/>
      <c r="F3041" s="361" t="s">
        <v>1921</v>
      </c>
      <c r="T3041" s="361">
        <v>15</v>
      </c>
    </row>
    <row r="3042" spans="1:20" x14ac:dyDescent="0.25">
      <c r="A3042" s="364" t="s">
        <v>6433</v>
      </c>
      <c r="B3042" s="361" t="s">
        <v>6434</v>
      </c>
      <c r="C3042">
        <v>2</v>
      </c>
      <c r="D3042" s="361">
        <v>96</v>
      </c>
      <c r="E3042" s="364"/>
      <c r="F3042" s="361" t="s">
        <v>1921</v>
      </c>
      <c r="T3042" s="361">
        <v>15.5</v>
      </c>
    </row>
    <row r="3043" spans="1:20" x14ac:dyDescent="0.25">
      <c r="A3043" s="364" t="s">
        <v>6435</v>
      </c>
      <c r="B3043" s="361" t="s">
        <v>6436</v>
      </c>
      <c r="C3043" t="s">
        <v>1920</v>
      </c>
      <c r="D3043" s="361">
        <v>27</v>
      </c>
      <c r="E3043" s="364"/>
      <c r="F3043" s="361" t="s">
        <v>2201</v>
      </c>
      <c r="T3043" s="361">
        <v>727</v>
      </c>
    </row>
    <row r="3044" spans="1:20" x14ac:dyDescent="0.25">
      <c r="A3044" s="364" t="s">
        <v>6437</v>
      </c>
      <c r="B3044" s="361" t="s">
        <v>6438</v>
      </c>
      <c r="C3044" t="s">
        <v>1920</v>
      </c>
      <c r="D3044" s="361">
        <v>27</v>
      </c>
      <c r="E3044" s="364"/>
      <c r="F3044" s="361" t="s">
        <v>2201</v>
      </c>
      <c r="T3044" s="361">
        <v>622.12</v>
      </c>
    </row>
    <row r="3045" spans="1:20" x14ac:dyDescent="0.25">
      <c r="A3045" s="364" t="s">
        <v>6439</v>
      </c>
      <c r="B3045" s="361" t="s">
        <v>6440</v>
      </c>
      <c r="C3045">
        <v>2</v>
      </c>
      <c r="D3045" s="361">
        <v>96</v>
      </c>
      <c r="E3045" s="364"/>
      <c r="F3045" s="361" t="s">
        <v>1921</v>
      </c>
      <c r="T3045" s="361">
        <v>24.5</v>
      </c>
    </row>
    <row r="3046" spans="1:20" x14ac:dyDescent="0.25">
      <c r="A3046" s="364" t="s">
        <v>6441</v>
      </c>
      <c r="B3046" s="361" t="s">
        <v>6442</v>
      </c>
      <c r="C3046">
        <v>2</v>
      </c>
      <c r="D3046" s="361">
        <v>33</v>
      </c>
      <c r="E3046" s="364"/>
      <c r="F3046" s="361" t="s">
        <v>2201</v>
      </c>
      <c r="T3046" s="361">
        <v>1.0000000000000001E-5</v>
      </c>
    </row>
    <row r="3047" spans="1:20" x14ac:dyDescent="0.25">
      <c r="A3047" s="364" t="s">
        <v>6443</v>
      </c>
      <c r="B3047" s="361" t="s">
        <v>6444</v>
      </c>
      <c r="C3047">
        <v>2</v>
      </c>
      <c r="D3047" s="361">
        <v>96</v>
      </c>
      <c r="E3047" s="364"/>
      <c r="F3047" s="361" t="s">
        <v>1921</v>
      </c>
      <c r="T3047" s="361">
        <v>40.83</v>
      </c>
    </row>
    <row r="3048" spans="1:20" x14ac:dyDescent="0.25">
      <c r="A3048" s="364" t="s">
        <v>6445</v>
      </c>
      <c r="B3048" s="361" t="s">
        <v>6446</v>
      </c>
      <c r="C3048">
        <v>2</v>
      </c>
      <c r="D3048" s="361">
        <v>96</v>
      </c>
      <c r="E3048" s="364"/>
      <c r="F3048" s="361" t="s">
        <v>1921</v>
      </c>
      <c r="T3048" s="361">
        <v>25.23</v>
      </c>
    </row>
    <row r="3049" spans="1:20" x14ac:dyDescent="0.25">
      <c r="A3049" s="364" t="s">
        <v>6447</v>
      </c>
      <c r="B3049" s="361" t="s">
        <v>6448</v>
      </c>
      <c r="C3049">
        <v>2</v>
      </c>
      <c r="D3049" s="361">
        <v>96</v>
      </c>
      <c r="E3049" s="364"/>
      <c r="F3049" s="361" t="s">
        <v>1921</v>
      </c>
      <c r="T3049" s="361">
        <v>145.66</v>
      </c>
    </row>
    <row r="3050" spans="1:20" x14ac:dyDescent="0.25">
      <c r="A3050" s="364" t="s">
        <v>6449</v>
      </c>
      <c r="B3050" s="361" t="s">
        <v>6450</v>
      </c>
      <c r="C3050">
        <v>2</v>
      </c>
      <c r="D3050" s="361">
        <v>96</v>
      </c>
      <c r="E3050" s="364"/>
      <c r="F3050" s="361" t="s">
        <v>1921</v>
      </c>
      <c r="T3050" s="361">
        <v>144.22999999999999</v>
      </c>
    </row>
    <row r="3051" spans="1:20" x14ac:dyDescent="0.25">
      <c r="A3051" s="364" t="s">
        <v>6451</v>
      </c>
      <c r="B3051" s="361" t="s">
        <v>6452</v>
      </c>
      <c r="C3051">
        <v>2</v>
      </c>
      <c r="D3051" s="361">
        <v>96</v>
      </c>
      <c r="E3051" s="364"/>
      <c r="F3051" s="361" t="s">
        <v>1921</v>
      </c>
      <c r="T3051" s="361">
        <v>160.4</v>
      </c>
    </row>
    <row r="3052" spans="1:20" x14ac:dyDescent="0.25">
      <c r="A3052" s="364" t="s">
        <v>6453</v>
      </c>
      <c r="B3052" s="361" t="s">
        <v>6454</v>
      </c>
      <c r="C3052">
        <v>2</v>
      </c>
      <c r="D3052" s="361">
        <v>96</v>
      </c>
      <c r="E3052" s="364"/>
      <c r="F3052" s="361" t="s">
        <v>1921</v>
      </c>
      <c r="T3052" s="361">
        <v>46.37</v>
      </c>
    </row>
    <row r="3053" spans="1:20" x14ac:dyDescent="0.25">
      <c r="A3053" s="364" t="s">
        <v>6455</v>
      </c>
      <c r="B3053" s="361" t="s">
        <v>6456</v>
      </c>
      <c r="C3053">
        <v>2</v>
      </c>
      <c r="D3053" s="361">
        <v>96</v>
      </c>
      <c r="E3053" s="364"/>
      <c r="F3053" s="361" t="s">
        <v>1921</v>
      </c>
      <c r="T3053" s="361">
        <v>66.599999999999994</v>
      </c>
    </row>
    <row r="3054" spans="1:20" x14ac:dyDescent="0.25">
      <c r="A3054" s="364" t="s">
        <v>6457</v>
      </c>
      <c r="B3054" s="361" t="s">
        <v>6458</v>
      </c>
      <c r="C3054">
        <v>2</v>
      </c>
      <c r="D3054" s="361">
        <v>96</v>
      </c>
      <c r="E3054" s="364"/>
      <c r="F3054" s="361" t="s">
        <v>1921</v>
      </c>
      <c r="T3054" s="361">
        <v>69.66</v>
      </c>
    </row>
    <row r="3055" spans="1:20" x14ac:dyDescent="0.25">
      <c r="A3055" s="364" t="s">
        <v>6459</v>
      </c>
      <c r="B3055" s="361" t="s">
        <v>6460</v>
      </c>
      <c r="C3055">
        <v>2</v>
      </c>
      <c r="D3055" s="361">
        <v>97</v>
      </c>
      <c r="E3055" s="364"/>
      <c r="F3055" s="361" t="s">
        <v>1921</v>
      </c>
      <c r="T3055" s="361">
        <v>1111</v>
      </c>
    </row>
    <row r="3056" spans="1:20" x14ac:dyDescent="0.25">
      <c r="A3056" s="364" t="s">
        <v>6461</v>
      </c>
      <c r="B3056" s="361" t="s">
        <v>6462</v>
      </c>
      <c r="C3056">
        <v>2</v>
      </c>
      <c r="D3056" s="361">
        <v>33</v>
      </c>
      <c r="E3056" s="364"/>
      <c r="F3056" s="361" t="s">
        <v>1921</v>
      </c>
      <c r="T3056" s="361">
        <v>960</v>
      </c>
    </row>
    <row r="3057" spans="1:20" x14ac:dyDescent="0.25">
      <c r="A3057" s="364" t="s">
        <v>6463</v>
      </c>
      <c r="B3057" s="361" t="s">
        <v>6464</v>
      </c>
      <c r="C3057">
        <v>2</v>
      </c>
      <c r="D3057" s="361">
        <v>97</v>
      </c>
      <c r="E3057" s="364"/>
      <c r="F3057" s="361" t="s">
        <v>1921</v>
      </c>
      <c r="T3057" s="361">
        <v>1169</v>
      </c>
    </row>
    <row r="3058" spans="1:20" x14ac:dyDescent="0.25">
      <c r="A3058" s="364" t="s">
        <v>6465</v>
      </c>
      <c r="B3058" s="361" t="s">
        <v>6466</v>
      </c>
      <c r="C3058">
        <v>2</v>
      </c>
      <c r="D3058" s="361">
        <v>97</v>
      </c>
      <c r="E3058" s="364"/>
      <c r="F3058" s="361" t="s">
        <v>1921</v>
      </c>
      <c r="T3058" s="361">
        <v>41.6</v>
      </c>
    </row>
    <row r="3059" spans="1:20" x14ac:dyDescent="0.25">
      <c r="A3059" s="364" t="s">
        <v>6467</v>
      </c>
      <c r="B3059" s="361" t="s">
        <v>6468</v>
      </c>
      <c r="C3059">
        <v>2</v>
      </c>
      <c r="D3059" s="361">
        <v>97</v>
      </c>
      <c r="E3059" s="364"/>
      <c r="F3059" s="361" t="s">
        <v>1921</v>
      </c>
      <c r="T3059" s="361">
        <v>1422.5</v>
      </c>
    </row>
    <row r="3060" spans="1:20" x14ac:dyDescent="0.25">
      <c r="A3060" s="364" t="s">
        <v>6469</v>
      </c>
      <c r="B3060" s="361" t="s">
        <v>6470</v>
      </c>
      <c r="C3060">
        <v>2</v>
      </c>
      <c r="D3060" s="361">
        <v>97</v>
      </c>
      <c r="E3060" s="364"/>
      <c r="F3060" s="361" t="s">
        <v>1921</v>
      </c>
      <c r="T3060" s="361">
        <v>40.15</v>
      </c>
    </row>
    <row r="3061" spans="1:20" x14ac:dyDescent="0.25">
      <c r="A3061" s="364" t="s">
        <v>6471</v>
      </c>
      <c r="B3061" s="361" t="s">
        <v>6472</v>
      </c>
      <c r="C3061" t="s">
        <v>1920</v>
      </c>
      <c r="D3061" s="361" t="s">
        <v>6381</v>
      </c>
      <c r="E3061" s="364"/>
      <c r="F3061" s="361" t="s">
        <v>2201</v>
      </c>
      <c r="T3061" s="361">
        <v>179</v>
      </c>
    </row>
    <row r="3062" spans="1:20" x14ac:dyDescent="0.25">
      <c r="A3062" s="364" t="s">
        <v>6473</v>
      </c>
      <c r="B3062" s="361" t="s">
        <v>6474</v>
      </c>
      <c r="C3062" t="s">
        <v>1920</v>
      </c>
      <c r="D3062" s="361" t="s">
        <v>6381</v>
      </c>
      <c r="E3062" s="364"/>
      <c r="F3062" s="361" t="s">
        <v>2201</v>
      </c>
      <c r="T3062" s="361">
        <v>63.725490000000001</v>
      </c>
    </row>
    <row r="3063" spans="1:20" x14ac:dyDescent="0.25">
      <c r="A3063" s="364" t="s">
        <v>6475</v>
      </c>
      <c r="B3063" s="361" t="s">
        <v>6476</v>
      </c>
      <c r="C3063" t="s">
        <v>1920</v>
      </c>
      <c r="D3063" s="361">
        <v>10</v>
      </c>
      <c r="E3063" s="364"/>
      <c r="F3063" s="361" t="s">
        <v>2201</v>
      </c>
      <c r="T3063" s="361">
        <v>196.5</v>
      </c>
    </row>
    <row r="3064" spans="1:20" x14ac:dyDescent="0.25">
      <c r="A3064" s="364" t="s">
        <v>6477</v>
      </c>
      <c r="B3064" s="361" t="s">
        <v>6478</v>
      </c>
      <c r="C3064" t="s">
        <v>1920</v>
      </c>
      <c r="D3064" s="361">
        <v>11</v>
      </c>
      <c r="E3064" s="364"/>
      <c r="F3064" s="361" t="s">
        <v>2201</v>
      </c>
      <c r="T3064" s="361">
        <v>101.89</v>
      </c>
    </row>
    <row r="3065" spans="1:20" x14ac:dyDescent="0.25">
      <c r="A3065" s="364" t="s">
        <v>6479</v>
      </c>
      <c r="B3065" s="361" t="s">
        <v>6480</v>
      </c>
      <c r="C3065" t="s">
        <v>2022</v>
      </c>
      <c r="D3065" s="361">
        <v>63</v>
      </c>
      <c r="E3065" s="364"/>
      <c r="F3065" s="361" t="s">
        <v>2201</v>
      </c>
      <c r="T3065" s="361">
        <v>1.4915099999999999</v>
      </c>
    </row>
    <row r="3066" spans="1:20" x14ac:dyDescent="0.25">
      <c r="A3066" s="364" t="s">
        <v>6481</v>
      </c>
      <c r="B3066" s="361" t="s">
        <v>6482</v>
      </c>
      <c r="C3066">
        <v>2</v>
      </c>
      <c r="D3066" s="361">
        <v>96</v>
      </c>
      <c r="E3066" s="364"/>
      <c r="F3066" s="361" t="s">
        <v>1921</v>
      </c>
      <c r="T3066" s="361">
        <v>26.3</v>
      </c>
    </row>
    <row r="3067" spans="1:20" x14ac:dyDescent="0.25">
      <c r="A3067" s="364" t="s">
        <v>1636</v>
      </c>
      <c r="B3067" s="361" t="s">
        <v>1637</v>
      </c>
      <c r="C3067" t="s">
        <v>1922</v>
      </c>
      <c r="D3067" s="361">
        <v>1</v>
      </c>
      <c r="E3067" s="364"/>
      <c r="F3067" s="361" t="s">
        <v>1917</v>
      </c>
      <c r="T3067" s="361">
        <v>23.15</v>
      </c>
    </row>
    <row r="3068" spans="1:20" x14ac:dyDescent="0.25">
      <c r="A3068" s="364" t="s">
        <v>1638</v>
      </c>
      <c r="B3068" s="361" t="s">
        <v>1639</v>
      </c>
      <c r="C3068" t="s">
        <v>1922</v>
      </c>
      <c r="D3068" s="361">
        <v>1</v>
      </c>
      <c r="E3068" s="364"/>
      <c r="F3068" s="361" t="s">
        <v>1917</v>
      </c>
      <c r="T3068" s="361">
        <v>24.91</v>
      </c>
    </row>
    <row r="3069" spans="1:20" x14ac:dyDescent="0.25">
      <c r="A3069" s="364" t="s">
        <v>277</v>
      </c>
      <c r="B3069" s="361" t="s">
        <v>1640</v>
      </c>
      <c r="C3069" t="s">
        <v>1922</v>
      </c>
      <c r="D3069" s="361">
        <v>1</v>
      </c>
      <c r="E3069" s="364"/>
      <c r="F3069" s="361" t="s">
        <v>1917</v>
      </c>
      <c r="T3069" s="361">
        <v>29.06</v>
      </c>
    </row>
    <row r="3070" spans="1:20" x14ac:dyDescent="0.25">
      <c r="A3070" s="364" t="s">
        <v>1641</v>
      </c>
      <c r="B3070" s="361" t="s">
        <v>1642</v>
      </c>
      <c r="C3070" t="s">
        <v>1916</v>
      </c>
      <c r="D3070" s="361">
        <v>2</v>
      </c>
      <c r="E3070" s="364"/>
      <c r="F3070" s="361" t="s">
        <v>1917</v>
      </c>
      <c r="T3070" s="361">
        <v>235</v>
      </c>
    </row>
    <row r="3071" spans="1:20" x14ac:dyDescent="0.25">
      <c r="A3071" s="364" t="s">
        <v>1643</v>
      </c>
      <c r="B3071" s="361" t="s">
        <v>1644</v>
      </c>
      <c r="C3071" t="s">
        <v>1916</v>
      </c>
      <c r="D3071" s="361">
        <v>2</v>
      </c>
      <c r="E3071" s="364"/>
      <c r="F3071" s="361" t="s">
        <v>1917</v>
      </c>
      <c r="T3071" s="361">
        <v>107.5</v>
      </c>
    </row>
    <row r="3072" spans="1:20" x14ac:dyDescent="0.25">
      <c r="A3072" s="364" t="s">
        <v>1645</v>
      </c>
      <c r="B3072" s="361" t="s">
        <v>1646</v>
      </c>
      <c r="C3072" t="s">
        <v>1922</v>
      </c>
      <c r="D3072" s="361">
        <v>1</v>
      </c>
      <c r="E3072" s="364"/>
      <c r="F3072" s="361" t="s">
        <v>1917</v>
      </c>
      <c r="T3072" s="361">
        <v>8.65</v>
      </c>
    </row>
    <row r="3073" spans="1:20" x14ac:dyDescent="0.25">
      <c r="A3073" s="364" t="s">
        <v>1647</v>
      </c>
      <c r="B3073" s="361" t="s">
        <v>1648</v>
      </c>
      <c r="C3073" t="s">
        <v>1922</v>
      </c>
      <c r="D3073" s="361">
        <v>1</v>
      </c>
      <c r="E3073" s="364"/>
      <c r="F3073" s="361" t="s">
        <v>1917</v>
      </c>
      <c r="T3073" s="361">
        <v>47.25</v>
      </c>
    </row>
    <row r="3074" spans="1:20" x14ac:dyDescent="0.25">
      <c r="A3074" s="364" t="s">
        <v>1649</v>
      </c>
      <c r="B3074" s="361" t="s">
        <v>1650</v>
      </c>
      <c r="C3074" t="s">
        <v>1922</v>
      </c>
      <c r="D3074" s="361">
        <v>1</v>
      </c>
      <c r="E3074" s="364"/>
      <c r="F3074" s="361" t="s">
        <v>1917</v>
      </c>
      <c r="T3074" s="361">
        <v>11.74</v>
      </c>
    </row>
    <row r="3075" spans="1:20" x14ac:dyDescent="0.25">
      <c r="A3075" s="364" t="s">
        <v>6483</v>
      </c>
      <c r="B3075" s="361" t="s">
        <v>6484</v>
      </c>
      <c r="C3075">
        <v>2</v>
      </c>
      <c r="D3075" s="361">
        <v>27</v>
      </c>
      <c r="E3075" s="364"/>
      <c r="F3075" s="361" t="s">
        <v>1921</v>
      </c>
      <c r="T3075" s="361">
        <v>1.24211</v>
      </c>
    </row>
    <row r="3076" spans="1:20" x14ac:dyDescent="0.25">
      <c r="A3076" s="364" t="s">
        <v>6485</v>
      </c>
      <c r="B3076" s="361" t="s">
        <v>6486</v>
      </c>
      <c r="C3076" t="s">
        <v>1920</v>
      </c>
      <c r="D3076" s="361">
        <v>26</v>
      </c>
      <c r="E3076" s="364"/>
      <c r="F3076" s="361" t="s">
        <v>1921</v>
      </c>
      <c r="T3076" s="361">
        <v>0.57599999999999996</v>
      </c>
    </row>
    <row r="3077" spans="1:20" x14ac:dyDescent="0.25">
      <c r="A3077" s="364" t="s">
        <v>6487</v>
      </c>
      <c r="B3077" s="361" t="s">
        <v>6488</v>
      </c>
      <c r="C3077" t="s">
        <v>1920</v>
      </c>
      <c r="D3077" s="361">
        <v>27</v>
      </c>
      <c r="E3077" s="364"/>
      <c r="F3077" s="361" t="s">
        <v>1921</v>
      </c>
      <c r="T3077" s="361">
        <v>0.39600000000000002</v>
      </c>
    </row>
    <row r="3078" spans="1:20" x14ac:dyDescent="0.25">
      <c r="A3078" s="364" t="s">
        <v>6489</v>
      </c>
      <c r="B3078" s="361" t="s">
        <v>6490</v>
      </c>
      <c r="C3078" t="s">
        <v>1920</v>
      </c>
      <c r="D3078" s="361">
        <v>56</v>
      </c>
      <c r="E3078" s="364"/>
      <c r="F3078" s="361" t="s">
        <v>1921</v>
      </c>
      <c r="T3078" s="361">
        <v>0.45400000000000001</v>
      </c>
    </row>
    <row r="3079" spans="1:20" x14ac:dyDescent="0.25">
      <c r="A3079" s="364" t="s">
        <v>6491</v>
      </c>
      <c r="B3079" s="361" t="s">
        <v>6492</v>
      </c>
      <c r="C3079" t="s">
        <v>1920</v>
      </c>
      <c r="D3079" s="361">
        <v>27</v>
      </c>
      <c r="E3079" s="364"/>
      <c r="F3079" s="361" t="s">
        <v>1921</v>
      </c>
      <c r="T3079" s="361">
        <v>0.70699999999999996</v>
      </c>
    </row>
    <row r="3080" spans="1:20" x14ac:dyDescent="0.25">
      <c r="A3080" s="364" t="s">
        <v>6493</v>
      </c>
      <c r="B3080" s="361" t="s">
        <v>6494</v>
      </c>
      <c r="C3080" t="s">
        <v>1920</v>
      </c>
      <c r="D3080" s="361">
        <v>27</v>
      </c>
      <c r="E3080" s="364"/>
      <c r="F3080" s="361" t="s">
        <v>1921</v>
      </c>
      <c r="T3080" s="361">
        <v>0.31900000000000001</v>
      </c>
    </row>
    <row r="3081" spans="1:20" x14ac:dyDescent="0.25">
      <c r="A3081" s="364" t="s">
        <v>6495</v>
      </c>
      <c r="B3081" s="361" t="s">
        <v>6496</v>
      </c>
      <c r="C3081" t="s">
        <v>1920</v>
      </c>
      <c r="D3081" s="361">
        <v>27</v>
      </c>
      <c r="E3081" s="364"/>
      <c r="F3081" s="361" t="s">
        <v>1921</v>
      </c>
      <c r="T3081" s="361">
        <v>0.62</v>
      </c>
    </row>
    <row r="3082" spans="1:20" x14ac:dyDescent="0.25">
      <c r="A3082" s="364" t="s">
        <v>6497</v>
      </c>
      <c r="B3082" s="361" t="s">
        <v>6498</v>
      </c>
      <c r="C3082" t="s">
        <v>1920</v>
      </c>
      <c r="D3082" s="361">
        <v>27</v>
      </c>
      <c r="E3082" s="364"/>
      <c r="F3082" s="361" t="s">
        <v>1921</v>
      </c>
      <c r="T3082" s="361">
        <v>0.67200000000000004</v>
      </c>
    </row>
    <row r="3083" spans="1:20" x14ac:dyDescent="0.25">
      <c r="A3083" s="364" t="s">
        <v>6499</v>
      </c>
      <c r="B3083" s="361" t="s">
        <v>6500</v>
      </c>
      <c r="C3083" t="s">
        <v>1920</v>
      </c>
      <c r="D3083" s="361">
        <v>27</v>
      </c>
      <c r="E3083" s="364"/>
      <c r="F3083" s="361" t="s">
        <v>1921</v>
      </c>
      <c r="T3083" s="361">
        <v>1.109</v>
      </c>
    </row>
    <row r="3084" spans="1:20" x14ac:dyDescent="0.25">
      <c r="A3084" s="364" t="s">
        <v>6501</v>
      </c>
      <c r="B3084" s="361" t="s">
        <v>6502</v>
      </c>
      <c r="C3084" t="s">
        <v>1920</v>
      </c>
      <c r="D3084" s="361">
        <v>27</v>
      </c>
      <c r="E3084" s="364"/>
      <c r="F3084" s="361" t="s">
        <v>1921</v>
      </c>
      <c r="T3084" s="361">
        <v>0.70899999999999996</v>
      </c>
    </row>
    <row r="3085" spans="1:20" x14ac:dyDescent="0.25">
      <c r="A3085" s="364" t="s">
        <v>6503</v>
      </c>
      <c r="B3085" s="361" t="s">
        <v>6504</v>
      </c>
      <c r="C3085" t="s">
        <v>1920</v>
      </c>
      <c r="D3085" s="361">
        <v>27</v>
      </c>
      <c r="E3085" s="364"/>
      <c r="F3085" s="361" t="s">
        <v>1921</v>
      </c>
      <c r="T3085" s="361">
        <v>0.73899999999999999</v>
      </c>
    </row>
    <row r="3086" spans="1:20" x14ac:dyDescent="0.25">
      <c r="A3086" s="364" t="s">
        <v>6505</v>
      </c>
      <c r="B3086" s="361" t="s">
        <v>6506</v>
      </c>
      <c r="C3086" t="s">
        <v>1920</v>
      </c>
      <c r="D3086" s="361">
        <v>27</v>
      </c>
      <c r="E3086" s="364"/>
      <c r="F3086" s="361" t="s">
        <v>1921</v>
      </c>
      <c r="T3086" s="361">
        <v>1.6359999999999999</v>
      </c>
    </row>
    <row r="3087" spans="1:20" x14ac:dyDescent="0.25">
      <c r="A3087" s="364" t="s">
        <v>424</v>
      </c>
      <c r="B3087" s="361" t="s">
        <v>6507</v>
      </c>
      <c r="C3087" t="s">
        <v>1920</v>
      </c>
      <c r="D3087" s="361">
        <v>27</v>
      </c>
      <c r="E3087" s="364"/>
      <c r="F3087" s="361" t="s">
        <v>1921</v>
      </c>
      <c r="T3087" s="361">
        <v>0.64900000000000002</v>
      </c>
    </row>
    <row r="3088" spans="1:20" x14ac:dyDescent="0.25">
      <c r="A3088" s="364" t="s">
        <v>419</v>
      </c>
      <c r="B3088" s="361" t="s">
        <v>6508</v>
      </c>
      <c r="C3088" t="s">
        <v>1920</v>
      </c>
      <c r="D3088" s="361">
        <v>27</v>
      </c>
      <c r="E3088" s="364"/>
      <c r="F3088" s="361" t="s">
        <v>1921</v>
      </c>
      <c r="T3088" s="361">
        <v>0.746</v>
      </c>
    </row>
    <row r="3089" spans="1:20" x14ac:dyDescent="0.25">
      <c r="A3089" s="364" t="s">
        <v>6509</v>
      </c>
      <c r="B3089" s="361" t="s">
        <v>6510</v>
      </c>
      <c r="C3089" t="s">
        <v>1920</v>
      </c>
      <c r="D3089" s="361">
        <v>27</v>
      </c>
      <c r="E3089" s="364"/>
      <c r="F3089" s="361" t="s">
        <v>1921</v>
      </c>
      <c r="T3089" s="361">
        <v>0.84699999999999998</v>
      </c>
    </row>
    <row r="3090" spans="1:20" x14ac:dyDescent="0.25">
      <c r="A3090" s="364" t="s">
        <v>6511</v>
      </c>
      <c r="B3090" s="361" t="s">
        <v>6512</v>
      </c>
      <c r="C3090" t="s">
        <v>1920</v>
      </c>
      <c r="D3090" s="361">
        <v>27</v>
      </c>
      <c r="E3090" s="364"/>
      <c r="F3090" s="361" t="s">
        <v>1921</v>
      </c>
      <c r="T3090" s="361">
        <v>0.79600000000000004</v>
      </c>
    </row>
    <row r="3091" spans="1:20" x14ac:dyDescent="0.25">
      <c r="A3091" s="364" t="s">
        <v>6513</v>
      </c>
      <c r="B3091" s="361" t="s">
        <v>6514</v>
      </c>
      <c r="C3091" t="s">
        <v>1920</v>
      </c>
      <c r="D3091" s="361">
        <v>27</v>
      </c>
      <c r="E3091" s="364"/>
      <c r="F3091" s="361" t="s">
        <v>1921</v>
      </c>
      <c r="T3091" s="361">
        <v>1.1548700000000001</v>
      </c>
    </row>
    <row r="3092" spans="1:20" x14ac:dyDescent="0.25">
      <c r="A3092" s="364" t="s">
        <v>149</v>
      </c>
      <c r="B3092" s="361" t="s">
        <v>1651</v>
      </c>
      <c r="C3092" t="s">
        <v>1922</v>
      </c>
      <c r="D3092" s="361">
        <v>1</v>
      </c>
      <c r="E3092" s="364"/>
      <c r="F3092" s="361" t="s">
        <v>1917</v>
      </c>
      <c r="T3092" s="361">
        <v>4.3499999999999996</v>
      </c>
    </row>
    <row r="3093" spans="1:20" x14ac:dyDescent="0.25">
      <c r="A3093" s="364" t="s">
        <v>1652</v>
      </c>
      <c r="B3093" s="361" t="s">
        <v>1653</v>
      </c>
      <c r="C3093" t="s">
        <v>1922</v>
      </c>
      <c r="D3093" s="361">
        <v>1</v>
      </c>
      <c r="E3093" s="364"/>
      <c r="F3093" s="361" t="s">
        <v>1917</v>
      </c>
      <c r="T3093" s="361">
        <v>19.7</v>
      </c>
    </row>
    <row r="3094" spans="1:20" x14ac:dyDescent="0.25">
      <c r="A3094" s="364" t="s">
        <v>1654</v>
      </c>
      <c r="B3094" s="361" t="s">
        <v>1655</v>
      </c>
      <c r="C3094" t="s">
        <v>1916</v>
      </c>
      <c r="D3094" s="361">
        <v>2</v>
      </c>
      <c r="E3094" s="364"/>
      <c r="F3094" s="361" t="s">
        <v>1917</v>
      </c>
      <c r="T3094" s="361">
        <v>6.24</v>
      </c>
    </row>
    <row r="3095" spans="1:20" x14ac:dyDescent="0.25">
      <c r="A3095" s="364" t="s">
        <v>1656</v>
      </c>
      <c r="B3095" s="361" t="s">
        <v>1657</v>
      </c>
      <c r="C3095" t="s">
        <v>1922</v>
      </c>
      <c r="D3095" s="361">
        <v>1</v>
      </c>
      <c r="E3095" s="364"/>
      <c r="F3095" s="361" t="s">
        <v>1917</v>
      </c>
      <c r="T3095" s="361">
        <v>42.6</v>
      </c>
    </row>
    <row r="3096" spans="1:20" x14ac:dyDescent="0.25">
      <c r="A3096" s="364" t="s">
        <v>1658</v>
      </c>
      <c r="B3096" s="361" t="s">
        <v>710</v>
      </c>
      <c r="C3096" t="s">
        <v>1922</v>
      </c>
      <c r="D3096" s="361">
        <v>1</v>
      </c>
      <c r="E3096" s="364"/>
      <c r="F3096" s="361" t="s">
        <v>1917</v>
      </c>
      <c r="T3096" s="361">
        <v>6.43</v>
      </c>
    </row>
    <row r="3097" spans="1:20" x14ac:dyDescent="0.25">
      <c r="A3097" s="364" t="s">
        <v>1659</v>
      </c>
      <c r="B3097" s="361" t="s">
        <v>1660</v>
      </c>
      <c r="C3097" t="s">
        <v>1916</v>
      </c>
      <c r="D3097" s="361">
        <v>2</v>
      </c>
      <c r="E3097" s="364"/>
      <c r="F3097" s="361" t="s">
        <v>1917</v>
      </c>
      <c r="T3097" s="361">
        <v>22</v>
      </c>
    </row>
    <row r="3098" spans="1:20" x14ac:dyDescent="0.25">
      <c r="A3098" s="364" t="s">
        <v>1661</v>
      </c>
      <c r="B3098" s="361" t="s">
        <v>1662</v>
      </c>
      <c r="C3098" t="s">
        <v>1922</v>
      </c>
      <c r="D3098" s="361">
        <v>1</v>
      </c>
      <c r="E3098" s="364"/>
      <c r="F3098" s="361" t="s">
        <v>1917</v>
      </c>
      <c r="T3098" s="361">
        <v>5.25</v>
      </c>
    </row>
    <row r="3099" spans="1:20" x14ac:dyDescent="0.25">
      <c r="A3099" s="364" t="s">
        <v>1663</v>
      </c>
      <c r="B3099" s="361" t="s">
        <v>785</v>
      </c>
      <c r="C3099" t="s">
        <v>1922</v>
      </c>
      <c r="D3099" s="361">
        <v>1</v>
      </c>
      <c r="E3099" s="364"/>
      <c r="F3099" s="361" t="s">
        <v>1917</v>
      </c>
      <c r="T3099" s="361">
        <v>25.8</v>
      </c>
    </row>
    <row r="3100" spans="1:20" x14ac:dyDescent="0.25">
      <c r="A3100" s="364" t="s">
        <v>1664</v>
      </c>
      <c r="B3100" s="361" t="s">
        <v>1665</v>
      </c>
      <c r="C3100" t="s">
        <v>1922</v>
      </c>
      <c r="D3100" s="361">
        <v>1</v>
      </c>
      <c r="E3100" s="364"/>
      <c r="F3100" s="361" t="s">
        <v>1917</v>
      </c>
      <c r="T3100" s="361">
        <v>19.7</v>
      </c>
    </row>
    <row r="3101" spans="1:20" x14ac:dyDescent="0.25">
      <c r="A3101" s="364" t="s">
        <v>225</v>
      </c>
      <c r="B3101" s="361" t="s">
        <v>648</v>
      </c>
      <c r="C3101" t="s">
        <v>1922</v>
      </c>
      <c r="D3101" s="361">
        <v>1</v>
      </c>
      <c r="E3101" s="364"/>
      <c r="F3101" s="361" t="s">
        <v>1917</v>
      </c>
      <c r="T3101" s="361">
        <v>6.25</v>
      </c>
    </row>
    <row r="3102" spans="1:20" x14ac:dyDescent="0.25">
      <c r="A3102" s="364" t="s">
        <v>1666</v>
      </c>
      <c r="B3102" s="361" t="s">
        <v>1667</v>
      </c>
      <c r="C3102" t="s">
        <v>1916</v>
      </c>
      <c r="D3102" s="361">
        <v>2</v>
      </c>
      <c r="E3102" s="364"/>
      <c r="F3102" s="361" t="s">
        <v>1917</v>
      </c>
      <c r="T3102" s="361">
        <v>22.65</v>
      </c>
    </row>
    <row r="3103" spans="1:20" x14ac:dyDescent="0.25">
      <c r="A3103" s="364" t="s">
        <v>1668</v>
      </c>
      <c r="B3103" s="361" t="s">
        <v>1669</v>
      </c>
      <c r="C3103" t="s">
        <v>1922</v>
      </c>
      <c r="D3103" s="361">
        <v>1</v>
      </c>
      <c r="E3103" s="364"/>
      <c r="F3103" s="361" t="s">
        <v>1917</v>
      </c>
      <c r="T3103" s="361">
        <v>19.966799999999999</v>
      </c>
    </row>
    <row r="3104" spans="1:20" x14ac:dyDescent="0.25">
      <c r="A3104" s="364" t="s">
        <v>1670</v>
      </c>
      <c r="B3104" s="361" t="s">
        <v>1671</v>
      </c>
      <c r="C3104" t="s">
        <v>1916</v>
      </c>
      <c r="D3104" s="361">
        <v>2</v>
      </c>
      <c r="E3104" s="364"/>
      <c r="F3104" s="361" t="s">
        <v>1917</v>
      </c>
      <c r="T3104" s="361">
        <v>1.0000000000000001E-5</v>
      </c>
    </row>
    <row r="3105" spans="1:20" x14ac:dyDescent="0.25">
      <c r="A3105" s="364" t="s">
        <v>6515</v>
      </c>
      <c r="B3105" s="361" t="s">
        <v>6516</v>
      </c>
      <c r="C3105" t="s">
        <v>1920</v>
      </c>
      <c r="D3105" s="361">
        <v>33</v>
      </c>
      <c r="E3105" s="364"/>
      <c r="F3105" s="361" t="s">
        <v>1917</v>
      </c>
      <c r="T3105" s="361">
        <v>3.99</v>
      </c>
    </row>
    <row r="3106" spans="1:20" x14ac:dyDescent="0.25">
      <c r="A3106" s="364" t="s">
        <v>6517</v>
      </c>
      <c r="B3106" s="361" t="s">
        <v>6518</v>
      </c>
      <c r="C3106" t="s">
        <v>1920</v>
      </c>
      <c r="D3106" s="361">
        <v>33</v>
      </c>
      <c r="E3106" s="364"/>
      <c r="F3106" s="361" t="s">
        <v>1917</v>
      </c>
      <c r="T3106" s="361">
        <v>10.5</v>
      </c>
    </row>
    <row r="3107" spans="1:20" x14ac:dyDescent="0.25">
      <c r="A3107" s="364" t="s">
        <v>6519</v>
      </c>
      <c r="B3107" s="361" t="s">
        <v>6520</v>
      </c>
      <c r="C3107" t="s">
        <v>1920</v>
      </c>
      <c r="D3107" s="361">
        <v>33</v>
      </c>
      <c r="E3107" s="364"/>
      <c r="F3107" s="361" t="s">
        <v>1917</v>
      </c>
      <c r="T3107" s="361">
        <v>3.99</v>
      </c>
    </row>
    <row r="3108" spans="1:20" x14ac:dyDescent="0.25">
      <c r="A3108" s="364" t="s">
        <v>6521</v>
      </c>
      <c r="B3108" s="361" t="s">
        <v>6522</v>
      </c>
      <c r="C3108" t="s">
        <v>1920</v>
      </c>
      <c r="D3108" s="361">
        <v>16</v>
      </c>
      <c r="E3108" s="364"/>
      <c r="F3108" s="361" t="s">
        <v>1917</v>
      </c>
      <c r="T3108" s="361">
        <v>3.85</v>
      </c>
    </row>
    <row r="3109" spans="1:20" x14ac:dyDescent="0.25">
      <c r="A3109" s="364" t="s">
        <v>6523</v>
      </c>
      <c r="B3109" s="361" t="s">
        <v>6524</v>
      </c>
      <c r="C3109" t="s">
        <v>1920</v>
      </c>
      <c r="D3109" s="361">
        <v>33</v>
      </c>
      <c r="E3109" s="364"/>
      <c r="F3109" s="361" t="s">
        <v>1921</v>
      </c>
      <c r="T3109" s="361">
        <v>50.142299999999999</v>
      </c>
    </row>
    <row r="3110" spans="1:20" x14ac:dyDescent="0.25">
      <c r="A3110" s="364" t="s">
        <v>6525</v>
      </c>
      <c r="B3110" s="361" t="s">
        <v>6526</v>
      </c>
      <c r="C3110" t="s">
        <v>1920</v>
      </c>
      <c r="D3110" s="361">
        <v>16</v>
      </c>
      <c r="E3110" s="364"/>
      <c r="F3110" s="361" t="s">
        <v>1917</v>
      </c>
      <c r="T3110" s="361">
        <v>7.32</v>
      </c>
    </row>
    <row r="3111" spans="1:20" x14ac:dyDescent="0.25">
      <c r="A3111" s="364" t="s">
        <v>6527</v>
      </c>
      <c r="B3111" s="361" t="s">
        <v>6528</v>
      </c>
      <c r="C3111" t="s">
        <v>1920</v>
      </c>
      <c r="D3111" s="361">
        <v>16</v>
      </c>
      <c r="E3111" s="364"/>
      <c r="F3111" s="361" t="s">
        <v>1917</v>
      </c>
      <c r="T3111" s="361">
        <v>4.42</v>
      </c>
    </row>
    <row r="3112" spans="1:20" x14ac:dyDescent="0.25">
      <c r="A3112" s="364" t="s">
        <v>6529</v>
      </c>
      <c r="B3112" s="361" t="s">
        <v>6530</v>
      </c>
      <c r="C3112" t="s">
        <v>1920</v>
      </c>
      <c r="D3112" s="361">
        <v>33</v>
      </c>
      <c r="E3112" s="364"/>
      <c r="F3112" s="361" t="s">
        <v>1917</v>
      </c>
      <c r="T3112" s="361">
        <v>9.0500000000000007</v>
      </c>
    </row>
    <row r="3113" spans="1:20" x14ac:dyDescent="0.25">
      <c r="A3113" s="364" t="s">
        <v>6531</v>
      </c>
      <c r="B3113" s="361" t="s">
        <v>4468</v>
      </c>
      <c r="C3113" t="s">
        <v>1920</v>
      </c>
      <c r="D3113" s="361">
        <v>16</v>
      </c>
      <c r="E3113" s="364"/>
      <c r="F3113" s="361" t="s">
        <v>1917</v>
      </c>
      <c r="T3113" s="361">
        <v>7.5</v>
      </c>
    </row>
    <row r="3114" spans="1:20" x14ac:dyDescent="0.25">
      <c r="A3114" s="364" t="s">
        <v>6532</v>
      </c>
      <c r="B3114" s="361" t="s">
        <v>6533</v>
      </c>
      <c r="C3114" t="s">
        <v>1920</v>
      </c>
      <c r="D3114" s="361">
        <v>16</v>
      </c>
      <c r="E3114" s="364"/>
      <c r="F3114" s="361" t="s">
        <v>1917</v>
      </c>
      <c r="T3114" s="361">
        <v>4.0999999999999996</v>
      </c>
    </row>
    <row r="3115" spans="1:20" x14ac:dyDescent="0.25">
      <c r="A3115" s="364" t="s">
        <v>6534</v>
      </c>
      <c r="B3115" s="361" t="s">
        <v>6535</v>
      </c>
      <c r="C3115" t="s">
        <v>1920</v>
      </c>
      <c r="D3115" s="361">
        <v>33</v>
      </c>
      <c r="E3115" s="364"/>
      <c r="F3115" s="361" t="s">
        <v>1921</v>
      </c>
      <c r="T3115" s="361">
        <v>83.14</v>
      </c>
    </row>
    <row r="3116" spans="1:20" x14ac:dyDescent="0.25">
      <c r="A3116" s="364" t="s">
        <v>6536</v>
      </c>
      <c r="B3116" s="361" t="s">
        <v>6537</v>
      </c>
      <c r="C3116" t="s">
        <v>1920</v>
      </c>
      <c r="D3116" s="361">
        <v>33</v>
      </c>
      <c r="E3116" s="364"/>
      <c r="F3116" s="361" t="s">
        <v>1917</v>
      </c>
      <c r="T3116" s="361">
        <v>9.4499999999999993</v>
      </c>
    </row>
    <row r="3117" spans="1:20" x14ac:dyDescent="0.25">
      <c r="A3117" s="364" t="s">
        <v>1672</v>
      </c>
      <c r="B3117" s="361" t="s">
        <v>1673</v>
      </c>
      <c r="C3117" t="s">
        <v>1922</v>
      </c>
      <c r="D3117" s="361">
        <v>1</v>
      </c>
      <c r="E3117" s="364"/>
      <c r="F3117" s="361" t="s">
        <v>1917</v>
      </c>
      <c r="T3117" s="361">
        <v>66.37</v>
      </c>
    </row>
    <row r="3118" spans="1:20" x14ac:dyDescent="0.25">
      <c r="A3118" s="364" t="s">
        <v>1674</v>
      </c>
      <c r="B3118" s="361" t="s">
        <v>1675</v>
      </c>
      <c r="C3118" t="s">
        <v>1922</v>
      </c>
      <c r="D3118" s="361">
        <v>1</v>
      </c>
      <c r="E3118" s="364"/>
      <c r="F3118" s="361" t="s">
        <v>1917</v>
      </c>
      <c r="T3118" s="361">
        <v>39.229999999999997</v>
      </c>
    </row>
    <row r="3119" spans="1:20" x14ac:dyDescent="0.25">
      <c r="A3119" s="364" t="s">
        <v>1676</v>
      </c>
      <c r="B3119" s="361" t="s">
        <v>1677</v>
      </c>
      <c r="C3119" t="s">
        <v>1922</v>
      </c>
      <c r="D3119" s="361">
        <v>1</v>
      </c>
      <c r="E3119" s="364"/>
      <c r="F3119" s="361" t="s">
        <v>1917</v>
      </c>
      <c r="T3119" s="361">
        <v>37.549999999999997</v>
      </c>
    </row>
    <row r="3120" spans="1:20" x14ac:dyDescent="0.25">
      <c r="A3120" s="364" t="s">
        <v>256</v>
      </c>
      <c r="B3120" s="361" t="s">
        <v>1678</v>
      </c>
      <c r="C3120" t="s">
        <v>1922</v>
      </c>
      <c r="D3120" s="361">
        <v>1</v>
      </c>
      <c r="E3120" s="364"/>
      <c r="F3120" s="361" t="s">
        <v>1917</v>
      </c>
      <c r="T3120" s="361">
        <v>58.79</v>
      </c>
    </row>
    <row r="3121" spans="1:20" x14ac:dyDescent="0.25">
      <c r="A3121" s="364" t="s">
        <v>1679</v>
      </c>
      <c r="B3121" s="361" t="s">
        <v>1680</v>
      </c>
      <c r="C3121" t="s">
        <v>1922</v>
      </c>
      <c r="D3121" s="361">
        <v>1</v>
      </c>
      <c r="E3121" s="364"/>
      <c r="F3121" s="361" t="s">
        <v>1917</v>
      </c>
      <c r="T3121" s="361">
        <v>58.79</v>
      </c>
    </row>
    <row r="3122" spans="1:20" x14ac:dyDescent="0.25">
      <c r="A3122" s="364" t="s">
        <v>1681</v>
      </c>
      <c r="B3122" s="361" t="s">
        <v>1682</v>
      </c>
      <c r="C3122" t="s">
        <v>1922</v>
      </c>
      <c r="D3122" s="361">
        <v>1</v>
      </c>
      <c r="E3122" s="364"/>
      <c r="F3122" s="361" t="s">
        <v>1917</v>
      </c>
      <c r="T3122" s="361">
        <v>61.53</v>
      </c>
    </row>
    <row r="3123" spans="1:20" x14ac:dyDescent="0.25">
      <c r="A3123" s="364" t="s">
        <v>1683</v>
      </c>
      <c r="B3123" s="361" t="s">
        <v>1684</v>
      </c>
      <c r="C3123" t="s">
        <v>1916</v>
      </c>
      <c r="D3123" s="361">
        <v>2</v>
      </c>
      <c r="E3123" s="364"/>
      <c r="F3123" s="361" t="s">
        <v>1917</v>
      </c>
      <c r="T3123" s="361">
        <v>42.793999999999997</v>
      </c>
    </row>
    <row r="3124" spans="1:20" x14ac:dyDescent="0.25">
      <c r="A3124" s="364" t="s">
        <v>1685</v>
      </c>
      <c r="B3124" s="361" t="s">
        <v>1686</v>
      </c>
      <c r="C3124" t="s">
        <v>1916</v>
      </c>
      <c r="D3124" s="361">
        <v>2</v>
      </c>
      <c r="E3124" s="364"/>
      <c r="F3124" s="361" t="s">
        <v>1917</v>
      </c>
      <c r="T3124" s="361">
        <v>55.4</v>
      </c>
    </row>
    <row r="3125" spans="1:20" x14ac:dyDescent="0.25">
      <c r="A3125" s="364" t="s">
        <v>1687</v>
      </c>
      <c r="B3125" s="361" t="s">
        <v>1688</v>
      </c>
      <c r="C3125" t="s">
        <v>1922</v>
      </c>
      <c r="D3125" s="361">
        <v>1</v>
      </c>
      <c r="E3125" s="364"/>
      <c r="F3125" s="361" t="s">
        <v>2145</v>
      </c>
      <c r="T3125" s="361">
        <v>0.34</v>
      </c>
    </row>
    <row r="3126" spans="1:20" x14ac:dyDescent="0.25">
      <c r="A3126" s="364" t="s">
        <v>1689</v>
      </c>
      <c r="B3126" s="361" t="s">
        <v>1690</v>
      </c>
      <c r="C3126" t="s">
        <v>1922</v>
      </c>
      <c r="D3126" s="361">
        <v>90</v>
      </c>
      <c r="E3126" s="364"/>
      <c r="F3126" s="361" t="s">
        <v>1917</v>
      </c>
      <c r="T3126" s="361">
        <v>16.45</v>
      </c>
    </row>
    <row r="3127" spans="1:20" x14ac:dyDescent="0.25">
      <c r="A3127" s="364" t="s">
        <v>1691</v>
      </c>
      <c r="B3127" s="361" t="s">
        <v>1692</v>
      </c>
      <c r="C3127" t="s">
        <v>1922</v>
      </c>
      <c r="D3127" s="361">
        <v>1</v>
      </c>
      <c r="E3127" s="364"/>
      <c r="F3127" s="361" t="s">
        <v>1917</v>
      </c>
      <c r="T3127" s="361">
        <v>5.05</v>
      </c>
    </row>
    <row r="3128" spans="1:20" x14ac:dyDescent="0.25">
      <c r="A3128" s="364" t="s">
        <v>1693</v>
      </c>
      <c r="B3128" s="361" t="s">
        <v>1694</v>
      </c>
      <c r="C3128" t="s">
        <v>1922</v>
      </c>
      <c r="D3128" s="361">
        <v>1</v>
      </c>
      <c r="E3128" s="364"/>
      <c r="F3128" s="361" t="s">
        <v>1917</v>
      </c>
      <c r="T3128" s="361">
        <v>10.9</v>
      </c>
    </row>
    <row r="3129" spans="1:20" x14ac:dyDescent="0.25">
      <c r="A3129" s="364" t="s">
        <v>1695</v>
      </c>
      <c r="B3129" s="361" t="s">
        <v>1696</v>
      </c>
      <c r="C3129" t="s">
        <v>1922</v>
      </c>
      <c r="D3129" s="361">
        <v>1</v>
      </c>
      <c r="E3129" s="364"/>
      <c r="F3129" s="361" t="s">
        <v>1917</v>
      </c>
      <c r="T3129" s="361">
        <v>8.5399999999999991</v>
      </c>
    </row>
    <row r="3130" spans="1:20" x14ac:dyDescent="0.25">
      <c r="A3130" s="364" t="s">
        <v>1697</v>
      </c>
      <c r="B3130" s="361" t="s">
        <v>1698</v>
      </c>
      <c r="C3130" t="s">
        <v>1916</v>
      </c>
      <c r="D3130" s="361">
        <v>2</v>
      </c>
      <c r="E3130" s="364"/>
      <c r="F3130" s="361" t="s">
        <v>1917</v>
      </c>
      <c r="T3130" s="361">
        <v>36.909999999999997</v>
      </c>
    </row>
    <row r="3131" spans="1:20" x14ac:dyDescent="0.25">
      <c r="A3131" s="364" t="s">
        <v>1699</v>
      </c>
      <c r="B3131" s="361" t="s">
        <v>1700</v>
      </c>
      <c r="C3131" t="s">
        <v>1922</v>
      </c>
      <c r="D3131" s="361">
        <v>1</v>
      </c>
      <c r="E3131" s="364"/>
      <c r="F3131" s="361" t="s">
        <v>1917</v>
      </c>
      <c r="T3131" s="361">
        <v>15</v>
      </c>
    </row>
    <row r="3132" spans="1:20" x14ac:dyDescent="0.25">
      <c r="A3132" s="364" t="s">
        <v>1701</v>
      </c>
      <c r="B3132" s="361" t="s">
        <v>1702</v>
      </c>
      <c r="C3132" t="s">
        <v>1916</v>
      </c>
      <c r="D3132" s="361">
        <v>2</v>
      </c>
      <c r="E3132" s="364"/>
      <c r="F3132" s="361" t="s">
        <v>1917</v>
      </c>
      <c r="T3132" s="361">
        <v>9.3000000000000007</v>
      </c>
    </row>
    <row r="3133" spans="1:20" x14ac:dyDescent="0.25">
      <c r="A3133" s="364" t="s">
        <v>1703</v>
      </c>
      <c r="B3133" s="361" t="s">
        <v>1704</v>
      </c>
      <c r="C3133" t="s">
        <v>1922</v>
      </c>
      <c r="D3133" s="361">
        <v>1</v>
      </c>
      <c r="E3133" s="364"/>
      <c r="F3133" s="361" t="s">
        <v>1917</v>
      </c>
      <c r="T3133" s="361">
        <v>106.81</v>
      </c>
    </row>
    <row r="3134" spans="1:20" x14ac:dyDescent="0.25">
      <c r="A3134" s="364" t="s">
        <v>161</v>
      </c>
      <c r="B3134" s="361" t="s">
        <v>1231</v>
      </c>
      <c r="C3134" t="s">
        <v>1922</v>
      </c>
      <c r="D3134" s="361">
        <v>1</v>
      </c>
      <c r="E3134" s="364"/>
      <c r="F3134" s="361" t="s">
        <v>1917</v>
      </c>
      <c r="T3134" s="361">
        <v>33.950000000000003</v>
      </c>
    </row>
    <row r="3135" spans="1:20" x14ac:dyDescent="0.25">
      <c r="A3135" s="364" t="s">
        <v>1705</v>
      </c>
      <c r="B3135" s="361" t="s">
        <v>1706</v>
      </c>
      <c r="C3135" t="s">
        <v>1922</v>
      </c>
      <c r="D3135" s="361">
        <v>2</v>
      </c>
      <c r="E3135" s="364"/>
      <c r="F3135" s="361" t="s">
        <v>1917</v>
      </c>
      <c r="T3135" s="361">
        <v>6.79</v>
      </c>
    </row>
    <row r="3136" spans="1:20" x14ac:dyDescent="0.25">
      <c r="A3136" s="364" t="s">
        <v>6538</v>
      </c>
      <c r="B3136" s="361" t="s">
        <v>6539</v>
      </c>
      <c r="C3136" t="s">
        <v>1920</v>
      </c>
      <c r="D3136" s="361">
        <v>97</v>
      </c>
      <c r="E3136" s="364"/>
      <c r="F3136" s="361" t="s">
        <v>1917</v>
      </c>
      <c r="T3136" s="361">
        <v>1.0000000000000001E-5</v>
      </c>
    </row>
    <row r="3137" spans="1:20" x14ac:dyDescent="0.25">
      <c r="A3137" s="364" t="s">
        <v>6540</v>
      </c>
      <c r="B3137" s="361" t="s">
        <v>6541</v>
      </c>
      <c r="C3137" t="s">
        <v>1920</v>
      </c>
      <c r="D3137" s="361">
        <v>97</v>
      </c>
      <c r="E3137" s="364"/>
      <c r="F3137" s="361" t="s">
        <v>1917</v>
      </c>
      <c r="T3137" s="361">
        <v>1.0000000000000001E-5</v>
      </c>
    </row>
    <row r="3138" spans="1:20" x14ac:dyDescent="0.25">
      <c r="A3138" s="364" t="s">
        <v>6542</v>
      </c>
      <c r="B3138" s="361" t="s">
        <v>6543</v>
      </c>
      <c r="C3138" t="s">
        <v>1920</v>
      </c>
      <c r="D3138" s="361">
        <v>97</v>
      </c>
      <c r="E3138" s="364"/>
      <c r="F3138" s="361" t="s">
        <v>1917</v>
      </c>
      <c r="T3138" s="361">
        <v>1.0000000000000001E-5</v>
      </c>
    </row>
    <row r="3139" spans="1:20" x14ac:dyDescent="0.25">
      <c r="A3139" s="364" t="s">
        <v>6544</v>
      </c>
      <c r="B3139" s="361" t="s">
        <v>6545</v>
      </c>
      <c r="C3139" t="s">
        <v>1920</v>
      </c>
      <c r="D3139" s="361">
        <v>97</v>
      </c>
      <c r="E3139" s="364"/>
      <c r="F3139" s="361" t="s">
        <v>1921</v>
      </c>
      <c r="T3139" s="361">
        <v>1.0000000000000001E-5</v>
      </c>
    </row>
    <row r="3140" spans="1:20" x14ac:dyDescent="0.25">
      <c r="A3140" s="364" t="s">
        <v>6546</v>
      </c>
      <c r="B3140" s="361" t="s">
        <v>6547</v>
      </c>
      <c r="C3140" t="s">
        <v>1920</v>
      </c>
      <c r="D3140" s="361">
        <v>97</v>
      </c>
      <c r="E3140" s="364"/>
      <c r="F3140" s="361" t="s">
        <v>1921</v>
      </c>
      <c r="T3140" s="361">
        <v>1.0000000000000001E-5</v>
      </c>
    </row>
    <row r="3141" spans="1:20" x14ac:dyDescent="0.25">
      <c r="A3141" s="364" t="s">
        <v>6548</v>
      </c>
      <c r="B3141" s="361" t="s">
        <v>6549</v>
      </c>
      <c r="C3141" t="s">
        <v>1920</v>
      </c>
      <c r="D3141" s="361">
        <v>97</v>
      </c>
      <c r="E3141" s="364"/>
      <c r="F3141" s="361" t="s">
        <v>1921</v>
      </c>
      <c r="T3141" s="361">
        <v>1.0000000000000001E-5</v>
      </c>
    </row>
    <row r="3142" spans="1:20" x14ac:dyDescent="0.25">
      <c r="A3142" s="364" t="s">
        <v>6550</v>
      </c>
      <c r="B3142" s="361" t="s">
        <v>6551</v>
      </c>
      <c r="C3142" t="s">
        <v>1920</v>
      </c>
      <c r="D3142" s="361">
        <v>97</v>
      </c>
      <c r="E3142" s="364"/>
      <c r="F3142" s="361" t="s">
        <v>1917</v>
      </c>
      <c r="T3142" s="361">
        <v>1.0000000000000001E-5</v>
      </c>
    </row>
    <row r="3143" spans="1:20" x14ac:dyDescent="0.25">
      <c r="A3143" s="364" t="s">
        <v>6552</v>
      </c>
      <c r="B3143" s="361" t="s">
        <v>6553</v>
      </c>
      <c r="C3143" t="s">
        <v>1920</v>
      </c>
      <c r="D3143" s="361">
        <v>97</v>
      </c>
      <c r="E3143" s="364"/>
      <c r="F3143" s="361" t="s">
        <v>1917</v>
      </c>
      <c r="T3143" s="361">
        <v>1.0000000000000001E-5</v>
      </c>
    </row>
    <row r="3144" spans="1:20" x14ac:dyDescent="0.25">
      <c r="A3144" s="364" t="s">
        <v>6554</v>
      </c>
      <c r="B3144" s="361" t="s">
        <v>6555</v>
      </c>
      <c r="C3144" t="s">
        <v>1920</v>
      </c>
      <c r="D3144" s="361">
        <v>97</v>
      </c>
      <c r="E3144" s="364"/>
      <c r="F3144" s="361" t="s">
        <v>1917</v>
      </c>
      <c r="T3144" s="361">
        <v>1.0000000000000001E-5</v>
      </c>
    </row>
    <row r="3145" spans="1:20" x14ac:dyDescent="0.25">
      <c r="A3145" s="364" t="s">
        <v>6556</v>
      </c>
      <c r="B3145" s="361" t="s">
        <v>6557</v>
      </c>
      <c r="C3145" t="s">
        <v>1920</v>
      </c>
      <c r="D3145" s="361">
        <v>97</v>
      </c>
      <c r="E3145" s="364"/>
      <c r="F3145" s="361" t="s">
        <v>1917</v>
      </c>
      <c r="T3145" s="361">
        <v>1.0000000000000001E-5</v>
      </c>
    </row>
    <row r="3146" spans="1:20" x14ac:dyDescent="0.25">
      <c r="A3146" s="364" t="s">
        <v>6558</v>
      </c>
      <c r="B3146" s="361" t="s">
        <v>6559</v>
      </c>
      <c r="C3146" t="s">
        <v>1920</v>
      </c>
      <c r="D3146" s="361">
        <v>97</v>
      </c>
      <c r="E3146" s="364"/>
      <c r="F3146" s="361" t="s">
        <v>1917</v>
      </c>
      <c r="T3146" s="361">
        <v>1.0000000000000001E-5</v>
      </c>
    </row>
    <row r="3147" spans="1:20" x14ac:dyDescent="0.25">
      <c r="A3147" s="364" t="s">
        <v>6560</v>
      </c>
      <c r="B3147" s="361" t="s">
        <v>6561</v>
      </c>
      <c r="C3147" t="s">
        <v>1920</v>
      </c>
      <c r="D3147" s="361">
        <v>97</v>
      </c>
      <c r="E3147" s="364"/>
      <c r="F3147" s="361" t="s">
        <v>1917</v>
      </c>
      <c r="T3147" s="361">
        <v>1.0000000000000001E-5</v>
      </c>
    </row>
    <row r="3148" spans="1:20" x14ac:dyDescent="0.25">
      <c r="A3148" s="364" t="s">
        <v>6562</v>
      </c>
      <c r="B3148" s="361" t="s">
        <v>6563</v>
      </c>
      <c r="C3148" t="s">
        <v>1920</v>
      </c>
      <c r="D3148" s="361">
        <v>97</v>
      </c>
      <c r="E3148" s="364"/>
      <c r="F3148" s="361" t="s">
        <v>1917</v>
      </c>
      <c r="T3148" s="361">
        <v>1.0000000000000001E-5</v>
      </c>
    </row>
    <row r="3149" spans="1:20" x14ac:dyDescent="0.25">
      <c r="A3149" s="364" t="s">
        <v>6564</v>
      </c>
      <c r="B3149" s="361" t="s">
        <v>6565</v>
      </c>
      <c r="C3149" t="s">
        <v>1920</v>
      </c>
      <c r="D3149" s="361">
        <v>97</v>
      </c>
      <c r="E3149" s="364"/>
      <c r="F3149" s="361" t="s">
        <v>1917</v>
      </c>
      <c r="T3149" s="361">
        <v>1.0000000000000001E-5</v>
      </c>
    </row>
    <row r="3150" spans="1:20" x14ac:dyDescent="0.25">
      <c r="A3150" s="364" t="s">
        <v>6566</v>
      </c>
      <c r="B3150" s="361" t="s">
        <v>6567</v>
      </c>
      <c r="C3150" t="s">
        <v>1920</v>
      </c>
      <c r="D3150" s="361">
        <v>97</v>
      </c>
      <c r="E3150" s="364"/>
      <c r="F3150" s="361" t="s">
        <v>1917</v>
      </c>
      <c r="T3150" s="361">
        <v>13</v>
      </c>
    </row>
    <row r="3151" spans="1:20" x14ac:dyDescent="0.25">
      <c r="A3151" s="364" t="s">
        <v>6568</v>
      </c>
      <c r="B3151" s="361" t="s">
        <v>6569</v>
      </c>
      <c r="C3151" t="s">
        <v>1920</v>
      </c>
      <c r="D3151" s="361">
        <v>97</v>
      </c>
      <c r="E3151" s="364"/>
      <c r="F3151" s="361" t="s">
        <v>1917</v>
      </c>
      <c r="T3151" s="361">
        <v>32</v>
      </c>
    </row>
    <row r="3152" spans="1:20" x14ac:dyDescent="0.25">
      <c r="A3152" s="364" t="s">
        <v>6570</v>
      </c>
      <c r="B3152" s="361" t="s">
        <v>6571</v>
      </c>
      <c r="C3152" t="s">
        <v>1920</v>
      </c>
      <c r="D3152" s="361">
        <v>97</v>
      </c>
      <c r="E3152" s="364"/>
      <c r="F3152" s="361" t="s">
        <v>1917</v>
      </c>
      <c r="T3152" s="361">
        <v>40</v>
      </c>
    </row>
    <row r="3153" spans="1:20" x14ac:dyDescent="0.25">
      <c r="A3153" s="364" t="s">
        <v>6572</v>
      </c>
      <c r="B3153" s="361" t="s">
        <v>6573</v>
      </c>
      <c r="C3153" t="s">
        <v>1920</v>
      </c>
      <c r="D3153" s="361">
        <v>97</v>
      </c>
      <c r="E3153" s="364"/>
      <c r="F3153" s="361" t="s">
        <v>1917</v>
      </c>
      <c r="T3153" s="361">
        <v>11.4</v>
      </c>
    </row>
    <row r="3154" spans="1:20" x14ac:dyDescent="0.25">
      <c r="A3154" s="364" t="s">
        <v>6574</v>
      </c>
      <c r="B3154" s="361" t="s">
        <v>6575</v>
      </c>
      <c r="C3154" t="s">
        <v>1920</v>
      </c>
      <c r="D3154" s="361">
        <v>97</v>
      </c>
      <c r="E3154" s="364"/>
      <c r="F3154" s="361" t="s">
        <v>1921</v>
      </c>
      <c r="T3154" s="361">
        <v>0.69589000000000001</v>
      </c>
    </row>
    <row r="3155" spans="1:20" x14ac:dyDescent="0.25">
      <c r="A3155" s="364" t="s">
        <v>6576</v>
      </c>
      <c r="B3155" s="361" t="s">
        <v>6577</v>
      </c>
      <c r="C3155" t="s">
        <v>1920</v>
      </c>
      <c r="D3155" s="361">
        <v>97</v>
      </c>
      <c r="E3155" s="364"/>
      <c r="F3155" s="361" t="s">
        <v>1917</v>
      </c>
      <c r="T3155" s="361">
        <v>13.4</v>
      </c>
    </row>
    <row r="3156" spans="1:20" x14ac:dyDescent="0.25">
      <c r="A3156" s="364" t="s">
        <v>6578</v>
      </c>
      <c r="B3156" s="361" t="s">
        <v>6579</v>
      </c>
      <c r="C3156" t="s">
        <v>1920</v>
      </c>
      <c r="D3156" s="361">
        <v>97</v>
      </c>
      <c r="E3156" s="364"/>
      <c r="F3156" s="361" t="s">
        <v>1917</v>
      </c>
      <c r="T3156" s="361">
        <v>11.5</v>
      </c>
    </row>
    <row r="3157" spans="1:20" x14ac:dyDescent="0.25">
      <c r="A3157" s="364" t="s">
        <v>6580</v>
      </c>
      <c r="B3157" s="361" t="s">
        <v>6581</v>
      </c>
      <c r="C3157" t="s">
        <v>1920</v>
      </c>
      <c r="D3157" s="361">
        <v>97</v>
      </c>
      <c r="E3157" s="364"/>
      <c r="F3157" s="361" t="s">
        <v>1917</v>
      </c>
      <c r="T3157" s="361">
        <v>31</v>
      </c>
    </row>
    <row r="3158" spans="1:20" x14ac:dyDescent="0.25">
      <c r="A3158" s="364" t="s">
        <v>6582</v>
      </c>
      <c r="B3158" s="361" t="s">
        <v>6583</v>
      </c>
      <c r="C3158" t="s">
        <v>1920</v>
      </c>
      <c r="D3158" s="361">
        <v>97</v>
      </c>
      <c r="E3158" s="364"/>
      <c r="F3158" s="361" t="s">
        <v>1917</v>
      </c>
      <c r="T3158" s="361">
        <v>1.0000000000000001E-5</v>
      </c>
    </row>
    <row r="3159" spans="1:20" x14ac:dyDescent="0.25">
      <c r="A3159" s="364" t="s">
        <v>105</v>
      </c>
      <c r="B3159" s="361" t="s">
        <v>1415</v>
      </c>
      <c r="C3159" t="s">
        <v>1922</v>
      </c>
      <c r="D3159" s="361">
        <v>1</v>
      </c>
      <c r="E3159" s="364"/>
      <c r="F3159" s="361" t="s">
        <v>1917</v>
      </c>
      <c r="T3159" s="361">
        <v>7.85</v>
      </c>
    </row>
    <row r="3160" spans="1:20" x14ac:dyDescent="0.25">
      <c r="A3160" s="364" t="s">
        <v>1707</v>
      </c>
      <c r="B3160" s="361" t="s">
        <v>1708</v>
      </c>
      <c r="C3160" t="s">
        <v>1922</v>
      </c>
      <c r="D3160" s="361">
        <v>1</v>
      </c>
      <c r="E3160" s="364"/>
      <c r="F3160" s="361" t="s">
        <v>1917</v>
      </c>
      <c r="T3160" s="361">
        <v>44.88</v>
      </c>
    </row>
    <row r="3161" spans="1:20" x14ac:dyDescent="0.25">
      <c r="A3161" s="364" t="s">
        <v>1709</v>
      </c>
      <c r="B3161" s="361" t="s">
        <v>1710</v>
      </c>
      <c r="C3161" t="s">
        <v>1916</v>
      </c>
      <c r="D3161" s="361">
        <v>2</v>
      </c>
      <c r="E3161" s="364"/>
      <c r="F3161" s="361" t="s">
        <v>1917</v>
      </c>
      <c r="T3161" s="361">
        <v>175.57249999999999</v>
      </c>
    </row>
    <row r="3162" spans="1:20" x14ac:dyDescent="0.25">
      <c r="A3162" s="364" t="s">
        <v>1711</v>
      </c>
      <c r="B3162" s="361" t="s">
        <v>1712</v>
      </c>
      <c r="C3162" t="s">
        <v>1922</v>
      </c>
      <c r="D3162" s="361">
        <v>1</v>
      </c>
      <c r="E3162" s="364"/>
      <c r="F3162" s="361" t="s">
        <v>1917</v>
      </c>
      <c r="T3162" s="361">
        <v>87.5</v>
      </c>
    </row>
    <row r="3163" spans="1:20" x14ac:dyDescent="0.25">
      <c r="A3163" s="364" t="s">
        <v>1713</v>
      </c>
      <c r="B3163" s="361" t="s">
        <v>1714</v>
      </c>
      <c r="C3163" t="s">
        <v>1916</v>
      </c>
      <c r="D3163" s="361">
        <v>2</v>
      </c>
      <c r="E3163" s="364"/>
      <c r="F3163" s="361" t="s">
        <v>1917</v>
      </c>
      <c r="T3163" s="361">
        <v>107.5</v>
      </c>
    </row>
    <row r="3164" spans="1:20" x14ac:dyDescent="0.25">
      <c r="A3164" s="364" t="s">
        <v>1715</v>
      </c>
      <c r="B3164" s="361" t="s">
        <v>1716</v>
      </c>
      <c r="C3164" t="s">
        <v>1922</v>
      </c>
      <c r="D3164" s="361">
        <v>1</v>
      </c>
      <c r="E3164" s="364"/>
      <c r="F3164" s="361" t="s">
        <v>1917</v>
      </c>
      <c r="T3164" s="361">
        <v>52.31</v>
      </c>
    </row>
    <row r="3165" spans="1:20" x14ac:dyDescent="0.25">
      <c r="A3165" s="364" t="s">
        <v>1717</v>
      </c>
      <c r="B3165" s="361" t="s">
        <v>1718</v>
      </c>
      <c r="C3165" t="s">
        <v>1922</v>
      </c>
      <c r="D3165" s="361">
        <v>1</v>
      </c>
      <c r="E3165" s="364"/>
      <c r="F3165" s="361" t="s">
        <v>1917</v>
      </c>
      <c r="T3165" s="361">
        <v>680.4</v>
      </c>
    </row>
    <row r="3166" spans="1:20" x14ac:dyDescent="0.25">
      <c r="A3166" s="364" t="s">
        <v>1719</v>
      </c>
      <c r="B3166" s="361" t="s">
        <v>1720</v>
      </c>
      <c r="C3166" t="s">
        <v>1922</v>
      </c>
      <c r="D3166" s="361">
        <v>2</v>
      </c>
      <c r="E3166" s="364"/>
      <c r="F3166" s="361" t="s">
        <v>1917</v>
      </c>
      <c r="T3166" s="361">
        <v>1275</v>
      </c>
    </row>
    <row r="3167" spans="1:20" x14ac:dyDescent="0.25">
      <c r="A3167" s="364" t="s">
        <v>1721</v>
      </c>
      <c r="B3167" s="361" t="s">
        <v>1159</v>
      </c>
      <c r="C3167" t="s">
        <v>1922</v>
      </c>
      <c r="D3167" s="361">
        <v>1</v>
      </c>
      <c r="E3167" s="364"/>
      <c r="F3167" s="361" t="s">
        <v>1917</v>
      </c>
      <c r="T3167" s="361">
        <v>158</v>
      </c>
    </row>
    <row r="3168" spans="1:20" x14ac:dyDescent="0.25">
      <c r="A3168" s="364" t="s">
        <v>1722</v>
      </c>
      <c r="B3168" s="361" t="s">
        <v>1723</v>
      </c>
      <c r="C3168" t="s">
        <v>1916</v>
      </c>
      <c r="D3168" s="361">
        <v>2</v>
      </c>
      <c r="E3168" s="364"/>
      <c r="F3168" s="361" t="s">
        <v>1917</v>
      </c>
      <c r="T3168" s="361">
        <v>19</v>
      </c>
    </row>
    <row r="3169" spans="1:20" x14ac:dyDescent="0.25">
      <c r="A3169" s="364" t="s">
        <v>1724</v>
      </c>
      <c r="B3169" s="361" t="s">
        <v>1197</v>
      </c>
      <c r="C3169" t="s">
        <v>1922</v>
      </c>
      <c r="D3169" s="361">
        <v>1</v>
      </c>
      <c r="E3169" s="364"/>
      <c r="F3169" s="361" t="s">
        <v>1917</v>
      </c>
      <c r="T3169" s="361">
        <v>63.8</v>
      </c>
    </row>
    <row r="3170" spans="1:20" x14ac:dyDescent="0.25">
      <c r="A3170" s="364" t="s">
        <v>1725</v>
      </c>
      <c r="B3170" s="361" t="s">
        <v>1726</v>
      </c>
      <c r="C3170" t="s">
        <v>1922</v>
      </c>
      <c r="D3170" s="361">
        <v>1</v>
      </c>
      <c r="E3170" s="364"/>
      <c r="F3170" s="361" t="s">
        <v>1917</v>
      </c>
      <c r="T3170" s="361">
        <v>10.15</v>
      </c>
    </row>
    <row r="3171" spans="1:20" x14ac:dyDescent="0.25">
      <c r="A3171" s="364" t="s">
        <v>311</v>
      </c>
      <c r="B3171" s="361" t="s">
        <v>1546</v>
      </c>
      <c r="C3171" t="s">
        <v>1922</v>
      </c>
      <c r="D3171" s="361">
        <v>1</v>
      </c>
      <c r="E3171" s="364"/>
      <c r="F3171" s="361" t="s">
        <v>1917</v>
      </c>
      <c r="T3171" s="361">
        <v>1.45</v>
      </c>
    </row>
    <row r="3172" spans="1:20" x14ac:dyDescent="0.25">
      <c r="A3172" s="364" t="s">
        <v>1727</v>
      </c>
      <c r="B3172" s="361" t="s">
        <v>1728</v>
      </c>
      <c r="C3172" t="s">
        <v>1922</v>
      </c>
      <c r="D3172" s="361">
        <v>1</v>
      </c>
      <c r="E3172" s="364"/>
      <c r="F3172" s="361" t="s">
        <v>1917</v>
      </c>
      <c r="T3172" s="361">
        <v>19.260000000000002</v>
      </c>
    </row>
    <row r="3173" spans="1:20" x14ac:dyDescent="0.25">
      <c r="A3173" s="364" t="s">
        <v>1729</v>
      </c>
      <c r="B3173" s="361" t="s">
        <v>1730</v>
      </c>
      <c r="C3173" t="s">
        <v>1922</v>
      </c>
      <c r="D3173" s="361">
        <v>1</v>
      </c>
      <c r="E3173" s="364"/>
      <c r="F3173" s="361" t="s">
        <v>1917</v>
      </c>
      <c r="T3173" s="361">
        <v>4.49</v>
      </c>
    </row>
    <row r="3174" spans="1:20" x14ac:dyDescent="0.25">
      <c r="A3174" s="364" t="s">
        <v>309</v>
      </c>
      <c r="B3174" s="361" t="s">
        <v>1731</v>
      </c>
      <c r="C3174" t="s">
        <v>1922</v>
      </c>
      <c r="D3174" s="361">
        <v>1</v>
      </c>
      <c r="E3174" s="364"/>
      <c r="F3174" s="361" t="s">
        <v>1917</v>
      </c>
      <c r="T3174" s="361">
        <v>10.63</v>
      </c>
    </row>
    <row r="3175" spans="1:20" x14ac:dyDescent="0.25">
      <c r="A3175" s="364" t="s">
        <v>1732</v>
      </c>
      <c r="B3175" s="361" t="s">
        <v>1733</v>
      </c>
      <c r="C3175" t="s">
        <v>1922</v>
      </c>
      <c r="D3175" s="361">
        <v>1</v>
      </c>
      <c r="E3175" s="364"/>
      <c r="F3175" s="361" t="s">
        <v>1917</v>
      </c>
      <c r="T3175" s="361">
        <v>7.05</v>
      </c>
    </row>
    <row r="3176" spans="1:20" x14ac:dyDescent="0.25">
      <c r="A3176" s="364" t="s">
        <v>1734</v>
      </c>
      <c r="B3176" s="361" t="s">
        <v>1735</v>
      </c>
      <c r="C3176" t="s">
        <v>1916</v>
      </c>
      <c r="D3176" s="361">
        <v>2</v>
      </c>
      <c r="E3176" s="364"/>
      <c r="F3176" s="361" t="s">
        <v>1917</v>
      </c>
      <c r="T3176" s="361">
        <v>689</v>
      </c>
    </row>
    <row r="3177" spans="1:20" x14ac:dyDescent="0.25">
      <c r="A3177" s="364" t="s">
        <v>1736</v>
      </c>
      <c r="B3177" s="361" t="s">
        <v>1737</v>
      </c>
      <c r="C3177" t="s">
        <v>1922</v>
      </c>
      <c r="D3177" s="361">
        <v>1</v>
      </c>
      <c r="E3177" s="364"/>
      <c r="F3177" s="361" t="s">
        <v>1917</v>
      </c>
      <c r="T3177" s="361">
        <v>16.72</v>
      </c>
    </row>
    <row r="3178" spans="1:20" x14ac:dyDescent="0.25">
      <c r="A3178" s="364" t="s">
        <v>1738</v>
      </c>
      <c r="B3178" s="361" t="s">
        <v>1488</v>
      </c>
      <c r="C3178" t="s">
        <v>1922</v>
      </c>
      <c r="D3178" s="361">
        <v>1</v>
      </c>
      <c r="E3178" s="364"/>
      <c r="F3178" s="361" t="s">
        <v>1917</v>
      </c>
      <c r="T3178" s="361">
        <v>3.85</v>
      </c>
    </row>
    <row r="3179" spans="1:20" x14ac:dyDescent="0.25">
      <c r="A3179" s="364" t="s">
        <v>1739</v>
      </c>
      <c r="B3179" s="361" t="s">
        <v>1740</v>
      </c>
      <c r="C3179" t="s">
        <v>1916</v>
      </c>
      <c r="D3179" s="361">
        <v>2</v>
      </c>
      <c r="E3179" s="364"/>
      <c r="F3179" s="361" t="s">
        <v>1917</v>
      </c>
      <c r="T3179" s="361">
        <v>23.75</v>
      </c>
    </row>
    <row r="3180" spans="1:20" x14ac:dyDescent="0.25">
      <c r="A3180" s="364" t="s">
        <v>1741</v>
      </c>
      <c r="B3180" s="361" t="s">
        <v>1742</v>
      </c>
      <c r="C3180" t="s">
        <v>1916</v>
      </c>
      <c r="D3180" s="361">
        <v>2</v>
      </c>
      <c r="E3180" s="364"/>
      <c r="F3180" s="361" t="s">
        <v>1917</v>
      </c>
      <c r="T3180" s="361">
        <v>68.400000000000006</v>
      </c>
    </row>
    <row r="3181" spans="1:20" x14ac:dyDescent="0.25">
      <c r="A3181" s="364" t="s">
        <v>1743</v>
      </c>
      <c r="B3181" s="361" t="s">
        <v>1574</v>
      </c>
      <c r="C3181" t="s">
        <v>1922</v>
      </c>
      <c r="D3181" s="361">
        <v>33</v>
      </c>
      <c r="E3181" s="364"/>
      <c r="F3181" s="361" t="s">
        <v>2201</v>
      </c>
      <c r="T3181" s="361">
        <v>23.73</v>
      </c>
    </row>
    <row r="3182" spans="1:20" x14ac:dyDescent="0.25">
      <c r="A3182" s="364" t="s">
        <v>1744</v>
      </c>
      <c r="B3182" s="361" t="s">
        <v>1745</v>
      </c>
      <c r="C3182" t="s">
        <v>1922</v>
      </c>
      <c r="D3182" s="361">
        <v>1</v>
      </c>
      <c r="E3182" s="364"/>
      <c r="F3182" s="361" t="s">
        <v>1917</v>
      </c>
      <c r="T3182" s="361">
        <v>63.11</v>
      </c>
    </row>
    <row r="3183" spans="1:20" x14ac:dyDescent="0.25">
      <c r="A3183" s="364" t="s">
        <v>1746</v>
      </c>
      <c r="B3183" s="361" t="s">
        <v>1747</v>
      </c>
      <c r="C3183" t="s">
        <v>1916</v>
      </c>
      <c r="D3183" s="361">
        <v>2</v>
      </c>
      <c r="E3183" s="364"/>
      <c r="F3183" s="361" t="s">
        <v>1917</v>
      </c>
      <c r="T3183" s="361">
        <v>1.0000000000000001E-5</v>
      </c>
    </row>
    <row r="3184" spans="1:20" x14ac:dyDescent="0.25">
      <c r="A3184" s="364" t="s">
        <v>1748</v>
      </c>
      <c r="B3184" s="361" t="s">
        <v>1749</v>
      </c>
      <c r="C3184" t="s">
        <v>1916</v>
      </c>
      <c r="D3184" s="361">
        <v>2</v>
      </c>
      <c r="E3184" s="364"/>
      <c r="F3184" s="361" t="s">
        <v>1917</v>
      </c>
      <c r="T3184" s="361">
        <v>200</v>
      </c>
    </row>
    <row r="3185" spans="1:20" x14ac:dyDescent="0.25">
      <c r="A3185" s="364" t="s">
        <v>1750</v>
      </c>
      <c r="B3185" s="361" t="s">
        <v>1751</v>
      </c>
      <c r="C3185" t="s">
        <v>1922</v>
      </c>
      <c r="D3185" s="361">
        <v>1</v>
      </c>
      <c r="E3185" s="364"/>
      <c r="F3185" s="361" t="s">
        <v>1917</v>
      </c>
      <c r="T3185" s="361">
        <v>63.74</v>
      </c>
    </row>
    <row r="3186" spans="1:20" x14ac:dyDescent="0.25">
      <c r="A3186" s="364" t="s">
        <v>1752</v>
      </c>
      <c r="B3186" s="361" t="s">
        <v>1753</v>
      </c>
      <c r="C3186" t="s">
        <v>1916</v>
      </c>
      <c r="D3186" s="361">
        <v>2</v>
      </c>
      <c r="E3186" s="364"/>
      <c r="F3186" s="361" t="s">
        <v>1917</v>
      </c>
      <c r="T3186" s="361">
        <v>94</v>
      </c>
    </row>
    <row r="3187" spans="1:20" x14ac:dyDescent="0.25">
      <c r="A3187" s="364" t="s">
        <v>1754</v>
      </c>
      <c r="B3187" s="361" t="s">
        <v>1755</v>
      </c>
      <c r="C3187" t="s">
        <v>1922</v>
      </c>
      <c r="D3187" s="361">
        <v>5</v>
      </c>
      <c r="E3187" s="364"/>
      <c r="F3187" s="361" t="s">
        <v>2145</v>
      </c>
      <c r="T3187" s="361">
        <v>31.41</v>
      </c>
    </row>
    <row r="3188" spans="1:20" x14ac:dyDescent="0.25">
      <c r="A3188" s="364" t="s">
        <v>1756</v>
      </c>
      <c r="B3188" s="361" t="s">
        <v>1757</v>
      </c>
      <c r="C3188" t="s">
        <v>1916</v>
      </c>
      <c r="D3188" s="361">
        <v>2</v>
      </c>
      <c r="E3188" s="364"/>
      <c r="F3188" s="361" t="s">
        <v>1917</v>
      </c>
      <c r="T3188" s="361">
        <v>29.85</v>
      </c>
    </row>
    <row r="3189" spans="1:20" x14ac:dyDescent="0.25">
      <c r="A3189" s="364" t="s">
        <v>177</v>
      </c>
      <c r="B3189" s="361" t="s">
        <v>1758</v>
      </c>
      <c r="C3189" t="s">
        <v>1922</v>
      </c>
      <c r="D3189" s="361">
        <v>1</v>
      </c>
      <c r="E3189" s="364"/>
      <c r="F3189" s="361" t="s">
        <v>1917</v>
      </c>
      <c r="T3189" s="361">
        <v>2.2400000000000002</v>
      </c>
    </row>
    <row r="3190" spans="1:20" x14ac:dyDescent="0.25">
      <c r="A3190" s="364" t="s">
        <v>1759</v>
      </c>
      <c r="B3190" s="361" t="s">
        <v>1760</v>
      </c>
      <c r="C3190" t="s">
        <v>1922</v>
      </c>
      <c r="D3190" s="361">
        <v>1</v>
      </c>
      <c r="E3190" s="364"/>
      <c r="F3190" s="361" t="s">
        <v>1917</v>
      </c>
      <c r="T3190" s="361">
        <v>43.6</v>
      </c>
    </row>
    <row r="3191" spans="1:20" x14ac:dyDescent="0.25">
      <c r="A3191" s="364" t="s">
        <v>6584</v>
      </c>
      <c r="B3191" s="361" t="s">
        <v>6585</v>
      </c>
      <c r="C3191" t="s">
        <v>1920</v>
      </c>
      <c r="D3191" s="361">
        <v>50</v>
      </c>
      <c r="E3191" s="364"/>
      <c r="F3191" s="361" t="s">
        <v>2201</v>
      </c>
      <c r="T3191" s="361">
        <v>47.7</v>
      </c>
    </row>
    <row r="3192" spans="1:20" x14ac:dyDescent="0.25">
      <c r="A3192" s="364" t="s">
        <v>1761</v>
      </c>
      <c r="B3192" s="361" t="s">
        <v>1762</v>
      </c>
      <c r="C3192" t="s">
        <v>1922</v>
      </c>
      <c r="D3192" s="361">
        <v>1</v>
      </c>
      <c r="E3192" s="364"/>
      <c r="F3192" s="361" t="s">
        <v>1917</v>
      </c>
      <c r="T3192" s="361">
        <v>8.83</v>
      </c>
    </row>
    <row r="3193" spans="1:20" x14ac:dyDescent="0.25">
      <c r="A3193" s="364" t="s">
        <v>6586</v>
      </c>
      <c r="B3193" s="361" t="s">
        <v>6587</v>
      </c>
      <c r="C3193" t="s">
        <v>2095</v>
      </c>
      <c r="D3193" s="361">
        <v>95</v>
      </c>
      <c r="E3193" s="364"/>
      <c r="F3193" s="361" t="s">
        <v>2201</v>
      </c>
      <c r="T3193" s="361">
        <v>1.0000000000000001E-5</v>
      </c>
    </row>
    <row r="3194" spans="1:20" x14ac:dyDescent="0.25">
      <c r="A3194" s="364" t="s">
        <v>6588</v>
      </c>
      <c r="B3194" s="361" t="s">
        <v>6589</v>
      </c>
      <c r="C3194" t="s">
        <v>2419</v>
      </c>
      <c r="D3194" s="361">
        <v>1</v>
      </c>
      <c r="E3194" s="364"/>
      <c r="F3194" s="361" t="s">
        <v>1921</v>
      </c>
      <c r="T3194" s="361">
        <v>1E-3</v>
      </c>
    </row>
    <row r="3195" spans="1:20" x14ac:dyDescent="0.25">
      <c r="A3195" s="364" t="s">
        <v>6590</v>
      </c>
      <c r="B3195" s="361" t="s">
        <v>6591</v>
      </c>
      <c r="C3195" t="s">
        <v>2419</v>
      </c>
      <c r="D3195" s="361">
        <v>1</v>
      </c>
      <c r="E3195" s="364"/>
      <c r="F3195" s="361" t="s">
        <v>1917</v>
      </c>
      <c r="T3195" s="361">
        <v>1E-4</v>
      </c>
    </row>
    <row r="3196" spans="1:20" x14ac:dyDescent="0.25">
      <c r="A3196" s="364" t="s">
        <v>6592</v>
      </c>
      <c r="B3196" s="361" t="s">
        <v>6593</v>
      </c>
      <c r="C3196" t="s">
        <v>2095</v>
      </c>
      <c r="D3196" s="361">
        <v>95</v>
      </c>
      <c r="E3196" s="364"/>
      <c r="F3196" s="361" t="s">
        <v>2201</v>
      </c>
      <c r="T3196" s="361">
        <v>1.0000000000000001E-5</v>
      </c>
    </row>
    <row r="3197" spans="1:20" x14ac:dyDescent="0.25">
      <c r="A3197" s="364" t="s">
        <v>1763</v>
      </c>
      <c r="B3197" s="361" t="s">
        <v>1764</v>
      </c>
      <c r="C3197" t="s">
        <v>1922</v>
      </c>
      <c r="D3197" s="361">
        <v>1</v>
      </c>
      <c r="E3197" s="364"/>
      <c r="F3197" s="361" t="s">
        <v>1917</v>
      </c>
      <c r="T3197" s="361">
        <v>6.9</v>
      </c>
    </row>
    <row r="3198" spans="1:20" x14ac:dyDescent="0.25">
      <c r="A3198" s="364" t="s">
        <v>1765</v>
      </c>
      <c r="B3198" s="361" t="s">
        <v>1766</v>
      </c>
      <c r="C3198" t="s">
        <v>1922</v>
      </c>
      <c r="D3198" s="361">
        <v>1</v>
      </c>
      <c r="E3198" s="364"/>
      <c r="F3198" s="361" t="s">
        <v>1917</v>
      </c>
      <c r="T3198" s="361">
        <v>3</v>
      </c>
    </row>
    <row r="3199" spans="1:20" x14ac:dyDescent="0.25">
      <c r="A3199" s="364" t="s">
        <v>1767</v>
      </c>
      <c r="B3199" s="361" t="s">
        <v>1450</v>
      </c>
      <c r="C3199" t="s">
        <v>1922</v>
      </c>
      <c r="D3199" s="361">
        <v>1</v>
      </c>
      <c r="E3199" s="364"/>
      <c r="F3199" s="361" t="s">
        <v>1917</v>
      </c>
      <c r="T3199" s="361">
        <v>58.4</v>
      </c>
    </row>
    <row r="3200" spans="1:20" x14ac:dyDescent="0.25">
      <c r="A3200" s="364" t="s">
        <v>1768</v>
      </c>
      <c r="B3200" s="361" t="s">
        <v>1769</v>
      </c>
      <c r="C3200" t="s">
        <v>1916</v>
      </c>
      <c r="D3200" s="361">
        <v>2</v>
      </c>
      <c r="E3200" s="364"/>
      <c r="F3200" s="361" t="s">
        <v>1917</v>
      </c>
      <c r="T3200" s="361">
        <v>45.9</v>
      </c>
    </row>
    <row r="3201" spans="1:20" x14ac:dyDescent="0.25">
      <c r="A3201" s="364" t="s">
        <v>1770</v>
      </c>
      <c r="B3201" s="361" t="s">
        <v>1771</v>
      </c>
      <c r="C3201" t="s">
        <v>1922</v>
      </c>
      <c r="D3201" s="361">
        <v>1</v>
      </c>
      <c r="E3201" s="364"/>
      <c r="F3201" s="361" t="s">
        <v>1917</v>
      </c>
      <c r="T3201" s="361">
        <v>5.5</v>
      </c>
    </row>
    <row r="3202" spans="1:20" x14ac:dyDescent="0.25">
      <c r="A3202" s="364" t="s">
        <v>1772</v>
      </c>
      <c r="B3202" s="361" t="s">
        <v>898</v>
      </c>
      <c r="C3202" t="s">
        <v>1922</v>
      </c>
      <c r="D3202" s="361">
        <v>1</v>
      </c>
      <c r="E3202" s="364"/>
      <c r="F3202" s="361" t="s">
        <v>1917</v>
      </c>
      <c r="T3202" s="361">
        <v>6.8</v>
      </c>
    </row>
    <row r="3203" spans="1:20" x14ac:dyDescent="0.25">
      <c r="A3203" s="364" t="s">
        <v>1773</v>
      </c>
      <c r="B3203" s="361" t="s">
        <v>1774</v>
      </c>
      <c r="C3203" t="s">
        <v>1922</v>
      </c>
      <c r="D3203" s="361">
        <v>1</v>
      </c>
      <c r="E3203" s="364"/>
      <c r="F3203" s="361" t="s">
        <v>1917</v>
      </c>
      <c r="T3203" s="361">
        <v>36.4</v>
      </c>
    </row>
    <row r="3204" spans="1:20" x14ac:dyDescent="0.25">
      <c r="A3204" s="364" t="s">
        <v>1775</v>
      </c>
      <c r="B3204" s="361" t="s">
        <v>1776</v>
      </c>
      <c r="C3204" t="s">
        <v>1916</v>
      </c>
      <c r="D3204" s="361">
        <v>2</v>
      </c>
      <c r="E3204" s="364"/>
      <c r="F3204" s="361" t="s">
        <v>1917</v>
      </c>
      <c r="T3204" s="361">
        <v>118</v>
      </c>
    </row>
    <row r="3205" spans="1:20" x14ac:dyDescent="0.25">
      <c r="A3205" s="364" t="s">
        <v>1777</v>
      </c>
      <c r="B3205" s="361" t="s">
        <v>1778</v>
      </c>
      <c r="C3205" t="s">
        <v>1916</v>
      </c>
      <c r="D3205" s="361">
        <v>2</v>
      </c>
      <c r="E3205" s="364"/>
      <c r="F3205" s="361" t="s">
        <v>1917</v>
      </c>
      <c r="T3205" s="361">
        <v>70.92</v>
      </c>
    </row>
    <row r="3206" spans="1:20" x14ac:dyDescent="0.25">
      <c r="A3206" s="364" t="s">
        <v>1779</v>
      </c>
      <c r="B3206" s="361" t="s">
        <v>1780</v>
      </c>
      <c r="C3206" t="s">
        <v>1922</v>
      </c>
      <c r="D3206" s="361">
        <v>1</v>
      </c>
      <c r="E3206" s="364"/>
      <c r="F3206" s="361" t="s">
        <v>2145</v>
      </c>
      <c r="T3206" s="361">
        <v>6.055E-2</v>
      </c>
    </row>
    <row r="3207" spans="1:20" x14ac:dyDescent="0.25">
      <c r="A3207" s="364" t="s">
        <v>1781</v>
      </c>
      <c r="B3207" s="361" t="s">
        <v>1782</v>
      </c>
      <c r="C3207" t="s">
        <v>1916</v>
      </c>
      <c r="D3207" s="361">
        <v>2</v>
      </c>
      <c r="E3207" s="364"/>
      <c r="F3207" s="361" t="s">
        <v>1917</v>
      </c>
      <c r="T3207" s="361">
        <v>151.4</v>
      </c>
    </row>
    <row r="3208" spans="1:20" x14ac:dyDescent="0.25">
      <c r="A3208" s="364" t="s">
        <v>1783</v>
      </c>
      <c r="B3208" s="361" t="s">
        <v>1784</v>
      </c>
      <c r="C3208" t="s">
        <v>1922</v>
      </c>
      <c r="D3208" s="361">
        <v>1</v>
      </c>
      <c r="E3208" s="364"/>
      <c r="F3208" s="361" t="s">
        <v>2145</v>
      </c>
      <c r="T3208" s="361">
        <v>0.38700000000000001</v>
      </c>
    </row>
    <row r="3209" spans="1:20" x14ac:dyDescent="0.25">
      <c r="A3209" s="364" t="s">
        <v>1785</v>
      </c>
      <c r="B3209" s="361" t="s">
        <v>1786</v>
      </c>
      <c r="C3209" t="s">
        <v>1916</v>
      </c>
      <c r="D3209" s="361">
        <v>2</v>
      </c>
      <c r="E3209" s="364"/>
      <c r="F3209" s="361" t="s">
        <v>1917</v>
      </c>
      <c r="T3209" s="361">
        <v>162.31</v>
      </c>
    </row>
    <row r="3210" spans="1:20" x14ac:dyDescent="0.25">
      <c r="A3210" s="364" t="s">
        <v>1787</v>
      </c>
      <c r="B3210" s="361" t="s">
        <v>1788</v>
      </c>
      <c r="C3210" t="s">
        <v>1922</v>
      </c>
      <c r="D3210" s="361">
        <v>1</v>
      </c>
      <c r="E3210" s="364"/>
      <c r="F3210" s="361" t="s">
        <v>1917</v>
      </c>
      <c r="T3210" s="361">
        <v>89</v>
      </c>
    </row>
    <row r="3211" spans="1:20" x14ac:dyDescent="0.25">
      <c r="A3211" s="364" t="s">
        <v>6594</v>
      </c>
      <c r="B3211" s="361" t="s">
        <v>6595</v>
      </c>
      <c r="C3211" t="s">
        <v>2419</v>
      </c>
      <c r="D3211" s="361">
        <v>4</v>
      </c>
      <c r="E3211" s="364"/>
      <c r="F3211" s="361" t="s">
        <v>2201</v>
      </c>
      <c r="T3211" s="361">
        <v>90.14</v>
      </c>
    </row>
    <row r="3212" spans="1:20" x14ac:dyDescent="0.25">
      <c r="A3212" s="364" t="s">
        <v>6596</v>
      </c>
      <c r="B3212" s="361" t="s">
        <v>6597</v>
      </c>
      <c r="C3212" t="s">
        <v>2419</v>
      </c>
      <c r="D3212" s="361">
        <v>4</v>
      </c>
      <c r="E3212" s="364"/>
      <c r="F3212" s="361" t="s">
        <v>2201</v>
      </c>
      <c r="T3212" s="361">
        <v>36.19</v>
      </c>
    </row>
    <row r="3213" spans="1:20" x14ac:dyDescent="0.25">
      <c r="A3213" s="364" t="s">
        <v>1789</v>
      </c>
      <c r="B3213" s="361" t="s">
        <v>1790</v>
      </c>
      <c r="C3213" t="s">
        <v>1922</v>
      </c>
      <c r="D3213" s="361">
        <v>1</v>
      </c>
      <c r="E3213" s="364"/>
      <c r="F3213" s="361" t="s">
        <v>1917</v>
      </c>
      <c r="T3213" s="361">
        <v>0.05</v>
      </c>
    </row>
    <row r="3214" spans="1:20" x14ac:dyDescent="0.25">
      <c r="A3214" s="364" t="s">
        <v>247</v>
      </c>
      <c r="B3214" s="361" t="s">
        <v>1791</v>
      </c>
      <c r="C3214" t="s">
        <v>1922</v>
      </c>
      <c r="D3214" s="361">
        <v>1</v>
      </c>
      <c r="E3214" s="364"/>
      <c r="F3214" s="361" t="s">
        <v>1917</v>
      </c>
      <c r="T3214" s="361">
        <v>58.79</v>
      </c>
    </row>
    <row r="3215" spans="1:20" x14ac:dyDescent="0.25">
      <c r="A3215" s="364" t="s">
        <v>1792</v>
      </c>
      <c r="B3215" s="361" t="s">
        <v>1793</v>
      </c>
      <c r="C3215" t="s">
        <v>1922</v>
      </c>
      <c r="D3215" s="361">
        <v>1</v>
      </c>
      <c r="E3215" s="364"/>
      <c r="F3215" s="361" t="s">
        <v>1917</v>
      </c>
      <c r="T3215" s="361">
        <v>58.79</v>
      </c>
    </row>
    <row r="3216" spans="1:20" x14ac:dyDescent="0.25">
      <c r="A3216" s="364" t="s">
        <v>1794</v>
      </c>
      <c r="B3216" s="361" t="s">
        <v>1795</v>
      </c>
      <c r="C3216" t="s">
        <v>1922</v>
      </c>
      <c r="D3216" s="361">
        <v>1</v>
      </c>
      <c r="E3216" s="364"/>
      <c r="F3216" s="361" t="s">
        <v>1917</v>
      </c>
      <c r="T3216" s="361">
        <v>11.58</v>
      </c>
    </row>
    <row r="3217" spans="1:20" x14ac:dyDescent="0.25">
      <c r="A3217" s="364" t="s">
        <v>1796</v>
      </c>
      <c r="B3217" s="361" t="s">
        <v>1797</v>
      </c>
      <c r="C3217" t="s">
        <v>1916</v>
      </c>
      <c r="D3217" s="361">
        <v>2</v>
      </c>
      <c r="E3217" s="364"/>
      <c r="F3217" s="361" t="s">
        <v>1917</v>
      </c>
      <c r="T3217" s="361">
        <v>18.899999999999999</v>
      </c>
    </row>
    <row r="3218" spans="1:20" x14ac:dyDescent="0.25">
      <c r="A3218" s="364" t="s">
        <v>1798</v>
      </c>
      <c r="B3218" s="361" t="s">
        <v>1462</v>
      </c>
      <c r="C3218" t="s">
        <v>1922</v>
      </c>
      <c r="D3218" s="361">
        <v>1</v>
      </c>
      <c r="E3218" s="364"/>
      <c r="F3218" s="361" t="s">
        <v>1917</v>
      </c>
      <c r="T3218" s="361">
        <v>11.94</v>
      </c>
    </row>
    <row r="3219" spans="1:20" x14ac:dyDescent="0.25">
      <c r="A3219" s="364"/>
      <c r="B3219"/>
      <c r="C3219"/>
      <c r="D3219"/>
      <c r="E3219" s="364"/>
      <c r="F3219"/>
    </row>
    <row r="3220" spans="1:20" x14ac:dyDescent="0.25">
      <c r="A3220" s="364"/>
      <c r="B3220"/>
      <c r="C3220"/>
      <c r="D3220"/>
      <c r="E3220" s="364"/>
      <c r="F3220"/>
    </row>
    <row r="3221" spans="1:20" x14ac:dyDescent="0.25">
      <c r="A3221" s="364"/>
      <c r="B3221"/>
      <c r="C3221"/>
      <c r="D3221"/>
      <c r="E3221" s="364"/>
      <c r="F3221"/>
    </row>
    <row r="3222" spans="1:20" x14ac:dyDescent="0.25">
      <c r="A3222" s="364"/>
      <c r="B3222"/>
      <c r="C3222"/>
      <c r="D3222"/>
      <c r="E3222" s="364"/>
      <c r="F3222"/>
    </row>
    <row r="3223" spans="1:20" x14ac:dyDescent="0.25">
      <c r="A3223" s="364"/>
      <c r="B3223"/>
      <c r="C3223"/>
      <c r="D3223"/>
      <c r="E3223" s="364"/>
      <c r="F3223"/>
    </row>
    <row r="3224" spans="1:20" x14ac:dyDescent="0.25">
      <c r="A3224" s="364"/>
      <c r="B3224"/>
      <c r="C3224"/>
      <c r="D3224"/>
      <c r="E3224" s="364"/>
      <c r="F3224"/>
    </row>
    <row r="3225" spans="1:20" x14ac:dyDescent="0.25">
      <c r="A3225" s="364"/>
      <c r="B3225"/>
      <c r="C3225"/>
      <c r="D3225"/>
      <c r="E3225" s="364"/>
      <c r="F3225"/>
    </row>
    <row r="3226" spans="1:20" x14ac:dyDescent="0.25">
      <c r="A3226" s="364"/>
      <c r="B3226"/>
      <c r="C3226"/>
      <c r="D3226"/>
      <c r="E3226" s="364"/>
      <c r="F3226"/>
    </row>
    <row r="3227" spans="1:20" x14ac:dyDescent="0.25">
      <c r="A3227" s="364"/>
      <c r="B3227"/>
      <c r="C3227"/>
      <c r="D3227"/>
      <c r="E3227" s="364"/>
      <c r="F3227"/>
    </row>
    <row r="3228" spans="1:20" x14ac:dyDescent="0.25">
      <c r="A3228" s="364"/>
      <c r="B3228"/>
      <c r="C3228"/>
      <c r="D3228"/>
      <c r="E3228" s="364"/>
      <c r="F3228"/>
    </row>
    <row r="3229" spans="1:20" x14ac:dyDescent="0.25">
      <c r="A3229" s="364"/>
      <c r="B3229"/>
      <c r="C3229"/>
      <c r="D3229"/>
      <c r="E3229" s="364"/>
      <c r="F3229"/>
    </row>
    <row r="3230" spans="1:20" x14ac:dyDescent="0.25">
      <c r="A3230" s="364"/>
      <c r="B3230"/>
      <c r="C3230"/>
      <c r="D3230"/>
      <c r="E3230" s="364"/>
      <c r="F3230"/>
    </row>
    <row r="3231" spans="1:20" x14ac:dyDescent="0.25">
      <c r="A3231" s="364"/>
      <c r="B3231"/>
      <c r="C3231"/>
      <c r="D3231"/>
      <c r="E3231" s="364"/>
      <c r="F3231"/>
    </row>
    <row r="3232" spans="1:20" x14ac:dyDescent="0.25">
      <c r="A3232" s="364"/>
      <c r="B3232"/>
      <c r="C3232"/>
      <c r="D3232"/>
      <c r="E3232" s="364"/>
      <c r="F3232"/>
    </row>
    <row r="3233" spans="1:6" x14ac:dyDescent="0.25">
      <c r="A3233" s="364"/>
      <c r="B3233"/>
      <c r="C3233"/>
      <c r="D3233"/>
      <c r="E3233" s="364"/>
      <c r="F3233"/>
    </row>
    <row r="3234" spans="1:6" x14ac:dyDescent="0.25">
      <c r="A3234" s="364"/>
      <c r="B3234"/>
      <c r="C3234"/>
      <c r="D3234"/>
      <c r="E3234" s="364"/>
      <c r="F3234"/>
    </row>
    <row r="3235" spans="1:6" x14ac:dyDescent="0.25">
      <c r="A3235" s="364"/>
      <c r="B3235"/>
      <c r="C3235"/>
      <c r="D3235"/>
      <c r="E3235" s="364"/>
      <c r="F3235"/>
    </row>
    <row r="3236" spans="1:6" x14ac:dyDescent="0.25">
      <c r="A3236" s="364"/>
      <c r="B3236"/>
      <c r="C3236"/>
      <c r="D3236"/>
      <c r="E3236" s="364"/>
      <c r="F3236"/>
    </row>
    <row r="3237" spans="1:6" x14ac:dyDescent="0.25">
      <c r="A3237" s="364"/>
      <c r="B3237"/>
      <c r="C3237"/>
      <c r="D3237"/>
      <c r="E3237" s="364"/>
      <c r="F3237"/>
    </row>
    <row r="3238" spans="1:6" x14ac:dyDescent="0.25">
      <c r="A3238" s="364"/>
      <c r="B3238"/>
      <c r="C3238"/>
      <c r="D3238"/>
      <c r="E3238" s="364"/>
      <c r="F3238"/>
    </row>
    <row r="3239" spans="1:6" x14ac:dyDescent="0.25">
      <c r="A3239" s="364"/>
      <c r="B3239"/>
      <c r="C3239"/>
      <c r="D3239"/>
      <c r="E3239" s="364"/>
      <c r="F3239"/>
    </row>
    <row r="3240" spans="1:6" x14ac:dyDescent="0.25">
      <c r="A3240" s="364"/>
      <c r="B3240"/>
      <c r="C3240"/>
      <c r="D3240"/>
      <c r="E3240" s="364"/>
      <c r="F3240"/>
    </row>
    <row r="3241" spans="1:6" x14ac:dyDescent="0.25">
      <c r="A3241" s="364"/>
      <c r="B3241"/>
      <c r="C3241"/>
      <c r="D3241"/>
      <c r="E3241" s="364"/>
      <c r="F3241"/>
    </row>
    <row r="3242" spans="1:6" x14ac:dyDescent="0.25">
      <c r="A3242" s="364"/>
      <c r="B3242"/>
      <c r="C3242"/>
      <c r="D3242"/>
      <c r="E3242" s="364"/>
      <c r="F3242"/>
    </row>
    <row r="3243" spans="1:6" x14ac:dyDescent="0.25">
      <c r="A3243" s="364"/>
      <c r="B3243"/>
      <c r="C3243"/>
      <c r="D3243"/>
      <c r="E3243" s="364"/>
      <c r="F3243"/>
    </row>
    <row r="3244" spans="1:6" x14ac:dyDescent="0.25">
      <c r="A3244" s="364"/>
      <c r="B3244"/>
      <c r="C3244"/>
      <c r="D3244"/>
      <c r="E3244" s="364"/>
      <c r="F3244"/>
    </row>
    <row r="3245" spans="1:6" x14ac:dyDescent="0.25">
      <c r="A3245" s="364"/>
      <c r="B3245"/>
      <c r="C3245"/>
      <c r="D3245"/>
      <c r="E3245" s="364"/>
      <c r="F3245"/>
    </row>
    <row r="3246" spans="1:6" x14ac:dyDescent="0.25">
      <c r="A3246" s="364"/>
      <c r="B3246"/>
      <c r="C3246"/>
      <c r="D3246"/>
      <c r="E3246" s="364"/>
      <c r="F3246"/>
    </row>
    <row r="3247" spans="1:6" x14ac:dyDescent="0.25">
      <c r="A3247" s="364"/>
      <c r="B3247"/>
      <c r="C3247"/>
      <c r="D3247"/>
      <c r="E3247" s="364"/>
      <c r="F3247"/>
    </row>
    <row r="3248" spans="1:6" x14ac:dyDescent="0.25">
      <c r="A3248" s="364"/>
      <c r="B3248"/>
      <c r="C3248"/>
      <c r="D3248"/>
      <c r="E3248" s="364"/>
      <c r="F3248"/>
    </row>
    <row r="3249" spans="1:6" x14ac:dyDescent="0.25">
      <c r="A3249" s="364"/>
      <c r="B3249"/>
      <c r="C3249"/>
      <c r="D3249"/>
      <c r="E3249" s="364"/>
      <c r="F3249"/>
    </row>
    <row r="3250" spans="1:6" x14ac:dyDescent="0.25">
      <c r="A3250" s="364"/>
      <c r="B3250"/>
      <c r="C3250"/>
      <c r="D3250"/>
      <c r="E3250" s="364"/>
      <c r="F3250"/>
    </row>
    <row r="3251" spans="1:6" x14ac:dyDescent="0.25">
      <c r="A3251" s="364"/>
      <c r="B3251"/>
      <c r="C3251"/>
      <c r="D3251"/>
      <c r="E3251" s="364"/>
      <c r="F3251"/>
    </row>
    <row r="3252" spans="1:6" x14ac:dyDescent="0.25">
      <c r="A3252" s="364"/>
      <c r="B3252"/>
      <c r="C3252"/>
      <c r="D3252"/>
      <c r="E3252" s="364"/>
      <c r="F3252"/>
    </row>
    <row r="3253" spans="1:6" x14ac:dyDescent="0.25">
      <c r="A3253" s="364"/>
      <c r="B3253"/>
      <c r="C3253"/>
      <c r="D3253"/>
      <c r="E3253" s="364"/>
      <c r="F3253"/>
    </row>
    <row r="3254" spans="1:6" x14ac:dyDescent="0.25">
      <c r="A3254" s="364"/>
      <c r="B3254"/>
      <c r="C3254"/>
      <c r="D3254"/>
      <c r="E3254" s="364"/>
      <c r="F3254"/>
    </row>
    <row r="3255" spans="1:6" x14ac:dyDescent="0.25">
      <c r="A3255" s="364"/>
      <c r="B3255"/>
      <c r="C3255"/>
      <c r="D3255"/>
      <c r="E3255" s="364"/>
      <c r="F3255"/>
    </row>
    <row r="3256" spans="1:6" x14ac:dyDescent="0.25">
      <c r="A3256" s="364"/>
      <c r="B3256"/>
      <c r="C3256"/>
      <c r="D3256"/>
      <c r="E3256" s="364"/>
      <c r="F3256"/>
    </row>
    <row r="3257" spans="1:6" x14ac:dyDescent="0.25">
      <c r="A3257" s="364"/>
      <c r="B3257"/>
      <c r="C3257"/>
      <c r="D3257"/>
      <c r="E3257" s="364"/>
      <c r="F3257"/>
    </row>
    <row r="3258" spans="1:6" x14ac:dyDescent="0.25">
      <c r="A3258" s="364"/>
      <c r="B3258"/>
      <c r="C3258"/>
      <c r="D3258"/>
      <c r="E3258" s="364"/>
      <c r="F3258"/>
    </row>
    <row r="3259" spans="1:6" x14ac:dyDescent="0.25">
      <c r="A3259" s="364"/>
      <c r="B3259"/>
      <c r="C3259"/>
      <c r="D3259"/>
      <c r="E3259" s="364"/>
      <c r="F3259"/>
    </row>
    <row r="3260" spans="1:6" x14ac:dyDescent="0.25">
      <c r="A3260" s="364"/>
      <c r="B3260"/>
      <c r="C3260"/>
      <c r="D3260"/>
      <c r="E3260" s="364"/>
      <c r="F3260"/>
    </row>
    <row r="3261" spans="1:6" x14ac:dyDescent="0.25">
      <c r="A3261" s="364"/>
      <c r="B3261"/>
      <c r="C3261"/>
      <c r="D3261"/>
      <c r="E3261" s="364"/>
      <c r="F3261"/>
    </row>
    <row r="3262" spans="1:6" x14ac:dyDescent="0.25">
      <c r="A3262" s="364"/>
      <c r="B3262"/>
      <c r="C3262"/>
      <c r="D3262"/>
      <c r="E3262" s="364"/>
      <c r="F3262"/>
    </row>
    <row r="3263" spans="1:6" x14ac:dyDescent="0.25">
      <c r="A3263" s="364"/>
      <c r="B3263"/>
      <c r="C3263"/>
      <c r="D3263"/>
      <c r="E3263" s="364"/>
      <c r="F3263"/>
    </row>
    <row r="3264" spans="1:6" x14ac:dyDescent="0.25">
      <c r="A3264" s="364"/>
      <c r="B3264"/>
      <c r="C3264"/>
      <c r="D3264"/>
      <c r="E3264" s="364"/>
      <c r="F3264"/>
    </row>
    <row r="3265" spans="1:6" x14ac:dyDescent="0.25">
      <c r="A3265" s="364"/>
      <c r="B3265"/>
      <c r="C3265"/>
      <c r="D3265"/>
      <c r="E3265" s="364"/>
      <c r="F3265"/>
    </row>
    <row r="3266" spans="1:6" x14ac:dyDescent="0.25">
      <c r="A3266" s="364"/>
      <c r="B3266"/>
      <c r="C3266"/>
      <c r="D3266"/>
      <c r="E3266" s="364"/>
      <c r="F3266"/>
    </row>
    <row r="3267" spans="1:6" x14ac:dyDescent="0.25">
      <c r="A3267" s="364"/>
      <c r="B3267"/>
      <c r="C3267"/>
      <c r="D3267"/>
      <c r="E3267" s="364"/>
      <c r="F3267"/>
    </row>
    <row r="3268" spans="1:6" x14ac:dyDescent="0.25">
      <c r="A3268" s="364"/>
      <c r="B3268"/>
      <c r="C3268"/>
      <c r="D3268"/>
      <c r="E3268" s="364"/>
      <c r="F3268"/>
    </row>
    <row r="3269" spans="1:6" x14ac:dyDescent="0.25">
      <c r="A3269" s="364"/>
      <c r="B3269"/>
      <c r="C3269"/>
      <c r="D3269"/>
      <c r="E3269" s="364"/>
      <c r="F3269"/>
    </row>
    <row r="3270" spans="1:6" x14ac:dyDescent="0.25">
      <c r="A3270" s="364"/>
      <c r="B3270"/>
      <c r="C3270"/>
      <c r="D3270"/>
      <c r="E3270" s="364"/>
      <c r="F3270"/>
    </row>
    <row r="3271" spans="1:6" x14ac:dyDescent="0.25">
      <c r="A3271" s="364"/>
      <c r="B3271"/>
      <c r="C3271"/>
      <c r="D3271"/>
      <c r="E3271" s="364"/>
      <c r="F3271"/>
    </row>
    <row r="3272" spans="1:6" x14ac:dyDescent="0.25">
      <c r="A3272" s="364"/>
      <c r="B3272"/>
      <c r="C3272"/>
      <c r="D3272"/>
      <c r="E3272" s="364"/>
      <c r="F3272"/>
    </row>
    <row r="3273" spans="1:6" x14ac:dyDescent="0.25">
      <c r="A3273" s="364"/>
      <c r="B3273"/>
      <c r="C3273"/>
      <c r="D3273"/>
      <c r="E3273" s="364"/>
      <c r="F3273"/>
    </row>
    <row r="3274" spans="1:6" x14ac:dyDescent="0.25">
      <c r="A3274" s="364"/>
      <c r="B3274"/>
      <c r="C3274"/>
      <c r="D3274"/>
      <c r="E3274" s="364"/>
      <c r="F3274"/>
    </row>
    <row r="3275" spans="1:6" x14ac:dyDescent="0.25">
      <c r="A3275" s="364"/>
      <c r="B3275"/>
      <c r="C3275"/>
      <c r="D3275"/>
      <c r="E3275" s="364"/>
      <c r="F3275"/>
    </row>
    <row r="3276" spans="1:6" x14ac:dyDescent="0.25">
      <c r="A3276" s="364"/>
      <c r="B3276"/>
      <c r="C3276"/>
      <c r="D3276"/>
      <c r="E3276" s="364"/>
      <c r="F3276"/>
    </row>
    <row r="3277" spans="1:6" x14ac:dyDescent="0.25">
      <c r="A3277" s="364"/>
      <c r="B3277"/>
      <c r="C3277"/>
      <c r="D3277"/>
      <c r="E3277" s="364"/>
      <c r="F3277"/>
    </row>
    <row r="3278" spans="1:6" x14ac:dyDescent="0.25">
      <c r="A3278" s="364"/>
      <c r="B3278"/>
      <c r="C3278"/>
      <c r="D3278"/>
      <c r="E3278" s="364"/>
      <c r="F3278"/>
    </row>
    <row r="3279" spans="1:6" x14ac:dyDescent="0.25">
      <c r="A3279" s="364"/>
      <c r="B3279"/>
      <c r="C3279"/>
      <c r="D3279"/>
      <c r="E3279" s="364"/>
      <c r="F3279"/>
    </row>
    <row r="3280" spans="1:6" x14ac:dyDescent="0.25">
      <c r="A3280" s="364"/>
      <c r="B3280"/>
      <c r="C3280"/>
      <c r="D3280"/>
      <c r="E3280" s="364"/>
      <c r="F3280"/>
    </row>
    <row r="3281" spans="1:6" x14ac:dyDescent="0.25">
      <c r="A3281" s="364"/>
      <c r="B3281"/>
      <c r="C3281"/>
      <c r="D3281"/>
      <c r="E3281" s="364"/>
      <c r="F3281"/>
    </row>
    <row r="3282" spans="1:6" x14ac:dyDescent="0.25">
      <c r="A3282" s="364"/>
      <c r="B3282"/>
      <c r="C3282"/>
      <c r="D3282"/>
      <c r="E3282" s="364"/>
      <c r="F3282"/>
    </row>
    <row r="3283" spans="1:6" x14ac:dyDescent="0.25">
      <c r="A3283" s="364"/>
      <c r="B3283"/>
      <c r="C3283"/>
      <c r="D3283"/>
      <c r="E3283" s="364"/>
      <c r="F3283"/>
    </row>
    <row r="3284" spans="1:6" x14ac:dyDescent="0.25">
      <c r="A3284" s="364"/>
      <c r="B3284"/>
      <c r="C3284"/>
      <c r="D3284"/>
      <c r="E3284" s="364"/>
      <c r="F3284"/>
    </row>
    <row r="3285" spans="1:6" x14ac:dyDescent="0.25">
      <c r="A3285" s="364"/>
      <c r="B3285"/>
      <c r="C3285"/>
      <c r="D3285"/>
      <c r="E3285" s="364"/>
      <c r="F3285"/>
    </row>
    <row r="3286" spans="1:6" x14ac:dyDescent="0.25">
      <c r="A3286" s="364"/>
      <c r="B3286"/>
      <c r="C3286"/>
      <c r="D3286"/>
      <c r="E3286" s="364"/>
      <c r="F3286"/>
    </row>
    <row r="3287" spans="1:6" x14ac:dyDescent="0.25">
      <c r="A3287" s="364"/>
      <c r="B3287"/>
      <c r="C3287"/>
      <c r="D3287"/>
      <c r="E3287" s="364"/>
      <c r="F3287"/>
    </row>
    <row r="3288" spans="1:6" x14ac:dyDescent="0.25">
      <c r="A3288" s="364"/>
      <c r="B3288"/>
      <c r="C3288"/>
      <c r="D3288"/>
      <c r="E3288" s="364"/>
      <c r="F3288"/>
    </row>
    <row r="3289" spans="1:6" x14ac:dyDescent="0.25">
      <c r="A3289" s="364"/>
      <c r="B3289"/>
      <c r="C3289"/>
      <c r="D3289"/>
      <c r="E3289" s="364"/>
      <c r="F3289"/>
    </row>
    <row r="3290" spans="1:6" x14ac:dyDescent="0.25">
      <c r="A3290" s="364"/>
      <c r="B3290"/>
      <c r="C3290"/>
      <c r="D3290"/>
      <c r="E3290" s="364"/>
      <c r="F3290"/>
    </row>
    <row r="3291" spans="1:6" x14ac:dyDescent="0.25">
      <c r="A3291" s="364"/>
      <c r="B3291"/>
      <c r="C3291"/>
      <c r="D3291"/>
      <c r="E3291" s="364"/>
      <c r="F3291"/>
    </row>
    <row r="3292" spans="1:6" x14ac:dyDescent="0.25">
      <c r="A3292" s="364"/>
      <c r="B3292"/>
      <c r="C3292"/>
      <c r="D3292"/>
      <c r="E3292" s="364"/>
      <c r="F3292"/>
    </row>
    <row r="3293" spans="1:6" x14ac:dyDescent="0.25">
      <c r="A3293" s="364"/>
      <c r="B3293"/>
      <c r="C3293"/>
      <c r="D3293"/>
      <c r="E3293" s="364"/>
      <c r="F3293"/>
    </row>
    <row r="3294" spans="1:6" x14ac:dyDescent="0.25">
      <c r="A3294" s="364"/>
      <c r="B3294"/>
      <c r="C3294"/>
      <c r="D3294"/>
      <c r="E3294" s="364"/>
      <c r="F3294"/>
    </row>
    <row r="3295" spans="1:6" x14ac:dyDescent="0.25">
      <c r="A3295" s="364"/>
      <c r="B3295"/>
      <c r="C3295"/>
      <c r="D3295"/>
      <c r="E3295" s="364"/>
      <c r="F3295"/>
    </row>
    <row r="3296" spans="1:6" x14ac:dyDescent="0.25">
      <c r="A3296" s="364"/>
      <c r="B3296"/>
      <c r="C3296"/>
      <c r="D3296"/>
      <c r="E3296" s="364"/>
      <c r="F3296"/>
    </row>
    <row r="3297" spans="1:6" x14ac:dyDescent="0.25">
      <c r="A3297" s="364"/>
      <c r="B3297"/>
      <c r="C3297"/>
      <c r="D3297"/>
      <c r="E3297" s="364"/>
      <c r="F3297"/>
    </row>
    <row r="3298" spans="1:6" x14ac:dyDescent="0.25">
      <c r="A3298" s="364"/>
      <c r="B3298"/>
      <c r="C3298"/>
      <c r="D3298"/>
      <c r="E3298" s="364"/>
      <c r="F3298"/>
    </row>
    <row r="3299" spans="1:6" x14ac:dyDescent="0.25">
      <c r="A3299" s="364"/>
      <c r="B3299"/>
      <c r="C3299"/>
      <c r="D3299"/>
      <c r="E3299" s="364"/>
      <c r="F3299"/>
    </row>
    <row r="3300" spans="1:6" x14ac:dyDescent="0.25">
      <c r="A3300" s="364"/>
      <c r="B3300"/>
      <c r="C3300"/>
      <c r="D3300"/>
      <c r="E3300" s="364"/>
      <c r="F3300"/>
    </row>
    <row r="3301" spans="1:6" x14ac:dyDescent="0.25">
      <c r="A3301" s="364"/>
      <c r="B3301"/>
      <c r="C3301"/>
      <c r="D3301"/>
      <c r="E3301" s="364"/>
      <c r="F3301"/>
    </row>
    <row r="3302" spans="1:6" x14ac:dyDescent="0.25">
      <c r="A3302" s="364"/>
      <c r="B3302"/>
      <c r="C3302"/>
      <c r="D3302"/>
      <c r="E3302" s="364"/>
      <c r="F3302"/>
    </row>
    <row r="3303" spans="1:6" x14ac:dyDescent="0.25">
      <c r="A3303" s="364"/>
      <c r="B3303"/>
      <c r="C3303"/>
      <c r="D3303"/>
      <c r="E3303" s="364"/>
      <c r="F3303"/>
    </row>
    <row r="3304" spans="1:6" x14ac:dyDescent="0.25">
      <c r="A3304" s="364"/>
      <c r="B3304"/>
      <c r="C3304"/>
      <c r="D3304"/>
      <c r="E3304" s="364"/>
      <c r="F3304"/>
    </row>
    <row r="3305" spans="1:6" x14ac:dyDescent="0.25">
      <c r="A3305" s="364"/>
      <c r="B3305"/>
      <c r="C3305"/>
      <c r="D3305"/>
      <c r="E3305" s="364"/>
      <c r="F3305"/>
    </row>
    <row r="3306" spans="1:6" x14ac:dyDescent="0.25">
      <c r="A3306" s="364"/>
      <c r="B3306"/>
      <c r="C3306"/>
      <c r="D3306"/>
      <c r="E3306" s="364"/>
      <c r="F3306"/>
    </row>
    <row r="3307" spans="1:6" x14ac:dyDescent="0.25">
      <c r="A3307" s="364"/>
      <c r="B3307"/>
      <c r="C3307"/>
      <c r="D3307"/>
      <c r="E3307" s="364"/>
      <c r="F3307"/>
    </row>
    <row r="3308" spans="1:6" x14ac:dyDescent="0.25">
      <c r="A3308" s="364"/>
      <c r="B3308"/>
      <c r="C3308"/>
      <c r="D3308"/>
      <c r="E3308" s="364"/>
      <c r="F3308"/>
    </row>
    <row r="3309" spans="1:6" x14ac:dyDescent="0.25">
      <c r="A3309" s="364"/>
      <c r="B3309"/>
      <c r="C3309"/>
      <c r="D3309"/>
      <c r="E3309" s="364"/>
      <c r="F3309"/>
    </row>
    <row r="3310" spans="1:6" x14ac:dyDescent="0.25">
      <c r="A3310" s="364"/>
      <c r="B3310"/>
      <c r="C3310"/>
      <c r="D3310"/>
      <c r="E3310" s="364"/>
      <c r="F3310"/>
    </row>
    <row r="3311" spans="1:6" x14ac:dyDescent="0.25">
      <c r="A3311" s="364"/>
      <c r="B3311"/>
      <c r="C3311"/>
      <c r="D3311"/>
      <c r="E3311" s="364"/>
      <c r="F3311"/>
    </row>
    <row r="3312" spans="1:6" x14ac:dyDescent="0.25">
      <c r="A3312" s="364"/>
      <c r="B3312"/>
      <c r="C3312"/>
      <c r="D3312"/>
      <c r="E3312" s="364"/>
      <c r="F3312"/>
    </row>
    <row r="3313" spans="1:6" x14ac:dyDescent="0.25">
      <c r="A3313" s="364"/>
      <c r="B3313"/>
      <c r="C3313"/>
      <c r="D3313"/>
      <c r="E3313" s="364"/>
      <c r="F3313"/>
    </row>
    <row r="3314" spans="1:6" x14ac:dyDescent="0.25">
      <c r="A3314" s="364"/>
      <c r="B3314"/>
      <c r="C3314"/>
      <c r="D3314"/>
      <c r="E3314" s="364"/>
      <c r="F3314"/>
    </row>
    <row r="3315" spans="1:6" x14ac:dyDescent="0.25">
      <c r="A3315" s="364"/>
      <c r="B3315"/>
      <c r="C3315"/>
      <c r="D3315"/>
      <c r="E3315" s="364"/>
      <c r="F3315"/>
    </row>
    <row r="3316" spans="1:6" x14ac:dyDescent="0.25">
      <c r="A3316" s="364"/>
      <c r="B3316"/>
      <c r="C3316"/>
      <c r="D3316"/>
      <c r="E3316" s="364"/>
      <c r="F3316"/>
    </row>
    <row r="3317" spans="1:6" x14ac:dyDescent="0.25">
      <c r="A3317" s="364"/>
      <c r="B3317"/>
      <c r="C3317"/>
      <c r="D3317"/>
      <c r="E3317" s="364"/>
      <c r="F3317"/>
    </row>
    <row r="3318" spans="1:6" x14ac:dyDescent="0.25">
      <c r="A3318" s="364"/>
      <c r="B3318"/>
      <c r="C3318"/>
      <c r="D3318"/>
      <c r="E3318" s="364"/>
      <c r="F3318"/>
    </row>
    <row r="3319" spans="1:6" x14ac:dyDescent="0.25">
      <c r="A3319" s="364"/>
      <c r="B3319"/>
      <c r="C3319"/>
      <c r="D3319"/>
      <c r="E3319" s="364"/>
      <c r="F3319"/>
    </row>
    <row r="3320" spans="1:6" x14ac:dyDescent="0.25">
      <c r="A3320" s="364"/>
      <c r="B3320"/>
      <c r="C3320"/>
      <c r="D3320"/>
      <c r="E3320" s="364"/>
      <c r="F3320"/>
    </row>
    <row r="3321" spans="1:6" x14ac:dyDescent="0.25">
      <c r="A3321" s="364"/>
      <c r="B3321"/>
      <c r="C3321"/>
      <c r="D3321"/>
      <c r="E3321" s="364"/>
      <c r="F3321"/>
    </row>
    <row r="3322" spans="1:6" x14ac:dyDescent="0.25">
      <c r="A3322" s="364"/>
      <c r="B3322"/>
      <c r="C3322"/>
      <c r="D3322"/>
      <c r="E3322" s="364"/>
      <c r="F3322"/>
    </row>
    <row r="3323" spans="1:6" x14ac:dyDescent="0.25">
      <c r="A3323" s="364"/>
      <c r="B3323"/>
      <c r="C3323"/>
      <c r="D3323"/>
      <c r="E3323" s="364"/>
      <c r="F3323"/>
    </row>
    <row r="3324" spans="1:6" x14ac:dyDescent="0.25">
      <c r="A3324" s="364"/>
      <c r="B3324"/>
      <c r="C3324"/>
      <c r="D3324"/>
      <c r="E3324" s="364"/>
      <c r="F3324"/>
    </row>
    <row r="3325" spans="1:6" x14ac:dyDescent="0.25">
      <c r="A3325" s="364"/>
      <c r="B3325"/>
      <c r="C3325"/>
      <c r="D3325"/>
      <c r="E3325" s="364"/>
      <c r="F3325"/>
    </row>
    <row r="3326" spans="1:6" x14ac:dyDescent="0.25">
      <c r="A3326" s="364"/>
      <c r="B3326"/>
      <c r="C3326"/>
      <c r="D3326"/>
      <c r="E3326" s="364"/>
      <c r="F3326"/>
    </row>
    <row r="3327" spans="1:6" x14ac:dyDescent="0.25">
      <c r="A3327" s="364"/>
      <c r="B3327"/>
      <c r="C3327"/>
      <c r="D3327"/>
      <c r="E3327" s="364"/>
      <c r="F3327"/>
    </row>
    <row r="3328" spans="1:6" x14ac:dyDescent="0.25">
      <c r="A3328" s="364"/>
      <c r="B3328"/>
      <c r="C3328"/>
      <c r="D3328"/>
      <c r="E3328" s="364"/>
      <c r="F3328"/>
    </row>
    <row r="3329" spans="1:6" x14ac:dyDescent="0.25">
      <c r="A3329" s="364"/>
      <c r="B3329"/>
      <c r="C3329"/>
      <c r="D3329"/>
      <c r="E3329" s="364"/>
      <c r="F3329"/>
    </row>
    <row r="3330" spans="1:6" x14ac:dyDescent="0.25">
      <c r="A3330" s="364"/>
      <c r="B3330"/>
      <c r="C3330"/>
      <c r="D3330"/>
      <c r="E3330" s="364"/>
      <c r="F3330"/>
    </row>
    <row r="3331" spans="1:6" x14ac:dyDescent="0.25">
      <c r="A3331" s="364"/>
      <c r="B3331"/>
      <c r="C3331"/>
      <c r="D3331"/>
      <c r="E3331" s="364"/>
      <c r="F3331"/>
    </row>
    <row r="3332" spans="1:6" x14ac:dyDescent="0.25">
      <c r="A3332" s="364"/>
      <c r="B3332"/>
      <c r="C3332"/>
      <c r="D3332"/>
      <c r="E3332" s="364"/>
      <c r="F3332"/>
    </row>
    <row r="3333" spans="1:6" x14ac:dyDescent="0.25">
      <c r="A3333" s="364"/>
      <c r="B3333"/>
      <c r="C3333"/>
      <c r="D3333"/>
      <c r="E3333" s="364"/>
      <c r="F3333"/>
    </row>
    <row r="3334" spans="1:6" x14ac:dyDescent="0.25">
      <c r="A3334" s="364"/>
      <c r="B3334"/>
      <c r="C3334"/>
      <c r="D3334"/>
      <c r="E3334" s="364"/>
      <c r="F3334"/>
    </row>
    <row r="3335" spans="1:6" x14ac:dyDescent="0.25">
      <c r="A3335" s="364"/>
      <c r="B3335"/>
      <c r="C3335"/>
      <c r="D3335"/>
      <c r="E3335" s="364"/>
      <c r="F3335"/>
    </row>
    <row r="3336" spans="1:6" x14ac:dyDescent="0.25">
      <c r="A3336" s="364"/>
      <c r="B3336"/>
      <c r="C3336"/>
      <c r="D3336"/>
      <c r="E3336" s="364"/>
      <c r="F3336"/>
    </row>
    <row r="3337" spans="1:6" x14ac:dyDescent="0.25">
      <c r="A3337" s="364"/>
      <c r="B3337"/>
      <c r="C3337"/>
      <c r="D3337"/>
      <c r="E3337" s="364"/>
      <c r="F3337"/>
    </row>
    <row r="3338" spans="1:6" x14ac:dyDescent="0.25">
      <c r="A3338" s="364"/>
      <c r="B3338"/>
      <c r="C3338"/>
      <c r="D3338"/>
      <c r="E3338" s="364"/>
      <c r="F3338"/>
    </row>
    <row r="3339" spans="1:6" x14ac:dyDescent="0.25">
      <c r="A3339" s="364"/>
      <c r="B3339"/>
      <c r="C3339"/>
      <c r="D3339"/>
      <c r="E3339" s="364"/>
      <c r="F3339"/>
    </row>
    <row r="3340" spans="1:6" x14ac:dyDescent="0.25">
      <c r="A3340" s="364"/>
      <c r="B3340"/>
      <c r="C3340"/>
      <c r="D3340"/>
      <c r="E3340" s="364"/>
      <c r="F3340"/>
    </row>
    <row r="3341" spans="1:6" x14ac:dyDescent="0.25">
      <c r="A3341" s="364"/>
      <c r="B3341"/>
      <c r="C3341"/>
      <c r="D3341"/>
      <c r="E3341" s="364"/>
      <c r="F3341"/>
    </row>
    <row r="3342" spans="1:6" x14ac:dyDescent="0.25">
      <c r="A3342" s="364"/>
      <c r="B3342"/>
      <c r="C3342"/>
      <c r="D3342"/>
      <c r="E3342" s="364"/>
      <c r="F3342"/>
    </row>
    <row r="3343" spans="1:6" x14ac:dyDescent="0.25">
      <c r="A3343" s="364"/>
      <c r="B3343"/>
      <c r="C3343"/>
      <c r="D3343"/>
      <c r="E3343" s="364"/>
      <c r="F3343"/>
    </row>
    <row r="3344" spans="1:6" x14ac:dyDescent="0.25">
      <c r="A3344" s="364"/>
      <c r="B3344"/>
      <c r="C3344"/>
      <c r="D3344"/>
      <c r="E3344" s="364"/>
      <c r="F3344"/>
    </row>
    <row r="3345" spans="1:6" x14ac:dyDescent="0.25">
      <c r="A3345" s="364"/>
      <c r="B3345"/>
      <c r="C3345"/>
      <c r="D3345"/>
      <c r="E3345" s="364"/>
      <c r="F3345"/>
    </row>
    <row r="3346" spans="1:6" x14ac:dyDescent="0.25">
      <c r="A3346" s="364"/>
      <c r="B3346"/>
      <c r="C3346"/>
      <c r="D3346"/>
      <c r="E3346" s="364"/>
      <c r="F3346"/>
    </row>
    <row r="3347" spans="1:6" x14ac:dyDescent="0.25">
      <c r="A3347" s="364"/>
      <c r="B3347"/>
      <c r="C3347"/>
      <c r="D3347"/>
      <c r="E3347" s="364"/>
      <c r="F3347"/>
    </row>
    <row r="3348" spans="1:6" x14ac:dyDescent="0.25">
      <c r="A3348" s="364"/>
      <c r="B3348"/>
      <c r="C3348"/>
      <c r="D3348"/>
      <c r="E3348" s="364"/>
      <c r="F3348"/>
    </row>
    <row r="3349" spans="1:6" x14ac:dyDescent="0.25">
      <c r="A3349" s="364"/>
      <c r="B3349"/>
      <c r="C3349"/>
      <c r="D3349"/>
      <c r="E3349" s="364"/>
      <c r="F3349"/>
    </row>
    <row r="3350" spans="1:6" x14ac:dyDescent="0.25">
      <c r="A3350" s="364"/>
      <c r="B3350"/>
      <c r="C3350"/>
      <c r="D3350"/>
      <c r="E3350" s="364"/>
      <c r="F3350"/>
    </row>
    <row r="3351" spans="1:6" x14ac:dyDescent="0.25">
      <c r="A3351" s="364"/>
      <c r="B3351"/>
      <c r="C3351"/>
      <c r="D3351"/>
      <c r="E3351" s="364"/>
      <c r="F3351"/>
    </row>
    <row r="3352" spans="1:6" x14ac:dyDescent="0.25">
      <c r="A3352" s="364"/>
      <c r="B3352"/>
      <c r="C3352"/>
      <c r="D3352"/>
      <c r="E3352" s="364"/>
      <c r="F3352"/>
    </row>
    <row r="3353" spans="1:6" x14ac:dyDescent="0.25">
      <c r="A3353" s="364"/>
      <c r="B3353"/>
      <c r="C3353"/>
      <c r="D3353"/>
      <c r="E3353" s="364"/>
      <c r="F3353"/>
    </row>
    <row r="3354" spans="1:6" x14ac:dyDescent="0.25">
      <c r="A3354" s="364"/>
      <c r="B3354"/>
      <c r="C3354"/>
      <c r="D3354"/>
      <c r="E3354" s="364"/>
      <c r="F3354"/>
    </row>
    <row r="3355" spans="1:6" x14ac:dyDescent="0.25">
      <c r="A3355" s="364"/>
      <c r="B3355"/>
      <c r="C3355"/>
      <c r="D3355"/>
      <c r="E3355" s="364"/>
      <c r="F3355"/>
    </row>
    <row r="3356" spans="1:6" x14ac:dyDescent="0.25">
      <c r="A3356" s="364"/>
      <c r="B3356"/>
      <c r="C3356"/>
      <c r="D3356"/>
      <c r="E3356" s="364"/>
      <c r="F3356"/>
    </row>
    <row r="3357" spans="1:6" x14ac:dyDescent="0.25">
      <c r="A3357" s="364"/>
      <c r="B3357"/>
      <c r="C3357"/>
      <c r="D3357"/>
      <c r="E3357" s="364"/>
      <c r="F3357"/>
    </row>
    <row r="3358" spans="1:6" x14ac:dyDescent="0.25">
      <c r="A3358" s="364"/>
      <c r="B3358"/>
      <c r="C3358"/>
      <c r="D3358"/>
      <c r="E3358" s="364"/>
      <c r="F3358"/>
    </row>
    <row r="3359" spans="1:6" x14ac:dyDescent="0.25">
      <c r="A3359" s="364"/>
      <c r="B3359"/>
      <c r="C3359"/>
      <c r="D3359"/>
      <c r="E3359" s="364"/>
      <c r="F3359"/>
    </row>
    <row r="3360" spans="1:6" x14ac:dyDescent="0.25">
      <c r="A3360" s="364"/>
      <c r="B3360"/>
      <c r="C3360"/>
      <c r="D3360"/>
      <c r="E3360" s="364"/>
      <c r="F3360"/>
    </row>
    <row r="3361" spans="1:6" x14ac:dyDescent="0.25">
      <c r="A3361" s="364"/>
      <c r="B3361"/>
      <c r="C3361"/>
      <c r="D3361"/>
      <c r="E3361" s="364"/>
      <c r="F3361"/>
    </row>
    <row r="3362" spans="1:6" x14ac:dyDescent="0.25">
      <c r="A3362" s="364"/>
      <c r="B3362"/>
      <c r="C3362"/>
      <c r="D3362"/>
      <c r="E3362" s="364"/>
      <c r="F3362"/>
    </row>
    <row r="3363" spans="1:6" x14ac:dyDescent="0.25">
      <c r="A3363" s="364"/>
      <c r="B3363"/>
      <c r="C3363"/>
      <c r="D3363"/>
      <c r="E3363" s="364"/>
      <c r="F3363"/>
    </row>
    <row r="3364" spans="1:6" x14ac:dyDescent="0.25">
      <c r="A3364" s="364"/>
      <c r="B3364"/>
      <c r="C3364"/>
      <c r="D3364"/>
      <c r="E3364" s="364"/>
      <c r="F3364"/>
    </row>
    <row r="3365" spans="1:6" x14ac:dyDescent="0.25">
      <c r="A3365" s="364"/>
      <c r="B3365"/>
      <c r="C3365"/>
      <c r="D3365"/>
      <c r="E3365" s="364"/>
      <c r="F3365"/>
    </row>
    <row r="3366" spans="1:6" x14ac:dyDescent="0.25">
      <c r="A3366" s="364"/>
      <c r="B3366"/>
      <c r="C3366"/>
      <c r="D3366"/>
      <c r="E3366" s="364"/>
      <c r="F3366"/>
    </row>
    <row r="3367" spans="1:6" x14ac:dyDescent="0.25">
      <c r="A3367" s="364"/>
      <c r="B3367"/>
      <c r="C3367"/>
      <c r="D3367"/>
      <c r="E3367" s="364"/>
      <c r="F3367"/>
    </row>
    <row r="3368" spans="1:6" x14ac:dyDescent="0.25">
      <c r="A3368" s="364"/>
      <c r="B3368"/>
      <c r="C3368"/>
      <c r="D3368"/>
      <c r="E3368" s="364"/>
      <c r="F3368"/>
    </row>
    <row r="3369" spans="1:6" x14ac:dyDescent="0.25">
      <c r="A3369" s="364"/>
      <c r="B3369"/>
      <c r="C3369"/>
      <c r="D3369"/>
      <c r="E3369" s="364"/>
      <c r="F3369"/>
    </row>
    <row r="3370" spans="1:6" x14ac:dyDescent="0.25">
      <c r="A3370" s="364"/>
      <c r="B3370"/>
      <c r="C3370"/>
      <c r="D3370"/>
      <c r="E3370" s="364"/>
      <c r="F3370"/>
    </row>
    <row r="3371" spans="1:6" x14ac:dyDescent="0.25">
      <c r="A3371" s="364"/>
      <c r="B3371"/>
      <c r="C3371"/>
      <c r="D3371"/>
      <c r="E3371" s="364"/>
      <c r="F3371"/>
    </row>
    <row r="3372" spans="1:6" x14ac:dyDescent="0.25">
      <c r="A3372" s="364"/>
      <c r="B3372"/>
      <c r="C3372"/>
      <c r="D3372"/>
      <c r="E3372" s="364"/>
      <c r="F3372"/>
    </row>
    <row r="3373" spans="1:6" x14ac:dyDescent="0.25">
      <c r="A3373" s="364"/>
      <c r="B3373"/>
      <c r="C3373"/>
      <c r="D3373"/>
      <c r="E3373" s="364"/>
      <c r="F3373"/>
    </row>
    <row r="3374" spans="1:6" x14ac:dyDescent="0.25">
      <c r="A3374" s="364"/>
      <c r="B3374"/>
      <c r="C3374"/>
      <c r="D3374"/>
      <c r="E3374" s="364"/>
      <c r="F3374"/>
    </row>
    <row r="3375" spans="1:6" x14ac:dyDescent="0.25">
      <c r="A3375" s="364"/>
      <c r="B3375"/>
      <c r="C3375"/>
      <c r="D3375"/>
      <c r="E3375" s="364"/>
      <c r="F3375"/>
    </row>
    <row r="3376" spans="1:6" x14ac:dyDescent="0.25">
      <c r="A3376" s="364"/>
      <c r="B3376"/>
      <c r="C3376"/>
      <c r="D3376"/>
      <c r="E3376" s="364"/>
      <c r="F3376"/>
    </row>
    <row r="3377" spans="1:6" x14ac:dyDescent="0.25">
      <c r="A3377" s="364"/>
      <c r="B3377"/>
      <c r="C3377"/>
      <c r="D3377"/>
      <c r="E3377" s="364"/>
      <c r="F3377"/>
    </row>
    <row r="3378" spans="1:6" x14ac:dyDescent="0.25">
      <c r="A3378" s="364"/>
      <c r="B3378"/>
      <c r="C3378"/>
      <c r="D3378"/>
      <c r="E3378" s="364"/>
      <c r="F3378"/>
    </row>
    <row r="3379" spans="1:6" x14ac:dyDescent="0.25">
      <c r="A3379" s="364"/>
      <c r="B3379"/>
      <c r="C3379"/>
      <c r="D3379"/>
      <c r="E3379" s="364"/>
      <c r="F3379"/>
    </row>
    <row r="3380" spans="1:6" x14ac:dyDescent="0.25">
      <c r="A3380" s="364"/>
      <c r="B3380"/>
      <c r="C3380"/>
      <c r="D3380"/>
      <c r="E3380" s="364"/>
      <c r="F3380"/>
    </row>
    <row r="3381" spans="1:6" x14ac:dyDescent="0.25">
      <c r="A3381" s="364"/>
      <c r="B3381"/>
      <c r="C3381"/>
      <c r="D3381"/>
      <c r="E3381" s="364"/>
      <c r="F3381"/>
    </row>
    <row r="3382" spans="1:6" x14ac:dyDescent="0.25">
      <c r="A3382" s="364"/>
      <c r="B3382"/>
      <c r="C3382"/>
      <c r="D3382"/>
      <c r="E3382" s="364"/>
      <c r="F3382"/>
    </row>
    <row r="3383" spans="1:6" x14ac:dyDescent="0.25">
      <c r="A3383" s="364"/>
      <c r="B3383"/>
      <c r="C3383"/>
      <c r="D3383"/>
      <c r="E3383" s="364"/>
      <c r="F3383"/>
    </row>
    <row r="3384" spans="1:6" x14ac:dyDescent="0.25">
      <c r="A3384" s="364"/>
      <c r="B3384"/>
      <c r="C3384"/>
      <c r="D3384"/>
      <c r="E3384" s="364"/>
      <c r="F3384"/>
    </row>
    <row r="3385" spans="1:6" x14ac:dyDescent="0.25">
      <c r="A3385" s="364"/>
      <c r="B3385"/>
      <c r="C3385"/>
      <c r="D3385"/>
      <c r="E3385" s="364"/>
      <c r="F3385"/>
    </row>
    <row r="3386" spans="1:6" x14ac:dyDescent="0.25">
      <c r="A3386" s="364"/>
      <c r="B3386"/>
      <c r="C3386"/>
      <c r="D3386"/>
      <c r="E3386" s="364"/>
      <c r="F3386"/>
    </row>
    <row r="3387" spans="1:6" x14ac:dyDescent="0.25">
      <c r="A3387" s="364"/>
      <c r="B3387"/>
      <c r="C3387"/>
      <c r="D3387"/>
      <c r="E3387" s="364"/>
      <c r="F3387"/>
    </row>
    <row r="3388" spans="1:6" x14ac:dyDescent="0.25">
      <c r="A3388" s="364"/>
      <c r="B3388"/>
      <c r="C3388"/>
      <c r="D3388"/>
      <c r="E3388" s="364"/>
      <c r="F3388"/>
    </row>
    <row r="3389" spans="1:6" x14ac:dyDescent="0.25">
      <c r="A3389" s="364"/>
      <c r="B3389"/>
      <c r="C3389"/>
      <c r="D3389"/>
      <c r="E3389" s="364"/>
      <c r="F3389"/>
    </row>
    <row r="3390" spans="1:6" x14ac:dyDescent="0.25">
      <c r="A3390" s="364"/>
      <c r="B3390"/>
      <c r="C3390"/>
      <c r="D3390"/>
      <c r="E3390" s="364"/>
      <c r="F3390"/>
    </row>
    <row r="3391" spans="1:6" x14ac:dyDescent="0.25">
      <c r="A3391" s="364"/>
      <c r="B3391"/>
      <c r="C3391"/>
      <c r="D3391"/>
      <c r="E3391" s="364"/>
      <c r="F3391"/>
    </row>
    <row r="3392" spans="1:6" x14ac:dyDescent="0.25">
      <c r="A3392" s="364"/>
      <c r="B3392"/>
      <c r="C3392"/>
      <c r="D3392"/>
      <c r="E3392" s="364"/>
      <c r="F3392"/>
    </row>
    <row r="3393" spans="1:6" x14ac:dyDescent="0.25">
      <c r="A3393" s="364"/>
      <c r="B3393"/>
      <c r="C3393"/>
      <c r="D3393"/>
      <c r="E3393" s="364"/>
      <c r="F3393"/>
    </row>
    <row r="3394" spans="1:6" x14ac:dyDescent="0.25">
      <c r="A3394" s="364"/>
      <c r="B3394"/>
      <c r="C3394"/>
      <c r="D3394"/>
      <c r="E3394" s="364"/>
      <c r="F3394"/>
    </row>
    <row r="3395" spans="1:6" x14ac:dyDescent="0.25">
      <c r="A3395" s="364"/>
      <c r="B3395"/>
      <c r="C3395"/>
      <c r="D3395"/>
      <c r="E3395" s="364"/>
      <c r="F3395"/>
    </row>
    <row r="3396" spans="1:6" x14ac:dyDescent="0.25">
      <c r="A3396" s="364"/>
      <c r="B3396"/>
      <c r="C3396"/>
      <c r="D3396"/>
      <c r="E3396" s="364"/>
      <c r="F3396"/>
    </row>
    <row r="3397" spans="1:6" x14ac:dyDescent="0.25">
      <c r="A3397" s="364"/>
      <c r="B3397"/>
      <c r="C3397"/>
      <c r="D3397"/>
      <c r="E3397" s="364"/>
      <c r="F3397"/>
    </row>
    <row r="3398" spans="1:6" x14ac:dyDescent="0.25">
      <c r="A3398" s="364"/>
      <c r="B3398"/>
      <c r="C3398"/>
      <c r="D3398"/>
      <c r="E3398" s="364"/>
      <c r="F3398"/>
    </row>
    <row r="3399" spans="1:6" x14ac:dyDescent="0.25">
      <c r="A3399" s="364"/>
      <c r="B3399"/>
      <c r="C3399"/>
      <c r="D3399"/>
      <c r="E3399" s="364"/>
      <c r="F3399"/>
    </row>
    <row r="3400" spans="1:6" x14ac:dyDescent="0.25">
      <c r="A3400" s="364"/>
      <c r="B3400"/>
      <c r="C3400"/>
      <c r="D3400"/>
      <c r="E3400" s="364"/>
      <c r="F3400"/>
    </row>
    <row r="3401" spans="1:6" x14ac:dyDescent="0.25">
      <c r="A3401" s="364"/>
      <c r="B3401"/>
      <c r="C3401"/>
      <c r="D3401"/>
      <c r="E3401" s="364"/>
      <c r="F3401"/>
    </row>
    <row r="3402" spans="1:6" x14ac:dyDescent="0.25">
      <c r="A3402" s="364"/>
      <c r="B3402"/>
      <c r="C3402"/>
      <c r="D3402"/>
      <c r="E3402" s="364"/>
      <c r="F3402"/>
    </row>
    <row r="3403" spans="1:6" x14ac:dyDescent="0.25">
      <c r="A3403" s="364"/>
      <c r="B3403"/>
      <c r="C3403"/>
      <c r="D3403"/>
      <c r="E3403" s="364"/>
      <c r="F3403"/>
    </row>
    <row r="3404" spans="1:6" x14ac:dyDescent="0.25">
      <c r="A3404" s="364"/>
      <c r="B3404"/>
      <c r="C3404"/>
      <c r="D3404"/>
      <c r="E3404" s="364"/>
      <c r="F3404"/>
    </row>
    <row r="3405" spans="1:6" x14ac:dyDescent="0.25">
      <c r="A3405" s="364"/>
      <c r="B3405"/>
      <c r="C3405"/>
      <c r="D3405"/>
      <c r="E3405" s="364"/>
      <c r="F3405"/>
    </row>
    <row r="3406" spans="1:6" x14ac:dyDescent="0.25">
      <c r="A3406" s="364"/>
      <c r="B3406"/>
      <c r="C3406"/>
      <c r="D3406"/>
      <c r="E3406" s="364"/>
      <c r="F3406"/>
    </row>
    <row r="3407" spans="1:6" x14ac:dyDescent="0.25">
      <c r="A3407" s="364"/>
      <c r="B3407"/>
      <c r="C3407"/>
      <c r="D3407"/>
      <c r="E3407" s="364"/>
      <c r="F3407"/>
    </row>
    <row r="3408" spans="1:6" x14ac:dyDescent="0.25">
      <c r="A3408" s="364"/>
      <c r="B3408"/>
      <c r="C3408"/>
      <c r="D3408"/>
      <c r="E3408" s="364"/>
      <c r="F3408"/>
    </row>
    <row r="3409" spans="1:6" x14ac:dyDescent="0.25">
      <c r="A3409" s="364"/>
      <c r="B3409"/>
      <c r="C3409"/>
      <c r="D3409"/>
      <c r="E3409" s="364"/>
      <c r="F3409"/>
    </row>
    <row r="3410" spans="1:6" x14ac:dyDescent="0.25">
      <c r="A3410" s="364"/>
      <c r="B3410"/>
      <c r="C3410"/>
      <c r="D3410"/>
      <c r="E3410" s="364"/>
      <c r="F3410"/>
    </row>
    <row r="3411" spans="1:6" x14ac:dyDescent="0.25">
      <c r="A3411" s="364"/>
      <c r="B3411"/>
      <c r="C3411"/>
      <c r="D3411"/>
      <c r="E3411" s="364"/>
      <c r="F3411"/>
    </row>
    <row r="3412" spans="1:6" x14ac:dyDescent="0.25">
      <c r="A3412" s="364"/>
      <c r="B3412"/>
      <c r="C3412"/>
      <c r="D3412"/>
      <c r="E3412" s="364"/>
      <c r="F3412"/>
    </row>
    <row r="3413" spans="1:6" x14ac:dyDescent="0.25">
      <c r="A3413" s="364"/>
      <c r="B3413"/>
      <c r="C3413"/>
      <c r="D3413"/>
      <c r="E3413" s="364"/>
      <c r="F3413"/>
    </row>
    <row r="3414" spans="1:6" x14ac:dyDescent="0.25">
      <c r="A3414" s="364"/>
      <c r="B3414"/>
      <c r="C3414"/>
      <c r="D3414"/>
      <c r="E3414" s="364"/>
      <c r="F3414"/>
    </row>
    <row r="3415" spans="1:6" x14ac:dyDescent="0.25">
      <c r="A3415" s="364"/>
      <c r="B3415"/>
      <c r="C3415"/>
      <c r="D3415"/>
      <c r="E3415" s="364"/>
      <c r="F3415"/>
    </row>
    <row r="3416" spans="1:6" x14ac:dyDescent="0.25">
      <c r="A3416" s="364"/>
      <c r="B3416"/>
      <c r="C3416"/>
      <c r="D3416"/>
      <c r="E3416" s="364"/>
      <c r="F3416"/>
    </row>
    <row r="3417" spans="1:6" x14ac:dyDescent="0.25">
      <c r="A3417" s="364"/>
      <c r="B3417"/>
      <c r="C3417"/>
      <c r="D3417"/>
      <c r="E3417" s="364"/>
      <c r="F3417"/>
    </row>
    <row r="3418" spans="1:6" x14ac:dyDescent="0.25">
      <c r="A3418" s="364"/>
      <c r="B3418"/>
      <c r="C3418"/>
      <c r="D3418"/>
      <c r="E3418" s="364"/>
      <c r="F3418"/>
    </row>
    <row r="3419" spans="1:6" x14ac:dyDescent="0.25">
      <c r="A3419" s="364"/>
      <c r="B3419"/>
      <c r="C3419"/>
      <c r="D3419"/>
      <c r="E3419" s="364"/>
      <c r="F3419"/>
    </row>
    <row r="3420" spans="1:6" x14ac:dyDescent="0.25">
      <c r="A3420" s="364"/>
      <c r="B3420"/>
      <c r="C3420"/>
      <c r="D3420"/>
      <c r="E3420" s="364"/>
      <c r="F3420"/>
    </row>
    <row r="3421" spans="1:6" x14ac:dyDescent="0.25">
      <c r="A3421" s="364"/>
      <c r="B3421"/>
      <c r="C3421"/>
      <c r="D3421"/>
      <c r="E3421" s="364"/>
      <c r="F3421"/>
    </row>
    <row r="3422" spans="1:6" x14ac:dyDescent="0.25">
      <c r="A3422" s="364"/>
      <c r="B3422"/>
      <c r="C3422"/>
      <c r="D3422"/>
      <c r="E3422" s="364"/>
      <c r="F3422"/>
    </row>
    <row r="3423" spans="1:6" x14ac:dyDescent="0.25">
      <c r="A3423" s="364"/>
      <c r="B3423"/>
      <c r="C3423"/>
      <c r="D3423"/>
      <c r="E3423" s="364"/>
      <c r="F3423"/>
    </row>
    <row r="3424" spans="1:6" x14ac:dyDescent="0.25">
      <c r="A3424" s="364"/>
      <c r="B3424"/>
      <c r="C3424"/>
      <c r="D3424"/>
      <c r="E3424" s="364"/>
      <c r="F3424"/>
    </row>
    <row r="3425" spans="1:6" x14ac:dyDescent="0.25">
      <c r="A3425" s="364"/>
      <c r="B3425"/>
      <c r="C3425"/>
      <c r="D3425"/>
      <c r="E3425" s="364"/>
      <c r="F3425"/>
    </row>
    <row r="3426" spans="1:6" x14ac:dyDescent="0.25">
      <c r="A3426" s="364"/>
      <c r="B3426"/>
      <c r="C3426"/>
      <c r="D3426"/>
      <c r="E3426" s="364"/>
      <c r="F3426"/>
    </row>
    <row r="3427" spans="1:6" x14ac:dyDescent="0.25">
      <c r="A3427" s="364"/>
      <c r="B3427"/>
      <c r="C3427"/>
      <c r="D3427"/>
      <c r="E3427" s="364"/>
      <c r="F3427"/>
    </row>
    <row r="3428" spans="1:6" x14ac:dyDescent="0.25">
      <c r="A3428" s="364"/>
      <c r="B3428"/>
      <c r="C3428"/>
      <c r="D3428"/>
      <c r="E3428" s="364"/>
      <c r="F3428"/>
    </row>
    <row r="3429" spans="1:6" x14ac:dyDescent="0.25">
      <c r="A3429" s="364"/>
      <c r="B3429"/>
      <c r="C3429"/>
      <c r="D3429"/>
      <c r="E3429" s="364"/>
      <c r="F3429"/>
    </row>
    <row r="3430" spans="1:6" x14ac:dyDescent="0.25">
      <c r="A3430" s="364"/>
      <c r="B3430"/>
      <c r="C3430"/>
      <c r="D3430"/>
      <c r="E3430" s="364"/>
      <c r="F3430"/>
    </row>
    <row r="3431" spans="1:6" x14ac:dyDescent="0.25">
      <c r="A3431" s="364"/>
      <c r="B3431"/>
      <c r="C3431"/>
      <c r="D3431"/>
      <c r="E3431" s="364"/>
      <c r="F3431"/>
    </row>
    <row r="3432" spans="1:6" x14ac:dyDescent="0.25">
      <c r="A3432" s="364"/>
      <c r="B3432"/>
      <c r="C3432"/>
      <c r="D3432"/>
      <c r="E3432" s="364"/>
      <c r="F3432"/>
    </row>
    <row r="3433" spans="1:6" x14ac:dyDescent="0.25">
      <c r="A3433" s="364"/>
      <c r="B3433"/>
      <c r="C3433"/>
      <c r="D3433"/>
      <c r="E3433" s="364"/>
      <c r="F3433"/>
    </row>
    <row r="3434" spans="1:6" x14ac:dyDescent="0.25">
      <c r="A3434" s="364"/>
      <c r="B3434"/>
      <c r="C3434"/>
      <c r="D3434"/>
      <c r="E3434" s="364"/>
      <c r="F3434"/>
    </row>
    <row r="3435" spans="1:6" x14ac:dyDescent="0.25">
      <c r="A3435" s="364"/>
      <c r="B3435"/>
      <c r="C3435"/>
      <c r="D3435"/>
      <c r="E3435" s="364"/>
      <c r="F3435"/>
    </row>
    <row r="3436" spans="1:6" x14ac:dyDescent="0.25">
      <c r="A3436" s="364"/>
      <c r="B3436"/>
      <c r="C3436"/>
      <c r="D3436"/>
      <c r="E3436" s="364"/>
      <c r="F3436"/>
    </row>
    <row r="3437" spans="1:6" x14ac:dyDescent="0.25">
      <c r="A3437" s="364"/>
      <c r="B3437"/>
      <c r="C3437"/>
      <c r="D3437"/>
      <c r="E3437" s="364"/>
      <c r="F3437"/>
    </row>
    <row r="3438" spans="1:6" x14ac:dyDescent="0.25">
      <c r="A3438" s="364"/>
      <c r="B3438"/>
      <c r="C3438"/>
      <c r="D3438"/>
      <c r="E3438" s="364"/>
      <c r="F3438"/>
    </row>
    <row r="3439" spans="1:6" x14ac:dyDescent="0.25">
      <c r="A3439" s="364"/>
      <c r="B3439"/>
      <c r="C3439"/>
      <c r="D3439"/>
      <c r="E3439" s="364"/>
      <c r="F3439"/>
    </row>
    <row r="3440" spans="1:6" x14ac:dyDescent="0.25">
      <c r="A3440" s="364"/>
      <c r="B3440"/>
      <c r="C3440"/>
      <c r="D3440"/>
      <c r="E3440" s="364"/>
      <c r="F3440"/>
    </row>
    <row r="3441" spans="1:6" x14ac:dyDescent="0.25">
      <c r="A3441" s="364"/>
      <c r="B3441"/>
      <c r="C3441"/>
      <c r="D3441"/>
      <c r="E3441" s="364"/>
      <c r="F3441"/>
    </row>
    <row r="3442" spans="1:6" x14ac:dyDescent="0.25">
      <c r="A3442" s="364"/>
      <c r="B3442"/>
      <c r="C3442"/>
      <c r="D3442"/>
      <c r="E3442" s="364"/>
      <c r="F3442"/>
    </row>
    <row r="3443" spans="1:6" x14ac:dyDescent="0.25">
      <c r="A3443" s="364"/>
      <c r="B3443"/>
      <c r="C3443"/>
      <c r="D3443"/>
      <c r="E3443" s="364"/>
      <c r="F3443"/>
    </row>
    <row r="3444" spans="1:6" x14ac:dyDescent="0.25">
      <c r="A3444" s="364"/>
      <c r="B3444"/>
      <c r="C3444"/>
      <c r="D3444"/>
      <c r="E3444" s="364"/>
      <c r="F3444"/>
    </row>
    <row r="3445" spans="1:6" x14ac:dyDescent="0.25">
      <c r="A3445" s="364"/>
      <c r="B3445"/>
      <c r="C3445"/>
      <c r="D3445"/>
      <c r="E3445" s="364"/>
      <c r="F3445"/>
    </row>
    <row r="3446" spans="1:6" x14ac:dyDescent="0.25">
      <c r="A3446" s="364"/>
      <c r="B3446"/>
      <c r="C3446"/>
      <c r="D3446"/>
      <c r="E3446" s="364"/>
      <c r="F3446"/>
    </row>
    <row r="3447" spans="1:6" x14ac:dyDescent="0.25">
      <c r="A3447" s="364"/>
      <c r="B3447"/>
      <c r="C3447"/>
      <c r="D3447"/>
      <c r="E3447" s="364"/>
      <c r="F3447"/>
    </row>
    <row r="3448" spans="1:6" x14ac:dyDescent="0.25">
      <c r="A3448" s="364"/>
      <c r="B3448"/>
      <c r="C3448"/>
      <c r="D3448"/>
      <c r="E3448" s="364"/>
      <c r="F3448"/>
    </row>
    <row r="3449" spans="1:6" x14ac:dyDescent="0.25">
      <c r="A3449" s="364"/>
      <c r="B3449"/>
      <c r="C3449"/>
      <c r="D3449"/>
      <c r="E3449" s="364"/>
      <c r="F3449"/>
    </row>
    <row r="3450" spans="1:6" x14ac:dyDescent="0.25">
      <c r="A3450" s="364"/>
      <c r="B3450"/>
      <c r="C3450"/>
      <c r="D3450"/>
      <c r="E3450" s="364"/>
      <c r="F3450"/>
    </row>
    <row r="3451" spans="1:6" x14ac:dyDescent="0.25">
      <c r="A3451" s="364"/>
      <c r="B3451"/>
      <c r="C3451"/>
      <c r="D3451"/>
      <c r="E3451" s="364"/>
      <c r="F3451"/>
    </row>
    <row r="3452" spans="1:6" x14ac:dyDescent="0.25">
      <c r="A3452" s="364"/>
      <c r="B3452"/>
      <c r="C3452"/>
      <c r="D3452"/>
      <c r="E3452" s="364"/>
      <c r="F3452"/>
    </row>
    <row r="3453" spans="1:6" x14ac:dyDescent="0.25">
      <c r="A3453" s="364"/>
      <c r="B3453"/>
      <c r="C3453"/>
      <c r="D3453"/>
      <c r="E3453" s="364"/>
      <c r="F3453"/>
    </row>
    <row r="3454" spans="1:6" x14ac:dyDescent="0.25">
      <c r="A3454" s="364"/>
      <c r="B3454"/>
      <c r="C3454"/>
      <c r="D3454"/>
      <c r="E3454" s="364"/>
      <c r="F3454"/>
    </row>
    <row r="3455" spans="1:6" x14ac:dyDescent="0.25">
      <c r="A3455" s="364"/>
      <c r="B3455"/>
      <c r="C3455"/>
      <c r="D3455"/>
      <c r="E3455" s="364"/>
      <c r="F3455"/>
    </row>
    <row r="3456" spans="1:6" x14ac:dyDescent="0.25">
      <c r="A3456" s="364"/>
      <c r="B3456"/>
      <c r="C3456"/>
      <c r="D3456"/>
      <c r="E3456" s="364"/>
      <c r="F3456"/>
    </row>
    <row r="3457" spans="1:6" x14ac:dyDescent="0.25">
      <c r="A3457" s="364"/>
      <c r="B3457"/>
      <c r="C3457"/>
      <c r="D3457"/>
      <c r="E3457" s="364"/>
      <c r="F3457"/>
    </row>
    <row r="3458" spans="1:6" x14ac:dyDescent="0.25">
      <c r="A3458" s="364"/>
      <c r="B3458"/>
      <c r="C3458"/>
      <c r="D3458"/>
      <c r="E3458" s="364"/>
      <c r="F3458"/>
    </row>
    <row r="3459" spans="1:6" x14ac:dyDescent="0.25">
      <c r="A3459" s="364"/>
      <c r="B3459"/>
      <c r="C3459"/>
      <c r="D3459"/>
      <c r="E3459" s="364"/>
      <c r="F3459"/>
    </row>
    <row r="3460" spans="1:6" x14ac:dyDescent="0.25">
      <c r="A3460" s="364"/>
      <c r="B3460"/>
      <c r="C3460"/>
      <c r="D3460"/>
      <c r="E3460" s="364"/>
      <c r="F3460"/>
    </row>
    <row r="3461" spans="1:6" x14ac:dyDescent="0.25">
      <c r="A3461" s="364"/>
      <c r="B3461"/>
      <c r="C3461"/>
      <c r="D3461"/>
      <c r="E3461" s="364"/>
      <c r="F3461"/>
    </row>
    <row r="3462" spans="1:6" x14ac:dyDescent="0.25">
      <c r="A3462" s="364"/>
      <c r="B3462"/>
      <c r="C3462"/>
      <c r="D3462"/>
      <c r="E3462" s="364"/>
      <c r="F3462"/>
    </row>
    <row r="3463" spans="1:6" x14ac:dyDescent="0.25">
      <c r="A3463" s="364"/>
      <c r="B3463"/>
      <c r="C3463"/>
      <c r="D3463"/>
      <c r="E3463" s="364"/>
      <c r="F3463"/>
    </row>
    <row r="3464" spans="1:6" x14ac:dyDescent="0.25">
      <c r="A3464" s="364"/>
      <c r="B3464"/>
      <c r="C3464"/>
      <c r="D3464"/>
      <c r="E3464" s="364"/>
      <c r="F3464"/>
    </row>
    <row r="3465" spans="1:6" x14ac:dyDescent="0.25">
      <c r="A3465" s="364"/>
      <c r="B3465"/>
      <c r="C3465"/>
      <c r="D3465"/>
      <c r="E3465" s="364"/>
      <c r="F3465"/>
    </row>
    <row r="3466" spans="1:6" x14ac:dyDescent="0.25">
      <c r="A3466" s="364"/>
      <c r="B3466"/>
      <c r="C3466"/>
      <c r="D3466"/>
      <c r="E3466" s="364"/>
      <c r="F3466"/>
    </row>
    <row r="3467" spans="1:6" x14ac:dyDescent="0.25">
      <c r="A3467" s="364"/>
      <c r="B3467"/>
      <c r="C3467"/>
      <c r="D3467"/>
      <c r="E3467" s="364"/>
      <c r="F3467"/>
    </row>
    <row r="3468" spans="1:6" x14ac:dyDescent="0.25">
      <c r="A3468" s="364"/>
      <c r="B3468"/>
      <c r="C3468"/>
      <c r="D3468"/>
      <c r="E3468" s="364"/>
      <c r="F3468"/>
    </row>
    <row r="3469" spans="1:6" x14ac:dyDescent="0.25">
      <c r="A3469" s="364"/>
      <c r="B3469"/>
      <c r="C3469"/>
      <c r="D3469"/>
      <c r="E3469" s="364"/>
      <c r="F3469"/>
    </row>
    <row r="3470" spans="1:6" x14ac:dyDescent="0.25">
      <c r="A3470" s="364"/>
      <c r="B3470"/>
      <c r="C3470"/>
      <c r="D3470"/>
      <c r="E3470" s="364"/>
      <c r="F3470"/>
    </row>
    <row r="3471" spans="1:6" x14ac:dyDescent="0.25">
      <c r="A3471" s="364"/>
      <c r="B3471"/>
      <c r="C3471"/>
      <c r="D3471"/>
      <c r="E3471" s="364"/>
      <c r="F3471"/>
    </row>
    <row r="3472" spans="1:6" x14ac:dyDescent="0.25">
      <c r="A3472" s="364"/>
      <c r="B3472"/>
      <c r="C3472"/>
      <c r="D3472"/>
      <c r="E3472" s="364"/>
      <c r="F3472"/>
    </row>
    <row r="3473" spans="1:6" x14ac:dyDescent="0.25">
      <c r="A3473" s="364"/>
      <c r="B3473"/>
      <c r="C3473"/>
      <c r="D3473"/>
      <c r="E3473" s="364"/>
      <c r="F3473"/>
    </row>
    <row r="3474" spans="1:6" x14ac:dyDescent="0.25">
      <c r="A3474" s="364"/>
      <c r="B3474"/>
      <c r="C3474"/>
      <c r="D3474"/>
      <c r="E3474" s="364"/>
      <c r="F3474"/>
    </row>
    <row r="3475" spans="1:6" x14ac:dyDescent="0.25">
      <c r="A3475" s="364"/>
      <c r="B3475"/>
      <c r="C3475"/>
      <c r="D3475"/>
      <c r="E3475" s="364"/>
      <c r="F3475"/>
    </row>
    <row r="3476" spans="1:6" x14ac:dyDescent="0.25">
      <c r="A3476" s="364"/>
      <c r="B3476"/>
      <c r="C3476"/>
      <c r="D3476"/>
      <c r="E3476" s="364"/>
      <c r="F3476"/>
    </row>
    <row r="3477" spans="1:6" x14ac:dyDescent="0.25">
      <c r="A3477" s="364"/>
      <c r="B3477"/>
      <c r="C3477"/>
      <c r="D3477"/>
      <c r="E3477" s="364"/>
      <c r="F3477"/>
    </row>
    <row r="3478" spans="1:6" x14ac:dyDescent="0.25">
      <c r="A3478" s="364"/>
      <c r="B3478"/>
      <c r="C3478"/>
      <c r="D3478"/>
      <c r="E3478" s="364"/>
      <c r="F3478"/>
    </row>
    <row r="3479" spans="1:6" x14ac:dyDescent="0.25">
      <c r="A3479" s="364"/>
      <c r="B3479"/>
      <c r="C3479"/>
      <c r="D3479"/>
      <c r="E3479" s="364"/>
      <c r="F3479"/>
    </row>
    <row r="3480" spans="1:6" x14ac:dyDescent="0.25">
      <c r="A3480" s="364"/>
      <c r="B3480"/>
      <c r="C3480"/>
      <c r="D3480"/>
      <c r="E3480" s="364"/>
      <c r="F3480"/>
    </row>
    <row r="3481" spans="1:6" x14ac:dyDescent="0.25">
      <c r="A3481" s="364"/>
      <c r="B3481"/>
      <c r="C3481"/>
      <c r="D3481"/>
      <c r="E3481" s="364"/>
      <c r="F3481"/>
    </row>
    <row r="3482" spans="1:6" x14ac:dyDescent="0.25">
      <c r="A3482" s="364"/>
      <c r="B3482"/>
      <c r="C3482"/>
      <c r="D3482"/>
      <c r="E3482" s="364"/>
      <c r="F3482"/>
    </row>
    <row r="3483" spans="1:6" x14ac:dyDescent="0.25">
      <c r="A3483" s="364"/>
      <c r="B3483"/>
      <c r="C3483"/>
      <c r="D3483"/>
      <c r="E3483" s="364"/>
      <c r="F3483"/>
    </row>
    <row r="3484" spans="1:6" x14ac:dyDescent="0.25">
      <c r="A3484" s="364"/>
      <c r="B3484"/>
      <c r="C3484"/>
      <c r="D3484"/>
      <c r="E3484" s="364"/>
      <c r="F3484"/>
    </row>
    <row r="3485" spans="1:6" x14ac:dyDescent="0.25">
      <c r="A3485" s="364"/>
      <c r="B3485"/>
      <c r="C3485"/>
      <c r="D3485"/>
      <c r="E3485" s="364"/>
      <c r="F3485"/>
    </row>
    <row r="3486" spans="1:6" x14ac:dyDescent="0.25">
      <c r="A3486" s="364"/>
      <c r="B3486"/>
      <c r="C3486"/>
      <c r="D3486"/>
      <c r="E3486" s="364"/>
      <c r="F3486"/>
    </row>
    <row r="3487" spans="1:6" x14ac:dyDescent="0.25">
      <c r="A3487" s="364"/>
      <c r="B3487"/>
      <c r="C3487"/>
      <c r="D3487"/>
      <c r="E3487" s="364"/>
      <c r="F3487"/>
    </row>
    <row r="3488" spans="1:6" x14ac:dyDescent="0.25">
      <c r="A3488" s="364"/>
      <c r="B3488"/>
      <c r="C3488"/>
      <c r="D3488"/>
      <c r="E3488" s="364"/>
      <c r="F3488"/>
    </row>
    <row r="3489" spans="1:6" x14ac:dyDescent="0.25">
      <c r="A3489" s="364"/>
      <c r="B3489"/>
      <c r="C3489"/>
      <c r="D3489"/>
      <c r="E3489" s="364"/>
      <c r="F3489"/>
    </row>
    <row r="3490" spans="1:6" x14ac:dyDescent="0.25">
      <c r="A3490" s="364"/>
      <c r="B3490"/>
      <c r="C3490"/>
      <c r="D3490"/>
      <c r="E3490" s="364"/>
      <c r="F3490"/>
    </row>
    <row r="3491" spans="1:6" x14ac:dyDescent="0.25">
      <c r="A3491" s="364"/>
      <c r="B3491"/>
      <c r="C3491"/>
      <c r="D3491"/>
      <c r="E3491" s="364"/>
      <c r="F3491"/>
    </row>
    <row r="3492" spans="1:6" x14ac:dyDescent="0.25">
      <c r="A3492" s="364"/>
      <c r="B3492"/>
      <c r="C3492"/>
      <c r="D3492"/>
      <c r="E3492" s="364"/>
      <c r="F3492"/>
    </row>
    <row r="3493" spans="1:6" x14ac:dyDescent="0.25">
      <c r="A3493" s="364"/>
      <c r="B3493"/>
      <c r="C3493"/>
      <c r="D3493"/>
      <c r="E3493" s="364"/>
      <c r="F3493"/>
    </row>
    <row r="3494" spans="1:6" x14ac:dyDescent="0.25">
      <c r="A3494" s="364"/>
      <c r="B3494"/>
      <c r="C3494"/>
      <c r="D3494"/>
      <c r="E3494" s="364"/>
      <c r="F3494"/>
    </row>
    <row r="3495" spans="1:6" x14ac:dyDescent="0.25">
      <c r="A3495" s="364"/>
      <c r="B3495"/>
      <c r="C3495"/>
      <c r="D3495"/>
      <c r="E3495" s="364"/>
      <c r="F3495"/>
    </row>
    <row r="3496" spans="1:6" x14ac:dyDescent="0.25">
      <c r="A3496" s="364"/>
      <c r="B3496"/>
      <c r="C3496"/>
      <c r="D3496"/>
      <c r="E3496" s="364"/>
      <c r="F3496"/>
    </row>
    <row r="3497" spans="1:6" x14ac:dyDescent="0.25">
      <c r="A3497" s="364"/>
      <c r="B3497"/>
      <c r="C3497"/>
      <c r="D3497"/>
      <c r="E3497" s="364"/>
      <c r="F3497"/>
    </row>
    <row r="3498" spans="1:6" x14ac:dyDescent="0.25">
      <c r="A3498" s="364"/>
      <c r="B3498"/>
      <c r="C3498"/>
      <c r="D3498"/>
      <c r="E3498" s="364"/>
      <c r="F3498"/>
    </row>
    <row r="3499" spans="1:6" x14ac:dyDescent="0.25">
      <c r="A3499" s="364"/>
      <c r="B3499"/>
      <c r="C3499"/>
      <c r="D3499"/>
      <c r="E3499" s="364"/>
      <c r="F3499"/>
    </row>
    <row r="3500" spans="1:6" x14ac:dyDescent="0.25">
      <c r="A3500" s="364"/>
      <c r="B3500"/>
      <c r="C3500"/>
      <c r="D3500"/>
      <c r="E3500" s="364"/>
      <c r="F3500"/>
    </row>
    <row r="3501" spans="1:6" x14ac:dyDescent="0.25">
      <c r="A3501" s="364"/>
      <c r="B3501"/>
      <c r="C3501"/>
      <c r="D3501"/>
      <c r="E3501" s="364"/>
      <c r="F3501"/>
    </row>
    <row r="3502" spans="1:6" x14ac:dyDescent="0.25">
      <c r="A3502" s="364"/>
      <c r="B3502"/>
      <c r="C3502"/>
      <c r="D3502"/>
      <c r="E3502" s="364"/>
      <c r="F3502"/>
    </row>
    <row r="3503" spans="1:6" x14ac:dyDescent="0.25">
      <c r="A3503" s="364"/>
      <c r="B3503"/>
      <c r="C3503"/>
      <c r="D3503"/>
      <c r="E3503" s="364"/>
      <c r="F3503"/>
    </row>
    <row r="3504" spans="1:6" x14ac:dyDescent="0.25">
      <c r="A3504" s="364"/>
      <c r="B3504"/>
      <c r="C3504"/>
      <c r="D3504"/>
      <c r="E3504" s="364"/>
      <c r="F3504"/>
    </row>
    <row r="3505" spans="1:6" x14ac:dyDescent="0.25">
      <c r="A3505" s="364"/>
      <c r="B3505"/>
      <c r="C3505"/>
      <c r="D3505"/>
      <c r="E3505" s="364"/>
      <c r="F3505"/>
    </row>
    <row r="3506" spans="1:6" x14ac:dyDescent="0.25">
      <c r="A3506" s="364"/>
      <c r="B3506"/>
      <c r="C3506"/>
      <c r="D3506"/>
      <c r="E3506" s="364"/>
      <c r="F3506"/>
    </row>
    <row r="3507" spans="1:6" x14ac:dyDescent="0.25">
      <c r="A3507" s="364"/>
      <c r="B3507"/>
      <c r="C3507"/>
      <c r="D3507"/>
      <c r="E3507" s="364"/>
      <c r="F3507"/>
    </row>
    <row r="3508" spans="1:6" x14ac:dyDescent="0.25">
      <c r="A3508" s="364"/>
      <c r="B3508"/>
      <c r="C3508"/>
      <c r="D3508"/>
      <c r="E3508" s="364"/>
      <c r="F3508"/>
    </row>
    <row r="3509" spans="1:6" x14ac:dyDescent="0.25">
      <c r="A3509" s="364"/>
      <c r="B3509"/>
      <c r="C3509"/>
      <c r="D3509"/>
      <c r="E3509" s="364"/>
      <c r="F3509"/>
    </row>
    <row r="3510" spans="1:6" x14ac:dyDescent="0.25">
      <c r="A3510" s="364"/>
      <c r="B3510"/>
      <c r="C3510"/>
      <c r="D3510"/>
      <c r="E3510" s="364"/>
      <c r="F3510"/>
    </row>
    <row r="3511" spans="1:6" x14ac:dyDescent="0.25">
      <c r="A3511" s="364"/>
      <c r="B3511"/>
      <c r="C3511"/>
      <c r="D3511"/>
      <c r="E3511" s="364"/>
      <c r="F3511"/>
    </row>
    <row r="3512" spans="1:6" x14ac:dyDescent="0.25">
      <c r="A3512" s="364"/>
      <c r="B3512"/>
      <c r="C3512"/>
      <c r="D3512"/>
      <c r="E3512" s="364"/>
      <c r="F3512"/>
    </row>
    <row r="3513" spans="1:6" x14ac:dyDescent="0.25">
      <c r="A3513" s="364"/>
      <c r="B3513"/>
      <c r="C3513"/>
      <c r="D3513"/>
      <c r="E3513" s="364"/>
      <c r="F3513"/>
    </row>
    <row r="3514" spans="1:6" x14ac:dyDescent="0.25">
      <c r="A3514" s="364"/>
      <c r="B3514"/>
      <c r="C3514"/>
      <c r="D3514"/>
      <c r="E3514" s="364"/>
      <c r="F3514"/>
    </row>
    <row r="3515" spans="1:6" x14ac:dyDescent="0.25">
      <c r="A3515" s="364"/>
      <c r="B3515"/>
      <c r="C3515"/>
      <c r="D3515"/>
      <c r="E3515" s="364"/>
      <c r="F3515"/>
    </row>
    <row r="3516" spans="1:6" x14ac:dyDescent="0.25">
      <c r="A3516" s="364"/>
      <c r="B3516"/>
      <c r="C3516"/>
      <c r="D3516"/>
      <c r="E3516" s="364"/>
      <c r="F3516"/>
    </row>
    <row r="3517" spans="1:6" x14ac:dyDescent="0.25">
      <c r="A3517" s="364"/>
      <c r="B3517"/>
      <c r="C3517"/>
      <c r="D3517"/>
      <c r="E3517" s="364"/>
      <c r="F3517"/>
    </row>
    <row r="3518" spans="1:6" x14ac:dyDescent="0.25">
      <c r="A3518" s="364"/>
      <c r="B3518"/>
      <c r="C3518"/>
      <c r="D3518"/>
      <c r="E3518" s="364"/>
      <c r="F3518"/>
    </row>
    <row r="3519" spans="1:6" x14ac:dyDescent="0.25">
      <c r="A3519" s="364"/>
      <c r="B3519"/>
      <c r="C3519"/>
      <c r="D3519"/>
      <c r="E3519" s="364"/>
      <c r="F3519"/>
    </row>
    <row r="3520" spans="1:6" x14ac:dyDescent="0.25">
      <c r="A3520" s="364"/>
      <c r="B3520"/>
      <c r="C3520"/>
      <c r="D3520"/>
      <c r="E3520" s="364"/>
      <c r="F3520"/>
    </row>
    <row r="3521" spans="1:6" x14ac:dyDescent="0.25">
      <c r="A3521" s="364"/>
      <c r="B3521"/>
      <c r="C3521"/>
      <c r="D3521"/>
      <c r="E3521" s="364"/>
      <c r="F3521"/>
    </row>
    <row r="3522" spans="1:6" x14ac:dyDescent="0.25">
      <c r="A3522" s="364"/>
      <c r="B3522"/>
      <c r="C3522"/>
      <c r="D3522"/>
      <c r="E3522" s="364"/>
      <c r="F3522"/>
    </row>
    <row r="3523" spans="1:6" x14ac:dyDescent="0.25">
      <c r="A3523" s="364"/>
      <c r="B3523"/>
      <c r="C3523"/>
      <c r="D3523"/>
      <c r="E3523" s="364"/>
      <c r="F3523"/>
    </row>
    <row r="3524" spans="1:6" x14ac:dyDescent="0.25">
      <c r="A3524" s="364"/>
      <c r="B3524"/>
      <c r="C3524"/>
      <c r="D3524"/>
      <c r="E3524" s="364"/>
      <c r="F3524"/>
    </row>
    <row r="3525" spans="1:6" x14ac:dyDescent="0.25">
      <c r="A3525" s="364"/>
      <c r="B3525"/>
      <c r="C3525"/>
      <c r="D3525"/>
      <c r="E3525" s="364"/>
      <c r="F3525"/>
    </row>
    <row r="3526" spans="1:6" x14ac:dyDescent="0.25">
      <c r="A3526" s="364"/>
      <c r="B3526"/>
      <c r="C3526"/>
      <c r="D3526"/>
      <c r="E3526" s="364"/>
      <c r="F3526"/>
    </row>
    <row r="3527" spans="1:6" x14ac:dyDescent="0.25">
      <c r="A3527" s="364"/>
      <c r="B3527"/>
      <c r="C3527"/>
      <c r="D3527"/>
      <c r="E3527" s="364"/>
      <c r="F3527"/>
    </row>
    <row r="3528" spans="1:6" x14ac:dyDescent="0.25">
      <c r="A3528" s="364"/>
      <c r="B3528"/>
      <c r="C3528"/>
      <c r="D3528"/>
      <c r="E3528" s="364"/>
      <c r="F3528"/>
    </row>
    <row r="3529" spans="1:6" x14ac:dyDescent="0.25">
      <c r="A3529" s="364"/>
      <c r="B3529"/>
      <c r="C3529"/>
      <c r="D3529"/>
      <c r="E3529" s="364"/>
      <c r="F3529"/>
    </row>
    <row r="3530" spans="1:6" x14ac:dyDescent="0.25">
      <c r="A3530" s="364"/>
      <c r="B3530"/>
      <c r="C3530"/>
      <c r="D3530"/>
      <c r="E3530" s="364"/>
      <c r="F3530"/>
    </row>
    <row r="3531" spans="1:6" x14ac:dyDescent="0.25">
      <c r="A3531" s="364"/>
      <c r="B3531"/>
      <c r="C3531"/>
      <c r="D3531"/>
      <c r="E3531" s="364"/>
      <c r="F3531"/>
    </row>
    <row r="3532" spans="1:6" x14ac:dyDescent="0.25">
      <c r="A3532" s="364"/>
      <c r="B3532"/>
      <c r="C3532"/>
      <c r="D3532"/>
      <c r="E3532" s="364"/>
      <c r="F3532"/>
    </row>
    <row r="3533" spans="1:6" x14ac:dyDescent="0.25">
      <c r="A3533" s="364"/>
      <c r="B3533"/>
      <c r="C3533"/>
      <c r="D3533"/>
      <c r="E3533" s="364"/>
      <c r="F3533"/>
    </row>
    <row r="3534" spans="1:6" x14ac:dyDescent="0.25">
      <c r="A3534" s="364"/>
      <c r="B3534"/>
      <c r="C3534"/>
      <c r="D3534"/>
      <c r="E3534" s="364"/>
      <c r="F3534"/>
    </row>
    <row r="3535" spans="1:6" x14ac:dyDescent="0.25">
      <c r="A3535" s="364"/>
      <c r="B3535"/>
      <c r="C3535"/>
      <c r="D3535"/>
      <c r="E3535" s="364"/>
      <c r="F3535"/>
    </row>
    <row r="3536" spans="1:6" x14ac:dyDescent="0.25">
      <c r="A3536" s="364"/>
      <c r="B3536"/>
      <c r="C3536"/>
      <c r="D3536"/>
      <c r="E3536" s="364"/>
      <c r="F3536"/>
    </row>
    <row r="3537" spans="1:6" x14ac:dyDescent="0.25">
      <c r="A3537" s="364"/>
      <c r="B3537"/>
      <c r="C3537"/>
      <c r="D3537"/>
      <c r="E3537" s="364"/>
      <c r="F3537"/>
    </row>
    <row r="3538" spans="1:6" x14ac:dyDescent="0.25">
      <c r="A3538" s="364"/>
      <c r="B3538"/>
      <c r="C3538"/>
      <c r="D3538"/>
      <c r="E3538" s="364"/>
      <c r="F3538"/>
    </row>
    <row r="3539" spans="1:6" x14ac:dyDescent="0.25">
      <c r="A3539" s="364"/>
      <c r="B3539"/>
      <c r="C3539"/>
      <c r="D3539"/>
      <c r="E3539" s="364"/>
      <c r="F3539"/>
    </row>
    <row r="3540" spans="1:6" x14ac:dyDescent="0.25">
      <c r="A3540" s="364"/>
      <c r="B3540"/>
      <c r="C3540"/>
      <c r="D3540"/>
      <c r="E3540" s="364"/>
      <c r="F3540"/>
    </row>
    <row r="3541" spans="1:6" x14ac:dyDescent="0.25">
      <c r="A3541" s="364"/>
      <c r="B3541"/>
      <c r="C3541"/>
      <c r="D3541"/>
      <c r="E3541" s="364"/>
      <c r="F3541"/>
    </row>
    <row r="3542" spans="1:6" x14ac:dyDescent="0.25">
      <c r="A3542" s="364"/>
      <c r="B3542"/>
      <c r="C3542"/>
      <c r="D3542"/>
      <c r="E3542" s="364"/>
      <c r="F3542"/>
    </row>
    <row r="3543" spans="1:6" x14ac:dyDescent="0.25">
      <c r="A3543" s="364"/>
      <c r="B3543"/>
      <c r="C3543"/>
      <c r="D3543"/>
      <c r="E3543" s="364"/>
      <c r="F3543"/>
    </row>
    <row r="3544" spans="1:6" x14ac:dyDescent="0.25">
      <c r="A3544" s="364"/>
      <c r="B3544"/>
      <c r="C3544"/>
      <c r="D3544"/>
      <c r="E3544" s="364"/>
      <c r="F3544"/>
    </row>
    <row r="3545" spans="1:6" x14ac:dyDescent="0.25">
      <c r="A3545" s="364"/>
      <c r="B3545"/>
      <c r="C3545"/>
      <c r="D3545"/>
      <c r="E3545" s="364"/>
      <c r="F3545"/>
    </row>
    <row r="3546" spans="1:6" x14ac:dyDescent="0.25">
      <c r="A3546" s="364"/>
      <c r="B3546"/>
      <c r="C3546"/>
      <c r="D3546"/>
      <c r="E3546" s="364"/>
      <c r="F3546"/>
    </row>
    <row r="3547" spans="1:6" x14ac:dyDescent="0.25">
      <c r="A3547" s="364"/>
      <c r="B3547"/>
      <c r="C3547"/>
      <c r="D3547"/>
      <c r="E3547" s="364"/>
      <c r="F3547"/>
    </row>
    <row r="3548" spans="1:6" x14ac:dyDescent="0.25">
      <c r="A3548" s="364"/>
      <c r="B3548"/>
      <c r="C3548"/>
      <c r="D3548"/>
      <c r="E3548" s="364"/>
      <c r="F3548"/>
    </row>
    <row r="3549" spans="1:6" x14ac:dyDescent="0.25">
      <c r="A3549" s="364"/>
      <c r="B3549"/>
      <c r="C3549"/>
      <c r="D3549"/>
      <c r="E3549" s="364"/>
      <c r="F3549"/>
    </row>
    <row r="3550" spans="1:6" x14ac:dyDescent="0.25">
      <c r="A3550" s="364"/>
      <c r="B3550"/>
      <c r="C3550"/>
      <c r="D3550"/>
      <c r="E3550" s="364"/>
      <c r="F3550"/>
    </row>
    <row r="3551" spans="1:6" x14ac:dyDescent="0.25">
      <c r="A3551" s="364"/>
      <c r="B3551"/>
      <c r="C3551"/>
      <c r="D3551"/>
      <c r="E3551" s="364"/>
      <c r="F3551"/>
    </row>
    <row r="3552" spans="1:6" x14ac:dyDescent="0.25">
      <c r="A3552" s="364"/>
      <c r="B3552"/>
      <c r="C3552"/>
      <c r="D3552"/>
      <c r="E3552" s="364"/>
      <c r="F3552"/>
    </row>
    <row r="3553" spans="1:6" x14ac:dyDescent="0.25">
      <c r="A3553" s="364"/>
      <c r="B3553"/>
      <c r="C3553"/>
      <c r="D3553"/>
      <c r="E3553" s="364"/>
      <c r="F3553"/>
    </row>
    <row r="3554" spans="1:6" x14ac:dyDescent="0.25">
      <c r="A3554" s="364"/>
      <c r="B3554"/>
      <c r="C3554"/>
      <c r="D3554"/>
      <c r="E3554" s="364"/>
      <c r="F3554"/>
    </row>
    <row r="3555" spans="1:6" x14ac:dyDescent="0.25">
      <c r="A3555" s="364"/>
      <c r="B3555"/>
      <c r="C3555"/>
      <c r="D3555"/>
      <c r="E3555" s="364"/>
      <c r="F3555"/>
    </row>
    <row r="3556" spans="1:6" x14ac:dyDescent="0.25">
      <c r="A3556" s="364"/>
      <c r="B3556"/>
      <c r="C3556"/>
      <c r="D3556"/>
      <c r="E3556" s="364"/>
      <c r="F3556"/>
    </row>
    <row r="3557" spans="1:6" x14ac:dyDescent="0.25">
      <c r="A3557" s="364"/>
      <c r="B3557"/>
      <c r="C3557"/>
      <c r="D3557"/>
      <c r="E3557" s="364"/>
      <c r="F3557"/>
    </row>
    <row r="3558" spans="1:6" x14ac:dyDescent="0.25">
      <c r="A3558" s="364"/>
      <c r="B3558"/>
      <c r="C3558"/>
      <c r="D3558"/>
      <c r="E3558" s="364"/>
      <c r="F3558"/>
    </row>
    <row r="3559" spans="1:6" x14ac:dyDescent="0.25">
      <c r="A3559" s="364"/>
      <c r="B3559"/>
      <c r="C3559"/>
      <c r="D3559"/>
      <c r="E3559" s="364"/>
      <c r="F3559"/>
    </row>
    <row r="3560" spans="1:6" x14ac:dyDescent="0.25">
      <c r="A3560" s="364"/>
      <c r="B3560"/>
      <c r="C3560"/>
      <c r="D3560"/>
      <c r="E3560" s="364"/>
      <c r="F3560"/>
    </row>
    <row r="3561" spans="1:6" x14ac:dyDescent="0.25">
      <c r="A3561" s="364"/>
      <c r="B3561"/>
      <c r="C3561"/>
      <c r="D3561"/>
      <c r="E3561" s="364"/>
      <c r="F3561"/>
    </row>
    <row r="3562" spans="1:6" x14ac:dyDescent="0.25">
      <c r="A3562" s="364"/>
      <c r="B3562"/>
      <c r="C3562"/>
      <c r="D3562"/>
      <c r="E3562" s="364"/>
      <c r="F3562"/>
    </row>
    <row r="3563" spans="1:6" x14ac:dyDescent="0.25">
      <c r="A3563" s="364"/>
      <c r="B3563"/>
      <c r="C3563"/>
      <c r="D3563"/>
      <c r="E3563" s="364"/>
      <c r="F3563"/>
    </row>
    <row r="3564" spans="1:6" x14ac:dyDescent="0.25">
      <c r="A3564" s="364"/>
      <c r="B3564"/>
      <c r="C3564"/>
      <c r="D3564"/>
      <c r="E3564" s="364"/>
      <c r="F3564"/>
    </row>
    <row r="3565" spans="1:6" x14ac:dyDescent="0.25">
      <c r="A3565" s="364"/>
      <c r="B3565"/>
      <c r="C3565"/>
      <c r="D3565"/>
      <c r="E3565" s="364"/>
      <c r="F3565"/>
    </row>
    <row r="3566" spans="1:6" x14ac:dyDescent="0.25">
      <c r="A3566" s="364"/>
      <c r="B3566"/>
      <c r="C3566"/>
      <c r="D3566"/>
      <c r="E3566" s="364"/>
      <c r="F3566"/>
    </row>
    <row r="3567" spans="1:6" x14ac:dyDescent="0.25">
      <c r="A3567" s="364"/>
      <c r="B3567"/>
      <c r="C3567"/>
      <c r="D3567"/>
      <c r="E3567" s="364"/>
      <c r="F3567"/>
    </row>
    <row r="3568" spans="1:6" x14ac:dyDescent="0.25">
      <c r="A3568" s="364"/>
      <c r="B3568"/>
      <c r="C3568"/>
      <c r="D3568"/>
      <c r="E3568" s="364"/>
      <c r="F3568"/>
    </row>
    <row r="3569" spans="1:6" x14ac:dyDescent="0.25">
      <c r="A3569" s="364"/>
      <c r="B3569"/>
      <c r="C3569"/>
      <c r="D3569"/>
      <c r="E3569" s="364"/>
      <c r="F3569"/>
    </row>
    <row r="3570" spans="1:6" x14ac:dyDescent="0.25">
      <c r="A3570" s="364"/>
      <c r="B3570"/>
      <c r="C3570"/>
      <c r="D3570"/>
      <c r="E3570" s="364"/>
      <c r="F3570"/>
    </row>
    <row r="3571" spans="1:6" x14ac:dyDescent="0.25">
      <c r="A3571" s="364"/>
      <c r="B3571"/>
      <c r="C3571"/>
      <c r="D3571"/>
      <c r="E3571" s="364"/>
      <c r="F3571"/>
    </row>
    <row r="3572" spans="1:6" x14ac:dyDescent="0.25">
      <c r="A3572" s="364"/>
      <c r="B3572"/>
      <c r="C3572"/>
      <c r="D3572"/>
      <c r="E3572" s="364"/>
      <c r="F3572"/>
    </row>
    <row r="3573" spans="1:6" x14ac:dyDescent="0.25">
      <c r="A3573" s="364"/>
      <c r="B3573"/>
      <c r="C3573"/>
      <c r="D3573"/>
      <c r="E3573" s="364"/>
      <c r="F3573"/>
    </row>
    <row r="3574" spans="1:6" x14ac:dyDescent="0.25">
      <c r="A3574" s="364"/>
      <c r="B3574"/>
      <c r="C3574"/>
      <c r="D3574"/>
      <c r="E3574" s="364"/>
      <c r="F3574"/>
    </row>
    <row r="3575" spans="1:6" x14ac:dyDescent="0.25">
      <c r="A3575" s="364"/>
      <c r="B3575"/>
      <c r="C3575"/>
      <c r="D3575"/>
      <c r="E3575" s="364"/>
      <c r="F3575"/>
    </row>
    <row r="3576" spans="1:6" x14ac:dyDescent="0.25">
      <c r="A3576" s="364"/>
      <c r="B3576"/>
      <c r="C3576"/>
      <c r="D3576"/>
      <c r="E3576" s="364"/>
      <c r="F3576"/>
    </row>
    <row r="3577" spans="1:6" x14ac:dyDescent="0.25">
      <c r="A3577" s="364"/>
      <c r="B3577"/>
      <c r="C3577"/>
      <c r="D3577"/>
      <c r="E3577" s="364"/>
      <c r="F3577"/>
    </row>
    <row r="3578" spans="1:6" x14ac:dyDescent="0.25">
      <c r="A3578" s="364"/>
      <c r="B3578"/>
      <c r="C3578"/>
      <c r="D3578"/>
      <c r="E3578" s="364"/>
      <c r="F3578"/>
    </row>
    <row r="3579" spans="1:6" x14ac:dyDescent="0.25">
      <c r="A3579" s="364"/>
      <c r="B3579"/>
      <c r="C3579"/>
      <c r="D3579"/>
      <c r="E3579" s="364"/>
      <c r="F3579"/>
    </row>
    <row r="3580" spans="1:6" x14ac:dyDescent="0.25">
      <c r="A3580" s="364"/>
      <c r="B3580"/>
      <c r="C3580"/>
      <c r="D3580"/>
      <c r="E3580" s="364"/>
      <c r="F3580"/>
    </row>
    <row r="3581" spans="1:6" x14ac:dyDescent="0.25">
      <c r="A3581" s="364"/>
      <c r="B3581"/>
      <c r="C3581"/>
      <c r="D3581"/>
      <c r="E3581" s="364"/>
      <c r="F3581"/>
    </row>
    <row r="3582" spans="1:6" x14ac:dyDescent="0.25">
      <c r="A3582" s="364"/>
      <c r="B3582"/>
      <c r="C3582"/>
      <c r="D3582"/>
      <c r="E3582" s="364"/>
      <c r="F3582"/>
    </row>
    <row r="3583" spans="1:6" x14ac:dyDescent="0.25">
      <c r="A3583" s="364"/>
      <c r="B3583"/>
      <c r="C3583"/>
      <c r="D3583"/>
      <c r="E3583" s="364"/>
      <c r="F3583"/>
    </row>
    <row r="3584" spans="1:6" x14ac:dyDescent="0.25">
      <c r="A3584" s="364"/>
      <c r="B3584"/>
      <c r="C3584"/>
      <c r="D3584"/>
      <c r="E3584" s="364"/>
      <c r="F3584"/>
    </row>
    <row r="3585" spans="1:6" x14ac:dyDescent="0.25">
      <c r="A3585" s="364"/>
      <c r="B3585"/>
      <c r="C3585"/>
      <c r="D3585"/>
      <c r="E3585" s="364"/>
      <c r="F3585"/>
    </row>
    <row r="3586" spans="1:6" x14ac:dyDescent="0.25">
      <c r="A3586" s="364"/>
      <c r="B3586"/>
      <c r="C3586"/>
      <c r="D3586"/>
      <c r="E3586" s="364"/>
      <c r="F3586"/>
    </row>
    <row r="3587" spans="1:6" x14ac:dyDescent="0.25">
      <c r="A3587" s="364"/>
      <c r="B3587"/>
      <c r="C3587"/>
      <c r="D3587"/>
      <c r="E3587" s="364"/>
      <c r="F3587"/>
    </row>
    <row r="3588" spans="1:6" x14ac:dyDescent="0.25">
      <c r="A3588" s="364"/>
      <c r="B3588"/>
      <c r="C3588"/>
      <c r="D3588"/>
      <c r="E3588" s="364"/>
      <c r="F3588"/>
    </row>
    <row r="3589" spans="1:6" x14ac:dyDescent="0.25">
      <c r="A3589" s="364"/>
      <c r="B3589"/>
      <c r="C3589"/>
      <c r="D3589"/>
      <c r="E3589" s="364"/>
      <c r="F3589"/>
    </row>
    <row r="3590" spans="1:6" x14ac:dyDescent="0.25">
      <c r="A3590" s="364"/>
      <c r="B3590"/>
      <c r="C3590"/>
      <c r="D3590"/>
      <c r="E3590" s="364"/>
      <c r="F3590"/>
    </row>
    <row r="3591" spans="1:6" x14ac:dyDescent="0.25">
      <c r="A3591" s="364"/>
      <c r="B3591"/>
      <c r="C3591"/>
      <c r="D3591"/>
      <c r="E3591" s="364"/>
      <c r="F3591"/>
    </row>
    <row r="3592" spans="1:6" x14ac:dyDescent="0.25">
      <c r="A3592" s="364"/>
      <c r="B3592"/>
      <c r="C3592"/>
      <c r="D3592"/>
      <c r="E3592" s="364"/>
      <c r="F3592"/>
    </row>
    <row r="3593" spans="1:6" x14ac:dyDescent="0.25">
      <c r="A3593" s="364"/>
      <c r="B3593"/>
      <c r="C3593"/>
      <c r="D3593"/>
      <c r="E3593" s="364"/>
      <c r="F3593"/>
    </row>
    <row r="3594" spans="1:6" x14ac:dyDescent="0.25">
      <c r="A3594" s="364"/>
      <c r="B3594"/>
      <c r="C3594"/>
      <c r="D3594"/>
      <c r="E3594" s="364"/>
      <c r="F3594"/>
    </row>
    <row r="3595" spans="1:6" x14ac:dyDescent="0.25">
      <c r="A3595" s="364"/>
      <c r="B3595"/>
      <c r="C3595"/>
      <c r="D3595"/>
      <c r="E3595" s="364"/>
      <c r="F3595"/>
    </row>
    <row r="3596" spans="1:6" x14ac:dyDescent="0.25">
      <c r="A3596" s="364"/>
      <c r="B3596"/>
      <c r="C3596"/>
      <c r="D3596"/>
      <c r="E3596" s="364"/>
      <c r="F3596"/>
    </row>
    <row r="3597" spans="1:6" x14ac:dyDescent="0.25">
      <c r="A3597" s="364"/>
      <c r="B3597"/>
      <c r="C3597"/>
      <c r="D3597"/>
      <c r="E3597" s="364"/>
      <c r="F3597"/>
    </row>
    <row r="3598" spans="1:6" x14ac:dyDescent="0.25">
      <c r="A3598" s="364"/>
      <c r="B3598"/>
      <c r="C3598"/>
      <c r="D3598"/>
      <c r="E3598" s="364"/>
      <c r="F3598"/>
    </row>
    <row r="3599" spans="1:6" x14ac:dyDescent="0.25">
      <c r="A3599" s="364"/>
      <c r="B3599"/>
      <c r="C3599"/>
      <c r="D3599"/>
      <c r="E3599" s="364"/>
      <c r="F3599"/>
    </row>
    <row r="3600" spans="1:6" x14ac:dyDescent="0.25">
      <c r="A3600" s="364"/>
      <c r="B3600"/>
      <c r="C3600"/>
      <c r="D3600"/>
      <c r="E3600" s="364"/>
      <c r="F3600"/>
    </row>
    <row r="3601" spans="1:6" x14ac:dyDescent="0.25">
      <c r="A3601" s="364"/>
      <c r="B3601"/>
      <c r="C3601"/>
      <c r="D3601"/>
      <c r="E3601" s="364"/>
      <c r="F3601"/>
    </row>
    <row r="3602" spans="1:6" x14ac:dyDescent="0.25">
      <c r="A3602" s="364"/>
      <c r="B3602"/>
      <c r="C3602"/>
      <c r="D3602"/>
      <c r="E3602" s="364"/>
      <c r="F3602"/>
    </row>
    <row r="3603" spans="1:6" x14ac:dyDescent="0.25">
      <c r="A3603" s="364"/>
      <c r="B3603"/>
      <c r="C3603"/>
      <c r="D3603"/>
      <c r="E3603" s="364"/>
      <c r="F3603"/>
    </row>
    <row r="3604" spans="1:6" x14ac:dyDescent="0.25">
      <c r="A3604" s="364"/>
      <c r="B3604"/>
      <c r="C3604"/>
      <c r="D3604"/>
      <c r="E3604" s="364"/>
      <c r="F3604"/>
    </row>
    <row r="3605" spans="1:6" x14ac:dyDescent="0.25">
      <c r="A3605" s="364"/>
      <c r="B3605"/>
      <c r="C3605"/>
      <c r="D3605"/>
      <c r="E3605" s="364"/>
      <c r="F3605"/>
    </row>
    <row r="3606" spans="1:6" x14ac:dyDescent="0.25">
      <c r="A3606" s="364"/>
      <c r="B3606"/>
      <c r="C3606"/>
      <c r="D3606"/>
      <c r="E3606" s="364"/>
      <c r="F3606"/>
    </row>
    <row r="3607" spans="1:6" x14ac:dyDescent="0.25">
      <c r="A3607" s="364"/>
      <c r="B3607"/>
      <c r="C3607"/>
      <c r="D3607"/>
      <c r="E3607" s="364"/>
      <c r="F3607"/>
    </row>
    <row r="3608" spans="1:6" x14ac:dyDescent="0.25">
      <c r="A3608" s="364"/>
      <c r="B3608"/>
      <c r="C3608"/>
      <c r="D3608"/>
      <c r="E3608" s="364"/>
      <c r="F3608"/>
    </row>
    <row r="3609" spans="1:6" x14ac:dyDescent="0.25">
      <c r="A3609" s="364"/>
      <c r="B3609"/>
      <c r="C3609"/>
      <c r="D3609"/>
      <c r="E3609" s="364"/>
      <c r="F3609"/>
    </row>
    <row r="3610" spans="1:6" x14ac:dyDescent="0.25">
      <c r="A3610" s="364"/>
      <c r="B3610"/>
      <c r="C3610"/>
      <c r="D3610"/>
      <c r="E3610" s="364"/>
      <c r="F3610"/>
    </row>
    <row r="3611" spans="1:6" x14ac:dyDescent="0.25">
      <c r="A3611" s="364"/>
      <c r="B3611"/>
      <c r="C3611"/>
      <c r="D3611"/>
      <c r="E3611" s="364"/>
      <c r="F3611"/>
    </row>
    <row r="3612" spans="1:6" x14ac:dyDescent="0.25">
      <c r="A3612" s="364"/>
      <c r="B3612"/>
      <c r="C3612"/>
      <c r="D3612"/>
      <c r="E3612" s="364"/>
      <c r="F3612"/>
    </row>
    <row r="3613" spans="1:6" x14ac:dyDescent="0.25">
      <c r="A3613" s="364"/>
      <c r="B3613"/>
      <c r="C3613"/>
      <c r="D3613"/>
      <c r="E3613" s="364"/>
      <c r="F3613"/>
    </row>
    <row r="3614" spans="1:6" x14ac:dyDescent="0.25">
      <c r="A3614" s="364"/>
      <c r="B3614"/>
      <c r="C3614"/>
      <c r="D3614"/>
      <c r="E3614" s="364"/>
      <c r="F3614"/>
    </row>
    <row r="3615" spans="1:6" x14ac:dyDescent="0.25">
      <c r="A3615" s="364"/>
      <c r="B3615"/>
      <c r="C3615"/>
      <c r="D3615"/>
      <c r="E3615" s="364"/>
      <c r="F3615"/>
    </row>
    <row r="3616" spans="1:6" x14ac:dyDescent="0.25">
      <c r="A3616" s="364"/>
      <c r="B3616"/>
      <c r="C3616"/>
      <c r="D3616"/>
      <c r="E3616" s="364"/>
      <c r="F3616"/>
    </row>
    <row r="3617" spans="1:6" x14ac:dyDescent="0.25">
      <c r="A3617" s="364"/>
      <c r="B3617"/>
      <c r="C3617"/>
      <c r="D3617"/>
      <c r="E3617" s="364"/>
      <c r="F3617"/>
    </row>
    <row r="3618" spans="1:6" x14ac:dyDescent="0.25">
      <c r="A3618" s="364"/>
      <c r="B3618"/>
      <c r="C3618"/>
      <c r="D3618"/>
      <c r="E3618" s="364"/>
      <c r="F3618"/>
    </row>
    <row r="3619" spans="1:6" x14ac:dyDescent="0.25">
      <c r="A3619" s="364"/>
      <c r="B3619"/>
      <c r="C3619"/>
      <c r="D3619"/>
      <c r="E3619" s="364"/>
      <c r="F3619"/>
    </row>
    <row r="3620" spans="1:6" x14ac:dyDescent="0.25">
      <c r="A3620" s="364"/>
      <c r="B3620"/>
      <c r="C3620"/>
      <c r="D3620"/>
      <c r="E3620" s="364"/>
      <c r="F3620"/>
    </row>
    <row r="3621" spans="1:6" x14ac:dyDescent="0.25">
      <c r="A3621" s="364"/>
      <c r="B3621"/>
      <c r="C3621"/>
      <c r="D3621"/>
      <c r="E3621" s="364"/>
      <c r="F3621"/>
    </row>
    <row r="3622" spans="1:6" x14ac:dyDescent="0.25">
      <c r="A3622" s="364"/>
      <c r="B3622"/>
      <c r="C3622"/>
      <c r="D3622"/>
      <c r="E3622" s="364"/>
      <c r="F3622"/>
    </row>
    <row r="3623" spans="1:6" x14ac:dyDescent="0.25">
      <c r="A3623" s="364"/>
      <c r="B3623"/>
      <c r="C3623"/>
      <c r="D3623"/>
      <c r="E3623" s="364"/>
      <c r="F3623"/>
    </row>
    <row r="3624" spans="1:6" x14ac:dyDescent="0.25">
      <c r="A3624" s="364"/>
      <c r="B3624"/>
      <c r="C3624"/>
      <c r="D3624"/>
      <c r="E3624" s="364"/>
      <c r="F3624"/>
    </row>
    <row r="3625" spans="1:6" x14ac:dyDescent="0.25">
      <c r="A3625" s="364"/>
      <c r="B3625"/>
      <c r="C3625"/>
      <c r="D3625"/>
      <c r="E3625" s="364"/>
      <c r="F3625"/>
    </row>
    <row r="3626" spans="1:6" x14ac:dyDescent="0.25">
      <c r="A3626" s="364"/>
      <c r="B3626"/>
      <c r="C3626"/>
      <c r="D3626"/>
      <c r="E3626" s="364"/>
      <c r="F3626"/>
    </row>
    <row r="3627" spans="1:6" x14ac:dyDescent="0.25">
      <c r="A3627" s="364"/>
      <c r="B3627"/>
      <c r="C3627"/>
      <c r="D3627"/>
      <c r="E3627" s="364"/>
      <c r="F3627"/>
    </row>
    <row r="3628" spans="1:6" x14ac:dyDescent="0.25">
      <c r="A3628" s="364"/>
      <c r="B3628"/>
      <c r="C3628"/>
      <c r="D3628"/>
      <c r="E3628" s="364"/>
      <c r="F3628"/>
    </row>
    <row r="3629" spans="1:6" x14ac:dyDescent="0.25">
      <c r="A3629" s="364"/>
      <c r="B3629"/>
      <c r="C3629"/>
      <c r="D3629"/>
      <c r="E3629" s="364"/>
      <c r="F3629"/>
    </row>
    <row r="3630" spans="1:6" x14ac:dyDescent="0.25">
      <c r="A3630" s="364"/>
      <c r="B3630"/>
      <c r="C3630"/>
      <c r="D3630"/>
      <c r="E3630" s="364"/>
      <c r="F3630"/>
    </row>
    <row r="3631" spans="1:6" x14ac:dyDescent="0.25">
      <c r="A3631" s="364"/>
      <c r="B3631"/>
      <c r="C3631"/>
      <c r="D3631"/>
      <c r="E3631" s="364"/>
      <c r="F3631"/>
    </row>
    <row r="3632" spans="1:6" x14ac:dyDescent="0.25">
      <c r="A3632" s="364"/>
      <c r="B3632"/>
      <c r="C3632"/>
      <c r="D3632"/>
      <c r="E3632" s="364"/>
      <c r="F3632"/>
    </row>
    <row r="3633" spans="1:6" x14ac:dyDescent="0.25">
      <c r="A3633" s="364"/>
      <c r="B3633"/>
      <c r="C3633"/>
      <c r="D3633"/>
      <c r="E3633" s="364"/>
      <c r="F3633"/>
    </row>
    <row r="3634" spans="1:6" x14ac:dyDescent="0.25">
      <c r="A3634" s="364"/>
      <c r="B3634"/>
      <c r="C3634"/>
      <c r="D3634"/>
      <c r="E3634" s="364"/>
      <c r="F3634"/>
    </row>
    <row r="3635" spans="1:6" x14ac:dyDescent="0.25">
      <c r="A3635" s="364"/>
      <c r="B3635"/>
      <c r="C3635"/>
      <c r="D3635"/>
      <c r="E3635" s="364"/>
      <c r="F3635"/>
    </row>
    <row r="3636" spans="1:6" x14ac:dyDescent="0.25">
      <c r="A3636" s="364"/>
      <c r="B3636"/>
      <c r="C3636"/>
      <c r="D3636"/>
      <c r="E3636" s="364"/>
      <c r="F3636"/>
    </row>
    <row r="3637" spans="1:6" x14ac:dyDescent="0.25">
      <c r="A3637" s="364"/>
      <c r="B3637"/>
      <c r="C3637"/>
      <c r="D3637"/>
      <c r="E3637" s="364"/>
      <c r="F3637"/>
    </row>
    <row r="3638" spans="1:6" x14ac:dyDescent="0.25">
      <c r="A3638" s="364"/>
      <c r="B3638"/>
      <c r="C3638"/>
      <c r="D3638"/>
      <c r="E3638" s="364"/>
      <c r="F3638"/>
    </row>
    <row r="3639" spans="1:6" x14ac:dyDescent="0.25">
      <c r="A3639" s="364"/>
      <c r="B3639"/>
      <c r="C3639"/>
      <c r="D3639"/>
      <c r="E3639" s="364"/>
      <c r="F3639"/>
    </row>
    <row r="3640" spans="1:6" x14ac:dyDescent="0.25">
      <c r="A3640" s="364"/>
      <c r="B3640"/>
      <c r="C3640"/>
      <c r="D3640"/>
      <c r="E3640" s="364"/>
      <c r="F3640"/>
    </row>
    <row r="3641" spans="1:6" x14ac:dyDescent="0.25">
      <c r="A3641" s="364"/>
      <c r="B3641"/>
      <c r="C3641"/>
      <c r="D3641"/>
      <c r="E3641" s="364"/>
      <c r="F3641"/>
    </row>
    <row r="3642" spans="1:6" x14ac:dyDescent="0.25">
      <c r="A3642" s="364"/>
      <c r="B3642"/>
      <c r="C3642"/>
      <c r="D3642"/>
      <c r="E3642" s="364"/>
      <c r="F3642"/>
    </row>
    <row r="3643" spans="1:6" x14ac:dyDescent="0.25">
      <c r="A3643" s="364"/>
      <c r="B3643"/>
      <c r="C3643"/>
      <c r="D3643"/>
      <c r="E3643" s="364"/>
      <c r="F3643"/>
    </row>
    <row r="3644" spans="1:6" x14ac:dyDescent="0.25">
      <c r="A3644" s="364"/>
      <c r="B3644"/>
      <c r="C3644"/>
      <c r="D3644"/>
      <c r="E3644" s="364"/>
      <c r="F3644"/>
    </row>
    <row r="3645" spans="1:6" x14ac:dyDescent="0.25">
      <c r="A3645" s="364"/>
      <c r="B3645"/>
      <c r="C3645"/>
      <c r="D3645"/>
      <c r="E3645" s="364"/>
      <c r="F3645"/>
    </row>
    <row r="3646" spans="1:6" x14ac:dyDescent="0.25">
      <c r="A3646" s="364"/>
      <c r="B3646"/>
      <c r="C3646"/>
      <c r="D3646"/>
      <c r="E3646" s="364"/>
      <c r="F3646"/>
    </row>
    <row r="3647" spans="1:6" x14ac:dyDescent="0.25">
      <c r="A3647" s="364"/>
      <c r="B3647"/>
      <c r="C3647"/>
      <c r="D3647"/>
      <c r="E3647" s="364"/>
      <c r="F3647"/>
    </row>
    <row r="3648" spans="1:6" x14ac:dyDescent="0.25">
      <c r="A3648" s="364"/>
      <c r="B3648"/>
      <c r="C3648"/>
      <c r="D3648"/>
      <c r="E3648" s="364"/>
      <c r="F3648"/>
    </row>
    <row r="3649" spans="1:6" x14ac:dyDescent="0.25">
      <c r="A3649" s="364"/>
      <c r="B3649"/>
      <c r="C3649"/>
      <c r="D3649"/>
      <c r="E3649" s="364"/>
      <c r="F3649"/>
    </row>
    <row r="3650" spans="1:6" x14ac:dyDescent="0.25">
      <c r="A3650" s="364"/>
      <c r="B3650"/>
      <c r="C3650"/>
      <c r="D3650"/>
      <c r="E3650" s="364"/>
      <c r="F3650"/>
    </row>
    <row r="3651" spans="1:6" x14ac:dyDescent="0.25">
      <c r="A3651" s="364"/>
      <c r="B3651"/>
      <c r="C3651"/>
      <c r="D3651"/>
      <c r="E3651" s="364"/>
      <c r="F3651"/>
    </row>
    <row r="3652" spans="1:6" x14ac:dyDescent="0.25">
      <c r="A3652" s="364"/>
      <c r="B3652"/>
      <c r="C3652"/>
      <c r="D3652"/>
      <c r="E3652" s="364"/>
      <c r="F3652"/>
    </row>
    <row r="3653" spans="1:6" x14ac:dyDescent="0.25">
      <c r="A3653" s="364"/>
      <c r="B3653"/>
      <c r="C3653"/>
      <c r="D3653"/>
      <c r="E3653" s="364"/>
      <c r="F3653"/>
    </row>
    <row r="3654" spans="1:6" x14ac:dyDescent="0.25">
      <c r="A3654" s="364"/>
      <c r="B3654"/>
      <c r="C3654"/>
      <c r="D3654"/>
      <c r="E3654" s="364"/>
      <c r="F3654"/>
    </row>
    <row r="3655" spans="1:6" x14ac:dyDescent="0.25">
      <c r="A3655" s="364"/>
      <c r="B3655"/>
      <c r="C3655"/>
      <c r="D3655"/>
      <c r="E3655" s="364"/>
      <c r="F3655"/>
    </row>
    <row r="3656" spans="1:6" x14ac:dyDescent="0.25">
      <c r="A3656" s="364"/>
      <c r="B3656"/>
      <c r="C3656"/>
      <c r="D3656"/>
      <c r="E3656" s="364"/>
      <c r="F3656"/>
    </row>
    <row r="3657" spans="1:6" x14ac:dyDescent="0.25">
      <c r="A3657" s="364"/>
      <c r="B3657"/>
      <c r="C3657"/>
      <c r="D3657"/>
      <c r="E3657" s="364"/>
      <c r="F3657"/>
    </row>
    <row r="3658" spans="1:6" x14ac:dyDescent="0.25">
      <c r="A3658" s="364"/>
      <c r="B3658"/>
      <c r="C3658"/>
      <c r="D3658"/>
      <c r="E3658" s="364"/>
      <c r="F3658"/>
    </row>
    <row r="3659" spans="1:6" x14ac:dyDescent="0.25">
      <c r="A3659" s="364"/>
      <c r="B3659"/>
      <c r="C3659"/>
      <c r="D3659"/>
      <c r="E3659" s="364"/>
      <c r="F3659"/>
    </row>
    <row r="3660" spans="1:6" x14ac:dyDescent="0.25">
      <c r="A3660" s="364"/>
      <c r="B3660"/>
      <c r="C3660"/>
      <c r="D3660"/>
      <c r="E3660" s="364"/>
      <c r="F3660"/>
    </row>
    <row r="3661" spans="1:6" x14ac:dyDescent="0.25">
      <c r="A3661" s="364"/>
      <c r="B3661"/>
      <c r="C3661"/>
      <c r="D3661"/>
      <c r="E3661" s="364"/>
      <c r="F3661"/>
    </row>
    <row r="3662" spans="1:6" x14ac:dyDescent="0.25">
      <c r="A3662" s="364"/>
      <c r="B3662"/>
      <c r="C3662"/>
      <c r="D3662"/>
      <c r="E3662" s="364"/>
      <c r="F3662"/>
    </row>
    <row r="3663" spans="1:6" x14ac:dyDescent="0.25">
      <c r="A3663" s="364"/>
      <c r="B3663"/>
      <c r="C3663"/>
      <c r="D3663"/>
      <c r="E3663" s="364"/>
      <c r="F3663"/>
    </row>
    <row r="3664" spans="1:6" x14ac:dyDescent="0.25">
      <c r="A3664" s="364"/>
      <c r="B3664"/>
      <c r="C3664"/>
      <c r="D3664"/>
      <c r="E3664" s="364"/>
      <c r="F3664"/>
    </row>
    <row r="3665" spans="1:6" x14ac:dyDescent="0.25">
      <c r="A3665" s="364"/>
      <c r="B3665"/>
      <c r="C3665"/>
      <c r="D3665"/>
      <c r="E3665" s="364"/>
      <c r="F3665"/>
    </row>
    <row r="3666" spans="1:6" x14ac:dyDescent="0.25">
      <c r="A3666" s="364"/>
      <c r="B3666"/>
      <c r="C3666"/>
      <c r="D3666"/>
      <c r="E3666" s="364"/>
      <c r="F3666"/>
    </row>
    <row r="3667" spans="1:6" x14ac:dyDescent="0.25">
      <c r="A3667" s="364"/>
      <c r="B3667"/>
      <c r="C3667"/>
      <c r="D3667"/>
      <c r="E3667" s="364"/>
      <c r="F3667"/>
    </row>
    <row r="3668" spans="1:6" x14ac:dyDescent="0.25">
      <c r="A3668" s="364"/>
      <c r="B3668"/>
      <c r="C3668"/>
      <c r="D3668"/>
      <c r="E3668" s="364"/>
      <c r="F3668"/>
    </row>
    <row r="3669" spans="1:6" x14ac:dyDescent="0.25">
      <c r="A3669" s="364"/>
      <c r="B3669"/>
      <c r="C3669"/>
      <c r="D3669"/>
      <c r="E3669" s="364"/>
      <c r="F3669"/>
    </row>
    <row r="3670" spans="1:6" x14ac:dyDescent="0.25">
      <c r="A3670" s="364"/>
      <c r="B3670"/>
      <c r="C3670"/>
      <c r="D3670"/>
      <c r="E3670" s="364"/>
      <c r="F3670"/>
    </row>
    <row r="3671" spans="1:6" x14ac:dyDescent="0.25">
      <c r="A3671" s="364"/>
      <c r="B3671"/>
      <c r="C3671"/>
      <c r="D3671"/>
      <c r="E3671" s="364"/>
      <c r="F3671"/>
    </row>
    <row r="3672" spans="1:6" x14ac:dyDescent="0.25">
      <c r="A3672" s="364"/>
      <c r="B3672"/>
      <c r="C3672"/>
      <c r="D3672"/>
      <c r="E3672" s="364"/>
      <c r="F3672"/>
    </row>
    <row r="3673" spans="1:6" x14ac:dyDescent="0.25">
      <c r="A3673" s="364"/>
      <c r="B3673"/>
      <c r="C3673"/>
      <c r="D3673"/>
      <c r="E3673" s="364"/>
      <c r="F3673"/>
    </row>
    <row r="3674" spans="1:6" x14ac:dyDescent="0.25">
      <c r="A3674" s="364"/>
      <c r="B3674"/>
      <c r="C3674"/>
      <c r="D3674"/>
      <c r="E3674" s="364"/>
      <c r="F3674"/>
    </row>
    <row r="3675" spans="1:6" x14ac:dyDescent="0.25">
      <c r="A3675" s="364"/>
      <c r="B3675"/>
      <c r="C3675"/>
      <c r="D3675"/>
      <c r="E3675" s="364"/>
      <c r="F3675"/>
    </row>
    <row r="3676" spans="1:6" x14ac:dyDescent="0.25">
      <c r="A3676" s="364"/>
      <c r="B3676"/>
      <c r="C3676"/>
      <c r="D3676"/>
      <c r="E3676" s="364"/>
      <c r="F3676"/>
    </row>
    <row r="3677" spans="1:6" x14ac:dyDescent="0.25">
      <c r="A3677" s="364"/>
      <c r="B3677"/>
      <c r="C3677"/>
      <c r="D3677"/>
      <c r="E3677" s="364"/>
      <c r="F3677"/>
    </row>
    <row r="3678" spans="1:6" x14ac:dyDescent="0.25">
      <c r="A3678" s="364"/>
      <c r="B3678"/>
      <c r="C3678"/>
      <c r="D3678"/>
      <c r="E3678" s="364"/>
      <c r="F3678"/>
    </row>
    <row r="3679" spans="1:6" x14ac:dyDescent="0.25">
      <c r="A3679" s="364"/>
      <c r="B3679"/>
      <c r="C3679"/>
      <c r="D3679"/>
      <c r="E3679" s="364"/>
      <c r="F3679"/>
    </row>
    <row r="3680" spans="1:6" x14ac:dyDescent="0.25">
      <c r="A3680" s="364"/>
      <c r="B3680"/>
      <c r="C3680"/>
      <c r="D3680"/>
      <c r="E3680" s="364"/>
      <c r="F3680"/>
    </row>
    <row r="3681" spans="1:6" x14ac:dyDescent="0.25">
      <c r="A3681" s="364"/>
      <c r="B3681"/>
      <c r="C3681"/>
      <c r="D3681"/>
      <c r="E3681" s="364"/>
      <c r="F3681"/>
    </row>
    <row r="3682" spans="1:6" x14ac:dyDescent="0.25">
      <c r="A3682" s="364"/>
      <c r="B3682"/>
      <c r="C3682"/>
      <c r="D3682"/>
      <c r="E3682" s="364"/>
      <c r="F3682"/>
    </row>
    <row r="3683" spans="1:6" x14ac:dyDescent="0.25">
      <c r="A3683" s="364"/>
      <c r="B3683"/>
      <c r="C3683"/>
      <c r="D3683"/>
      <c r="E3683" s="364"/>
      <c r="F3683"/>
    </row>
    <row r="3684" spans="1:6" x14ac:dyDescent="0.25">
      <c r="A3684" s="364"/>
      <c r="B3684"/>
      <c r="C3684"/>
      <c r="D3684"/>
      <c r="E3684" s="364"/>
      <c r="F3684"/>
    </row>
    <row r="3685" spans="1:6" x14ac:dyDescent="0.25">
      <c r="A3685" s="364"/>
      <c r="B3685"/>
      <c r="C3685"/>
      <c r="D3685"/>
      <c r="E3685" s="364"/>
      <c r="F3685"/>
    </row>
    <row r="3686" spans="1:6" x14ac:dyDescent="0.25">
      <c r="A3686" s="364"/>
      <c r="B3686"/>
      <c r="C3686"/>
      <c r="D3686"/>
      <c r="E3686" s="364"/>
      <c r="F3686"/>
    </row>
    <row r="3687" spans="1:6" x14ac:dyDescent="0.25">
      <c r="A3687" s="364"/>
      <c r="B3687"/>
      <c r="C3687"/>
      <c r="D3687"/>
      <c r="E3687" s="364"/>
      <c r="F3687"/>
    </row>
    <row r="3688" spans="1:6" x14ac:dyDescent="0.25">
      <c r="A3688" s="364"/>
      <c r="B3688"/>
      <c r="C3688"/>
      <c r="D3688"/>
      <c r="E3688" s="364"/>
      <c r="F3688"/>
    </row>
    <row r="3689" spans="1:6" x14ac:dyDescent="0.25">
      <c r="A3689" s="364"/>
      <c r="B3689"/>
      <c r="C3689"/>
      <c r="D3689"/>
      <c r="E3689" s="364"/>
      <c r="F3689"/>
    </row>
    <row r="3690" spans="1:6" x14ac:dyDescent="0.25">
      <c r="A3690" s="364"/>
      <c r="B3690"/>
      <c r="C3690"/>
      <c r="D3690"/>
      <c r="E3690" s="364"/>
      <c r="F3690"/>
    </row>
    <row r="3691" spans="1:6" x14ac:dyDescent="0.25">
      <c r="A3691" s="364"/>
      <c r="B3691"/>
      <c r="C3691"/>
      <c r="D3691"/>
      <c r="E3691" s="364"/>
      <c r="F3691"/>
    </row>
    <row r="3692" spans="1:6" x14ac:dyDescent="0.25">
      <c r="A3692" s="364"/>
      <c r="B3692"/>
      <c r="C3692"/>
      <c r="D3692"/>
      <c r="E3692" s="364"/>
      <c r="F3692"/>
    </row>
    <row r="3693" spans="1:6" x14ac:dyDescent="0.25">
      <c r="A3693" s="364"/>
      <c r="B3693"/>
      <c r="C3693"/>
      <c r="D3693"/>
      <c r="E3693" s="364"/>
      <c r="F3693"/>
    </row>
    <row r="3694" spans="1:6" x14ac:dyDescent="0.25">
      <c r="A3694" s="364"/>
      <c r="B3694"/>
      <c r="C3694"/>
      <c r="D3694"/>
      <c r="E3694" s="364"/>
      <c r="F3694"/>
    </row>
    <row r="3695" spans="1:6" x14ac:dyDescent="0.25">
      <c r="A3695" s="364"/>
      <c r="B3695"/>
      <c r="C3695"/>
      <c r="D3695"/>
      <c r="E3695" s="364"/>
      <c r="F3695"/>
    </row>
    <row r="3696" spans="1:6" x14ac:dyDescent="0.25">
      <c r="A3696" s="364"/>
      <c r="B3696"/>
      <c r="C3696"/>
      <c r="D3696"/>
      <c r="E3696" s="364"/>
      <c r="F3696"/>
    </row>
    <row r="3697" spans="1:6" x14ac:dyDescent="0.25">
      <c r="A3697" s="364"/>
      <c r="B3697"/>
      <c r="C3697"/>
      <c r="D3697"/>
      <c r="E3697" s="364"/>
      <c r="F3697"/>
    </row>
    <row r="3698" spans="1:6" x14ac:dyDescent="0.25">
      <c r="A3698" s="364"/>
      <c r="B3698"/>
      <c r="C3698"/>
      <c r="D3698"/>
      <c r="E3698" s="364"/>
      <c r="F3698"/>
    </row>
    <row r="3699" spans="1:6" x14ac:dyDescent="0.25">
      <c r="A3699" s="364"/>
      <c r="B3699"/>
      <c r="C3699"/>
      <c r="D3699"/>
      <c r="E3699" s="364"/>
      <c r="F3699"/>
    </row>
    <row r="3700" spans="1:6" x14ac:dyDescent="0.25">
      <c r="A3700" s="364"/>
      <c r="B3700"/>
      <c r="C3700"/>
      <c r="D3700"/>
      <c r="E3700" s="364"/>
      <c r="F3700"/>
    </row>
    <row r="3701" spans="1:6" x14ac:dyDescent="0.25">
      <c r="A3701" s="364"/>
      <c r="B3701"/>
      <c r="C3701"/>
      <c r="D3701"/>
      <c r="E3701" s="364"/>
      <c r="F3701"/>
    </row>
    <row r="3702" spans="1:6" x14ac:dyDescent="0.25">
      <c r="A3702" s="364"/>
      <c r="B3702"/>
      <c r="C3702"/>
      <c r="D3702"/>
      <c r="E3702" s="364"/>
      <c r="F3702"/>
    </row>
    <row r="3703" spans="1:6" x14ac:dyDescent="0.25">
      <c r="A3703" s="364"/>
      <c r="B3703"/>
      <c r="C3703"/>
      <c r="D3703"/>
      <c r="E3703" s="364"/>
      <c r="F3703"/>
    </row>
    <row r="3704" spans="1:6" x14ac:dyDescent="0.25">
      <c r="A3704" s="364"/>
      <c r="B3704"/>
      <c r="C3704"/>
      <c r="D3704"/>
      <c r="E3704" s="364"/>
      <c r="F3704"/>
    </row>
    <row r="3705" spans="1:6" x14ac:dyDescent="0.25">
      <c r="A3705" s="364"/>
      <c r="B3705"/>
      <c r="C3705"/>
      <c r="D3705"/>
      <c r="E3705" s="364"/>
      <c r="F3705"/>
    </row>
    <row r="3706" spans="1:6" x14ac:dyDescent="0.25">
      <c r="A3706" s="364"/>
      <c r="B3706"/>
      <c r="C3706"/>
      <c r="D3706"/>
      <c r="E3706" s="364"/>
      <c r="F3706"/>
    </row>
    <row r="3707" spans="1:6" x14ac:dyDescent="0.25">
      <c r="A3707" s="364"/>
      <c r="B3707"/>
      <c r="C3707"/>
      <c r="D3707"/>
      <c r="E3707" s="364"/>
      <c r="F3707"/>
    </row>
    <row r="3708" spans="1:6" x14ac:dyDescent="0.25">
      <c r="A3708" s="364"/>
      <c r="B3708"/>
      <c r="C3708"/>
      <c r="D3708"/>
      <c r="E3708" s="364"/>
      <c r="F3708"/>
    </row>
    <row r="3709" spans="1:6" x14ac:dyDescent="0.25">
      <c r="A3709" s="364"/>
      <c r="B3709"/>
      <c r="C3709"/>
      <c r="D3709"/>
      <c r="E3709" s="364"/>
      <c r="F3709"/>
    </row>
    <row r="3710" spans="1:6" x14ac:dyDescent="0.25">
      <c r="A3710" s="364"/>
      <c r="B3710"/>
      <c r="C3710"/>
      <c r="D3710"/>
      <c r="E3710" s="364"/>
      <c r="F3710"/>
    </row>
    <row r="3711" spans="1:6" x14ac:dyDescent="0.25">
      <c r="A3711" s="364"/>
      <c r="B3711"/>
      <c r="C3711"/>
      <c r="D3711"/>
      <c r="E3711" s="364"/>
      <c r="F3711"/>
    </row>
    <row r="3712" spans="1:6" x14ac:dyDescent="0.25">
      <c r="A3712" s="364"/>
      <c r="B3712"/>
      <c r="C3712"/>
      <c r="D3712"/>
      <c r="E3712" s="364"/>
      <c r="F3712"/>
    </row>
    <row r="3713" spans="1:6" x14ac:dyDescent="0.25">
      <c r="A3713" s="364"/>
      <c r="B3713"/>
      <c r="C3713"/>
      <c r="D3713"/>
      <c r="E3713" s="364"/>
      <c r="F3713"/>
    </row>
    <row r="3714" spans="1:6" x14ac:dyDescent="0.25">
      <c r="A3714" s="364"/>
      <c r="B3714"/>
      <c r="C3714"/>
      <c r="D3714"/>
      <c r="E3714" s="364"/>
      <c r="F3714"/>
    </row>
    <row r="3715" spans="1:6" x14ac:dyDescent="0.25">
      <c r="A3715" s="364"/>
      <c r="B3715"/>
      <c r="C3715"/>
      <c r="D3715"/>
      <c r="E3715" s="364"/>
      <c r="F3715"/>
    </row>
    <row r="3716" spans="1:6" x14ac:dyDescent="0.25">
      <c r="A3716" s="364"/>
      <c r="B3716"/>
      <c r="C3716"/>
      <c r="D3716"/>
      <c r="E3716" s="364"/>
      <c r="F3716"/>
    </row>
    <row r="3717" spans="1:6" x14ac:dyDescent="0.25">
      <c r="A3717" s="364"/>
      <c r="B3717"/>
      <c r="C3717"/>
      <c r="D3717"/>
      <c r="E3717" s="364"/>
      <c r="F3717"/>
    </row>
    <row r="3718" spans="1:6" x14ac:dyDescent="0.25">
      <c r="A3718" s="364"/>
      <c r="B3718"/>
      <c r="C3718"/>
      <c r="D3718"/>
      <c r="E3718" s="364"/>
      <c r="F3718"/>
    </row>
    <row r="3719" spans="1:6" x14ac:dyDescent="0.25">
      <c r="A3719" s="364"/>
      <c r="B3719"/>
      <c r="C3719"/>
      <c r="D3719"/>
      <c r="E3719" s="364"/>
      <c r="F3719"/>
    </row>
    <row r="3720" spans="1:6" x14ac:dyDescent="0.25">
      <c r="A3720" s="364"/>
      <c r="B3720"/>
      <c r="C3720"/>
      <c r="D3720"/>
      <c r="E3720" s="364"/>
      <c r="F3720"/>
    </row>
    <row r="3721" spans="1:6" x14ac:dyDescent="0.25">
      <c r="A3721" s="364"/>
      <c r="B3721"/>
      <c r="C3721"/>
      <c r="D3721"/>
      <c r="E3721" s="364"/>
      <c r="F3721"/>
    </row>
    <row r="3722" spans="1:6" x14ac:dyDescent="0.25">
      <c r="A3722" s="364"/>
      <c r="B3722"/>
      <c r="C3722"/>
      <c r="D3722"/>
      <c r="E3722" s="364"/>
      <c r="F3722"/>
    </row>
    <row r="3723" spans="1:6" x14ac:dyDescent="0.25">
      <c r="A3723" s="364"/>
      <c r="B3723"/>
      <c r="C3723"/>
      <c r="D3723"/>
      <c r="E3723" s="364"/>
      <c r="F3723"/>
    </row>
    <row r="3724" spans="1:6" x14ac:dyDescent="0.25">
      <c r="A3724" s="364"/>
      <c r="B3724"/>
      <c r="C3724"/>
      <c r="D3724"/>
      <c r="E3724" s="364"/>
      <c r="F3724"/>
    </row>
    <row r="3725" spans="1:6" x14ac:dyDescent="0.25">
      <c r="A3725" s="364"/>
      <c r="B3725"/>
      <c r="C3725"/>
      <c r="D3725"/>
      <c r="E3725" s="364"/>
      <c r="F3725"/>
    </row>
    <row r="3726" spans="1:6" x14ac:dyDescent="0.25">
      <c r="A3726" s="364"/>
      <c r="B3726"/>
      <c r="C3726"/>
      <c r="D3726"/>
      <c r="E3726" s="364"/>
      <c r="F3726"/>
    </row>
    <row r="3727" spans="1:6" x14ac:dyDescent="0.25">
      <c r="A3727" s="364"/>
      <c r="B3727"/>
      <c r="C3727"/>
      <c r="D3727"/>
      <c r="E3727" s="364"/>
      <c r="F3727"/>
    </row>
    <row r="3728" spans="1:6" x14ac:dyDescent="0.25">
      <c r="A3728" s="364"/>
      <c r="B3728"/>
      <c r="C3728"/>
      <c r="D3728"/>
      <c r="E3728" s="364"/>
      <c r="F3728"/>
    </row>
    <row r="3729" spans="1:6" x14ac:dyDescent="0.25">
      <c r="A3729" s="364"/>
      <c r="B3729"/>
      <c r="C3729"/>
      <c r="D3729"/>
      <c r="E3729" s="364"/>
      <c r="F3729"/>
    </row>
    <row r="3730" spans="1:6" x14ac:dyDescent="0.25">
      <c r="A3730" s="364"/>
      <c r="B3730"/>
      <c r="C3730"/>
      <c r="D3730"/>
      <c r="E3730" s="364"/>
      <c r="F3730"/>
    </row>
    <row r="3731" spans="1:6" x14ac:dyDescent="0.25">
      <c r="A3731" s="364"/>
      <c r="B3731"/>
      <c r="C3731"/>
      <c r="D3731"/>
      <c r="E3731" s="364"/>
      <c r="F3731"/>
    </row>
    <row r="3732" spans="1:6" x14ac:dyDescent="0.25">
      <c r="A3732" s="364"/>
      <c r="B3732"/>
      <c r="C3732"/>
      <c r="D3732"/>
      <c r="E3732" s="364"/>
      <c r="F3732"/>
    </row>
    <row r="3733" spans="1:6" x14ac:dyDescent="0.25">
      <c r="A3733" s="364"/>
      <c r="B3733"/>
      <c r="C3733"/>
      <c r="D3733"/>
      <c r="E3733" s="364"/>
      <c r="F3733"/>
    </row>
    <row r="3734" spans="1:6" x14ac:dyDescent="0.25">
      <c r="A3734" s="364"/>
      <c r="B3734"/>
      <c r="C3734"/>
      <c r="D3734"/>
      <c r="E3734" s="364"/>
      <c r="F3734"/>
    </row>
    <row r="3735" spans="1:6" x14ac:dyDescent="0.25">
      <c r="A3735" s="364"/>
      <c r="B3735"/>
      <c r="C3735"/>
      <c r="D3735"/>
      <c r="E3735" s="364"/>
      <c r="F3735"/>
    </row>
    <row r="3736" spans="1:6" x14ac:dyDescent="0.25">
      <c r="A3736" s="364"/>
      <c r="B3736"/>
      <c r="C3736"/>
      <c r="D3736"/>
      <c r="E3736" s="364"/>
      <c r="F3736"/>
    </row>
    <row r="3737" spans="1:6" x14ac:dyDescent="0.25">
      <c r="A3737" s="364"/>
      <c r="B3737"/>
      <c r="C3737"/>
      <c r="D3737"/>
      <c r="E3737" s="364"/>
      <c r="F3737"/>
    </row>
    <row r="3738" spans="1:6" x14ac:dyDescent="0.25">
      <c r="A3738" s="364"/>
      <c r="B3738"/>
      <c r="C3738"/>
      <c r="D3738"/>
      <c r="E3738" s="364"/>
      <c r="F3738"/>
    </row>
    <row r="3739" spans="1:6" x14ac:dyDescent="0.25">
      <c r="A3739" s="364"/>
      <c r="B3739"/>
      <c r="C3739"/>
      <c r="D3739"/>
      <c r="E3739" s="364"/>
      <c r="F3739"/>
    </row>
    <row r="3740" spans="1:6" x14ac:dyDescent="0.25">
      <c r="A3740" s="364"/>
      <c r="B3740"/>
      <c r="C3740"/>
      <c r="D3740"/>
      <c r="E3740" s="364"/>
      <c r="F3740"/>
    </row>
    <row r="3741" spans="1:6" x14ac:dyDescent="0.25">
      <c r="A3741" s="364"/>
      <c r="B3741"/>
      <c r="C3741"/>
      <c r="D3741"/>
      <c r="E3741" s="364"/>
      <c r="F3741"/>
    </row>
    <row r="3742" spans="1:6" x14ac:dyDescent="0.25">
      <c r="A3742" s="364"/>
      <c r="B3742"/>
      <c r="C3742"/>
      <c r="D3742"/>
      <c r="E3742" s="364"/>
      <c r="F3742"/>
    </row>
    <row r="3743" spans="1:6" x14ac:dyDescent="0.25">
      <c r="A3743" s="364"/>
      <c r="B3743"/>
      <c r="C3743"/>
      <c r="D3743"/>
      <c r="E3743" s="364"/>
      <c r="F3743"/>
    </row>
    <row r="3744" spans="1:6" x14ac:dyDescent="0.25">
      <c r="A3744" s="364"/>
      <c r="B3744"/>
      <c r="C3744"/>
      <c r="D3744"/>
      <c r="E3744" s="364"/>
      <c r="F3744"/>
    </row>
    <row r="3745" spans="1:6" x14ac:dyDescent="0.25">
      <c r="A3745" s="364"/>
      <c r="B3745"/>
      <c r="C3745"/>
      <c r="D3745"/>
      <c r="E3745" s="364"/>
      <c r="F3745"/>
    </row>
    <row r="3746" spans="1:6" x14ac:dyDescent="0.25">
      <c r="A3746" s="364"/>
      <c r="B3746"/>
      <c r="C3746"/>
      <c r="D3746"/>
      <c r="E3746" s="364"/>
      <c r="F3746"/>
    </row>
    <row r="3747" spans="1:6" x14ac:dyDescent="0.25">
      <c r="A3747" s="364"/>
      <c r="B3747"/>
      <c r="C3747"/>
      <c r="D3747"/>
      <c r="E3747" s="364"/>
      <c r="F3747"/>
    </row>
    <row r="3748" spans="1:6" x14ac:dyDescent="0.25">
      <c r="A3748" s="364"/>
      <c r="B3748"/>
      <c r="C3748"/>
      <c r="D3748"/>
      <c r="E3748" s="364"/>
      <c r="F3748"/>
    </row>
    <row r="3749" spans="1:6" x14ac:dyDescent="0.25">
      <c r="A3749" s="364"/>
      <c r="B3749"/>
      <c r="C3749"/>
      <c r="D3749"/>
      <c r="E3749" s="364"/>
      <c r="F3749"/>
    </row>
    <row r="3750" spans="1:6" x14ac:dyDescent="0.25">
      <c r="A3750" s="364"/>
      <c r="B3750"/>
      <c r="C3750"/>
      <c r="D3750"/>
      <c r="E3750" s="364"/>
      <c r="F3750"/>
    </row>
    <row r="3751" spans="1:6" x14ac:dyDescent="0.25">
      <c r="A3751" s="364"/>
      <c r="B3751"/>
      <c r="C3751"/>
      <c r="D3751"/>
      <c r="E3751" s="364"/>
      <c r="F3751"/>
    </row>
    <row r="3752" spans="1:6" x14ac:dyDescent="0.25">
      <c r="A3752" s="364"/>
      <c r="B3752"/>
      <c r="C3752"/>
      <c r="D3752"/>
      <c r="E3752" s="364"/>
      <c r="F3752"/>
    </row>
    <row r="3753" spans="1:6" x14ac:dyDescent="0.25">
      <c r="A3753" s="364"/>
      <c r="B3753"/>
      <c r="C3753"/>
      <c r="D3753"/>
      <c r="E3753" s="364"/>
      <c r="F3753"/>
    </row>
    <row r="3754" spans="1:6" x14ac:dyDescent="0.25">
      <c r="A3754" s="364"/>
      <c r="B3754"/>
      <c r="C3754"/>
      <c r="D3754"/>
      <c r="E3754" s="364"/>
      <c r="F3754"/>
    </row>
    <row r="3755" spans="1:6" x14ac:dyDescent="0.25">
      <c r="A3755" s="364"/>
      <c r="B3755"/>
      <c r="C3755"/>
      <c r="D3755"/>
      <c r="E3755" s="364"/>
      <c r="F3755"/>
    </row>
    <row r="3756" spans="1:6" x14ac:dyDescent="0.25">
      <c r="A3756" s="364"/>
      <c r="B3756"/>
      <c r="C3756"/>
      <c r="D3756"/>
      <c r="E3756" s="364"/>
      <c r="F3756"/>
    </row>
    <row r="3757" spans="1:6" x14ac:dyDescent="0.25">
      <c r="A3757" s="364"/>
      <c r="B3757"/>
      <c r="C3757"/>
      <c r="D3757"/>
      <c r="E3757" s="364"/>
      <c r="F3757"/>
    </row>
    <row r="3758" spans="1:6" x14ac:dyDescent="0.25">
      <c r="A3758" s="364"/>
      <c r="B3758"/>
      <c r="C3758"/>
      <c r="D3758"/>
      <c r="E3758" s="364"/>
      <c r="F3758"/>
    </row>
    <row r="3759" spans="1:6" x14ac:dyDescent="0.25">
      <c r="A3759" s="364"/>
      <c r="B3759"/>
      <c r="C3759"/>
      <c r="D3759"/>
      <c r="E3759" s="364"/>
      <c r="F3759"/>
    </row>
    <row r="3760" spans="1:6" x14ac:dyDescent="0.25">
      <c r="A3760" s="364"/>
      <c r="B3760"/>
      <c r="C3760"/>
      <c r="D3760"/>
      <c r="E3760" s="364"/>
      <c r="F3760"/>
    </row>
    <row r="3761" spans="1:6" x14ac:dyDescent="0.25">
      <c r="A3761" s="364"/>
      <c r="B3761"/>
      <c r="C3761"/>
      <c r="D3761"/>
      <c r="E3761" s="364"/>
      <c r="F3761"/>
    </row>
    <row r="3762" spans="1:6" x14ac:dyDescent="0.25">
      <c r="A3762" s="364"/>
      <c r="B3762"/>
      <c r="C3762"/>
      <c r="D3762"/>
      <c r="E3762" s="364"/>
      <c r="F3762"/>
    </row>
    <row r="3763" spans="1:6" x14ac:dyDescent="0.25">
      <c r="A3763" s="364"/>
      <c r="B3763"/>
      <c r="C3763"/>
      <c r="D3763"/>
      <c r="E3763" s="364"/>
      <c r="F3763"/>
    </row>
    <row r="3764" spans="1:6" x14ac:dyDescent="0.25">
      <c r="A3764" s="364"/>
      <c r="B3764"/>
      <c r="C3764"/>
      <c r="D3764"/>
      <c r="E3764" s="364"/>
      <c r="F3764"/>
    </row>
    <row r="3765" spans="1:6" x14ac:dyDescent="0.25">
      <c r="A3765" s="364"/>
      <c r="B3765"/>
      <c r="C3765"/>
      <c r="D3765"/>
      <c r="E3765" s="364"/>
      <c r="F3765"/>
    </row>
    <row r="3766" spans="1:6" x14ac:dyDescent="0.25">
      <c r="A3766" s="364"/>
      <c r="B3766"/>
      <c r="C3766"/>
      <c r="D3766"/>
      <c r="E3766" s="364"/>
      <c r="F3766"/>
    </row>
    <row r="3767" spans="1:6" x14ac:dyDescent="0.25">
      <c r="A3767" s="364"/>
      <c r="B3767"/>
      <c r="C3767"/>
      <c r="D3767"/>
      <c r="E3767" s="364"/>
      <c r="F3767"/>
    </row>
    <row r="3768" spans="1:6" x14ac:dyDescent="0.25">
      <c r="A3768" s="364"/>
      <c r="B3768"/>
      <c r="C3768"/>
      <c r="D3768"/>
      <c r="E3768" s="364"/>
      <c r="F3768"/>
    </row>
    <row r="3769" spans="1:6" x14ac:dyDescent="0.25">
      <c r="A3769" s="364"/>
      <c r="B3769"/>
      <c r="C3769"/>
      <c r="D3769"/>
      <c r="E3769" s="364"/>
      <c r="F3769"/>
    </row>
    <row r="3770" spans="1:6" x14ac:dyDescent="0.25">
      <c r="A3770" s="364"/>
      <c r="B3770"/>
      <c r="C3770"/>
      <c r="D3770"/>
      <c r="E3770" s="364"/>
      <c r="F3770"/>
    </row>
    <row r="3771" spans="1:6" x14ac:dyDescent="0.25">
      <c r="A3771" s="364"/>
      <c r="B3771"/>
      <c r="C3771"/>
      <c r="D3771"/>
      <c r="E3771" s="364"/>
      <c r="F3771"/>
    </row>
    <row r="3772" spans="1:6" x14ac:dyDescent="0.25">
      <c r="A3772" s="364"/>
      <c r="B3772"/>
      <c r="C3772"/>
      <c r="D3772"/>
      <c r="E3772" s="364"/>
      <c r="F3772"/>
    </row>
    <row r="3773" spans="1:6" x14ac:dyDescent="0.25">
      <c r="A3773" s="364"/>
      <c r="B3773"/>
      <c r="C3773"/>
      <c r="D3773"/>
      <c r="E3773" s="364"/>
      <c r="F3773"/>
    </row>
    <row r="3774" spans="1:6" x14ac:dyDescent="0.25">
      <c r="A3774" s="364"/>
      <c r="B3774"/>
      <c r="C3774"/>
      <c r="D3774"/>
      <c r="E3774" s="364"/>
      <c r="F3774"/>
    </row>
    <row r="3775" spans="1:6" x14ac:dyDescent="0.25">
      <c r="A3775" s="364"/>
      <c r="B3775"/>
      <c r="C3775"/>
      <c r="D3775"/>
      <c r="E3775" s="364"/>
      <c r="F3775"/>
    </row>
    <row r="3776" spans="1:6" x14ac:dyDescent="0.25">
      <c r="A3776" s="364"/>
      <c r="B3776"/>
      <c r="C3776"/>
      <c r="D3776"/>
      <c r="E3776" s="364"/>
      <c r="F3776"/>
    </row>
    <row r="3777" spans="1:6" x14ac:dyDescent="0.25">
      <c r="A3777" s="364"/>
      <c r="B3777"/>
      <c r="C3777"/>
      <c r="D3777"/>
      <c r="E3777" s="364"/>
      <c r="F3777"/>
    </row>
    <row r="3778" spans="1:6" x14ac:dyDescent="0.25">
      <c r="A3778" s="364"/>
      <c r="B3778"/>
      <c r="C3778"/>
      <c r="D3778"/>
      <c r="E3778" s="364"/>
      <c r="F3778"/>
    </row>
    <row r="3779" spans="1:6" x14ac:dyDescent="0.25">
      <c r="A3779" s="364"/>
      <c r="B3779"/>
      <c r="C3779"/>
      <c r="D3779"/>
      <c r="E3779" s="364"/>
      <c r="F3779"/>
    </row>
    <row r="3780" spans="1:6" x14ac:dyDescent="0.25">
      <c r="A3780" s="364"/>
      <c r="B3780"/>
      <c r="C3780"/>
      <c r="D3780"/>
      <c r="E3780" s="364"/>
      <c r="F3780"/>
    </row>
    <row r="3781" spans="1:6" x14ac:dyDescent="0.25">
      <c r="A3781" s="364"/>
      <c r="B3781"/>
      <c r="C3781"/>
      <c r="D3781"/>
      <c r="E3781" s="364"/>
      <c r="F3781"/>
    </row>
    <row r="3782" spans="1:6" x14ac:dyDescent="0.25">
      <c r="A3782" s="364"/>
      <c r="B3782"/>
      <c r="C3782"/>
      <c r="D3782"/>
      <c r="E3782" s="364"/>
      <c r="F3782"/>
    </row>
    <row r="3783" spans="1:6" x14ac:dyDescent="0.25">
      <c r="A3783" s="364"/>
      <c r="B3783"/>
      <c r="C3783"/>
      <c r="D3783"/>
      <c r="E3783" s="364"/>
      <c r="F3783"/>
    </row>
    <row r="3784" spans="1:6" x14ac:dyDescent="0.25">
      <c r="A3784" s="364"/>
      <c r="B3784"/>
      <c r="C3784"/>
      <c r="D3784"/>
      <c r="E3784" s="364"/>
      <c r="F3784"/>
    </row>
    <row r="3785" spans="1:6" x14ac:dyDescent="0.25">
      <c r="A3785" s="364"/>
      <c r="B3785"/>
      <c r="C3785"/>
      <c r="D3785"/>
      <c r="E3785" s="364"/>
      <c r="F3785"/>
    </row>
    <row r="3786" spans="1:6" x14ac:dyDescent="0.25">
      <c r="A3786" s="364"/>
      <c r="B3786"/>
      <c r="C3786"/>
      <c r="D3786"/>
      <c r="E3786" s="364"/>
      <c r="F3786"/>
    </row>
    <row r="3787" spans="1:6" x14ac:dyDescent="0.25">
      <c r="A3787" s="364"/>
      <c r="B3787"/>
      <c r="C3787"/>
      <c r="D3787"/>
      <c r="E3787" s="364"/>
      <c r="F3787"/>
    </row>
    <row r="3788" spans="1:6" x14ac:dyDescent="0.25">
      <c r="A3788" s="364"/>
      <c r="B3788"/>
      <c r="C3788"/>
      <c r="D3788"/>
      <c r="E3788" s="364"/>
      <c r="F3788"/>
    </row>
    <row r="3789" spans="1:6" x14ac:dyDescent="0.25">
      <c r="A3789" s="364"/>
      <c r="B3789"/>
      <c r="C3789"/>
      <c r="D3789"/>
      <c r="E3789" s="364"/>
      <c r="F3789"/>
    </row>
    <row r="3790" spans="1:6" x14ac:dyDescent="0.25">
      <c r="A3790" s="364"/>
      <c r="B3790"/>
      <c r="C3790"/>
      <c r="D3790"/>
      <c r="E3790" s="364"/>
      <c r="F3790"/>
    </row>
    <row r="3791" spans="1:6" x14ac:dyDescent="0.25">
      <c r="A3791" s="364"/>
      <c r="B3791"/>
      <c r="C3791"/>
      <c r="D3791"/>
      <c r="E3791" s="364"/>
      <c r="F3791"/>
    </row>
    <row r="3792" spans="1:6" x14ac:dyDescent="0.25">
      <c r="A3792" s="364"/>
      <c r="B3792"/>
      <c r="C3792"/>
      <c r="D3792"/>
      <c r="E3792" s="364"/>
      <c r="F3792"/>
    </row>
    <row r="3793" spans="1:6" x14ac:dyDescent="0.25">
      <c r="A3793" s="364"/>
      <c r="B3793"/>
      <c r="C3793"/>
      <c r="D3793"/>
      <c r="E3793" s="364"/>
      <c r="F3793"/>
    </row>
    <row r="3794" spans="1:6" x14ac:dyDescent="0.25">
      <c r="A3794" s="364"/>
      <c r="B3794"/>
      <c r="C3794"/>
      <c r="D3794"/>
      <c r="E3794" s="364"/>
      <c r="F3794"/>
    </row>
    <row r="3795" spans="1:6" x14ac:dyDescent="0.25">
      <c r="A3795" s="364"/>
      <c r="B3795"/>
      <c r="C3795"/>
      <c r="D3795"/>
      <c r="E3795" s="364"/>
      <c r="F3795"/>
    </row>
    <row r="3796" spans="1:6" x14ac:dyDescent="0.25">
      <c r="A3796" s="364"/>
      <c r="B3796"/>
      <c r="C3796"/>
      <c r="D3796"/>
      <c r="E3796" s="364"/>
      <c r="F3796"/>
    </row>
    <row r="3797" spans="1:6" x14ac:dyDescent="0.25">
      <c r="A3797" s="364"/>
      <c r="B3797"/>
      <c r="C3797"/>
      <c r="D3797"/>
      <c r="E3797" s="364"/>
      <c r="F3797"/>
    </row>
    <row r="3798" spans="1:6" x14ac:dyDescent="0.25">
      <c r="A3798" s="364"/>
      <c r="B3798"/>
      <c r="C3798"/>
      <c r="D3798"/>
      <c r="E3798" s="364"/>
      <c r="F3798"/>
    </row>
    <row r="3799" spans="1:6" x14ac:dyDescent="0.25">
      <c r="A3799" s="364"/>
      <c r="B3799"/>
      <c r="C3799"/>
      <c r="D3799"/>
      <c r="E3799" s="364"/>
      <c r="F3799"/>
    </row>
    <row r="3800" spans="1:6" x14ac:dyDescent="0.25">
      <c r="A3800" s="364"/>
      <c r="B3800"/>
      <c r="C3800"/>
      <c r="D3800"/>
      <c r="E3800" s="364"/>
      <c r="F3800"/>
    </row>
    <row r="3801" spans="1:6" x14ac:dyDescent="0.25">
      <c r="A3801" s="364"/>
      <c r="B3801"/>
      <c r="C3801"/>
      <c r="D3801"/>
      <c r="E3801" s="364"/>
      <c r="F3801"/>
    </row>
    <row r="3802" spans="1:6" x14ac:dyDescent="0.25">
      <c r="A3802" s="364"/>
      <c r="B3802"/>
      <c r="C3802"/>
      <c r="D3802"/>
      <c r="E3802" s="364"/>
      <c r="F3802"/>
    </row>
    <row r="3803" spans="1:6" x14ac:dyDescent="0.25">
      <c r="A3803" s="364"/>
      <c r="B3803"/>
      <c r="C3803"/>
      <c r="D3803"/>
      <c r="E3803" s="364"/>
      <c r="F3803"/>
    </row>
    <row r="3804" spans="1:6" x14ac:dyDescent="0.25">
      <c r="A3804" s="364"/>
      <c r="B3804"/>
      <c r="C3804"/>
      <c r="D3804"/>
      <c r="E3804" s="364"/>
      <c r="F3804"/>
    </row>
    <row r="3805" spans="1:6" x14ac:dyDescent="0.25">
      <c r="A3805" s="364"/>
      <c r="B3805"/>
      <c r="C3805"/>
      <c r="D3805"/>
      <c r="E3805" s="364"/>
      <c r="F3805"/>
    </row>
    <row r="3806" spans="1:6" x14ac:dyDescent="0.25">
      <c r="A3806" s="364"/>
      <c r="B3806"/>
      <c r="C3806"/>
      <c r="D3806"/>
      <c r="E3806" s="364"/>
      <c r="F3806"/>
    </row>
    <row r="3807" spans="1:6" x14ac:dyDescent="0.25">
      <c r="A3807" s="364"/>
      <c r="B3807"/>
      <c r="C3807"/>
      <c r="D3807"/>
      <c r="E3807" s="364"/>
      <c r="F3807"/>
    </row>
    <row r="3808" spans="1:6" x14ac:dyDescent="0.25">
      <c r="A3808" s="364"/>
      <c r="B3808"/>
      <c r="C3808"/>
      <c r="D3808"/>
      <c r="E3808" s="364"/>
      <c r="F3808"/>
    </row>
    <row r="3809" spans="1:6" x14ac:dyDescent="0.25">
      <c r="A3809" s="364"/>
      <c r="B3809"/>
      <c r="C3809"/>
      <c r="D3809"/>
      <c r="E3809" s="364"/>
      <c r="F3809"/>
    </row>
    <row r="3810" spans="1:6" x14ac:dyDescent="0.25">
      <c r="A3810" s="364"/>
      <c r="B3810"/>
      <c r="C3810"/>
      <c r="D3810"/>
      <c r="E3810" s="364"/>
      <c r="F3810"/>
    </row>
    <row r="3811" spans="1:6" x14ac:dyDescent="0.25">
      <c r="A3811" s="364"/>
      <c r="B3811"/>
      <c r="C3811"/>
      <c r="D3811"/>
      <c r="E3811" s="364"/>
      <c r="F3811"/>
    </row>
    <row r="3812" spans="1:6" x14ac:dyDescent="0.25">
      <c r="A3812" s="364"/>
      <c r="B3812"/>
      <c r="C3812"/>
      <c r="D3812"/>
      <c r="E3812" s="364"/>
      <c r="F3812"/>
    </row>
    <row r="3813" spans="1:6" x14ac:dyDescent="0.25">
      <c r="A3813" s="364"/>
      <c r="B3813"/>
      <c r="C3813"/>
      <c r="D3813"/>
      <c r="E3813" s="364"/>
      <c r="F3813"/>
    </row>
    <row r="3814" spans="1:6" x14ac:dyDescent="0.25">
      <c r="A3814" s="364"/>
      <c r="B3814"/>
      <c r="C3814"/>
      <c r="D3814"/>
      <c r="E3814" s="364"/>
      <c r="F3814"/>
    </row>
    <row r="3815" spans="1:6" x14ac:dyDescent="0.25">
      <c r="A3815" s="364"/>
      <c r="B3815"/>
      <c r="C3815"/>
      <c r="D3815"/>
      <c r="E3815" s="364"/>
      <c r="F3815"/>
    </row>
    <row r="3816" spans="1:6" x14ac:dyDescent="0.25">
      <c r="A3816" s="364"/>
      <c r="B3816"/>
      <c r="C3816"/>
      <c r="D3816"/>
      <c r="E3816" s="364"/>
      <c r="F3816"/>
    </row>
    <row r="3817" spans="1:6" x14ac:dyDescent="0.25">
      <c r="A3817" s="364"/>
      <c r="B3817"/>
      <c r="C3817"/>
      <c r="D3817"/>
      <c r="E3817" s="364"/>
      <c r="F3817"/>
    </row>
    <row r="3818" spans="1:6" x14ac:dyDescent="0.25">
      <c r="A3818" s="364"/>
      <c r="B3818"/>
      <c r="C3818"/>
      <c r="D3818"/>
      <c r="E3818" s="364"/>
      <c r="F3818"/>
    </row>
    <row r="3819" spans="1:6" x14ac:dyDescent="0.25">
      <c r="A3819" s="364"/>
      <c r="B3819"/>
      <c r="C3819"/>
      <c r="D3819"/>
      <c r="E3819" s="364"/>
      <c r="F3819"/>
    </row>
    <row r="3820" spans="1:6" x14ac:dyDescent="0.25">
      <c r="A3820" s="364"/>
      <c r="B3820"/>
      <c r="C3820"/>
      <c r="D3820"/>
      <c r="E3820" s="364"/>
      <c r="F3820"/>
    </row>
    <row r="3821" spans="1:6" x14ac:dyDescent="0.25">
      <c r="A3821" s="364"/>
      <c r="B3821"/>
      <c r="C3821"/>
      <c r="D3821"/>
      <c r="E3821" s="364"/>
      <c r="F3821"/>
    </row>
    <row r="3822" spans="1:6" x14ac:dyDescent="0.25">
      <c r="A3822" s="364"/>
      <c r="B3822"/>
      <c r="C3822"/>
      <c r="D3822"/>
      <c r="E3822" s="364"/>
      <c r="F3822"/>
    </row>
    <row r="3823" spans="1:6" x14ac:dyDescent="0.25">
      <c r="A3823" s="364"/>
      <c r="B3823"/>
      <c r="C3823"/>
      <c r="D3823"/>
      <c r="E3823" s="364"/>
      <c r="F3823"/>
    </row>
    <row r="3824" spans="1:6" x14ac:dyDescent="0.25">
      <c r="A3824" s="364"/>
      <c r="B3824"/>
      <c r="C3824"/>
      <c r="D3824"/>
      <c r="E3824" s="364"/>
      <c r="F3824"/>
    </row>
    <row r="3825" spans="1:6" x14ac:dyDescent="0.25">
      <c r="A3825" s="364"/>
      <c r="B3825"/>
      <c r="C3825"/>
      <c r="D3825"/>
      <c r="E3825" s="364"/>
      <c r="F3825"/>
    </row>
    <row r="3826" spans="1:6" x14ac:dyDescent="0.25">
      <c r="A3826" s="364"/>
      <c r="B3826"/>
      <c r="C3826"/>
      <c r="D3826"/>
      <c r="E3826" s="364"/>
      <c r="F3826"/>
    </row>
    <row r="3827" spans="1:6" x14ac:dyDescent="0.25">
      <c r="A3827" s="364"/>
      <c r="B3827"/>
      <c r="C3827"/>
      <c r="D3827"/>
      <c r="E3827" s="364"/>
      <c r="F3827"/>
    </row>
    <row r="3828" spans="1:6" x14ac:dyDescent="0.25">
      <c r="A3828" s="364"/>
      <c r="B3828"/>
      <c r="C3828"/>
      <c r="D3828"/>
      <c r="E3828" s="364"/>
      <c r="F3828"/>
    </row>
    <row r="3829" spans="1:6" x14ac:dyDescent="0.25">
      <c r="A3829" s="364"/>
      <c r="B3829"/>
      <c r="C3829"/>
      <c r="D3829"/>
      <c r="E3829" s="364"/>
      <c r="F3829"/>
    </row>
    <row r="3830" spans="1:6" x14ac:dyDescent="0.25">
      <c r="A3830" s="364"/>
      <c r="B3830"/>
      <c r="C3830"/>
      <c r="D3830"/>
      <c r="E3830" s="364"/>
      <c r="F3830"/>
    </row>
    <row r="3831" spans="1:6" x14ac:dyDescent="0.25">
      <c r="A3831" s="364"/>
      <c r="B3831"/>
      <c r="C3831"/>
      <c r="D3831"/>
      <c r="E3831" s="364"/>
      <c r="F3831"/>
    </row>
    <row r="3832" spans="1:6" x14ac:dyDescent="0.25">
      <c r="A3832" s="364"/>
      <c r="B3832"/>
      <c r="C3832"/>
      <c r="D3832"/>
      <c r="E3832" s="364"/>
      <c r="F3832"/>
    </row>
    <row r="3833" spans="1:6" x14ac:dyDescent="0.25">
      <c r="A3833" s="364"/>
      <c r="B3833"/>
      <c r="C3833"/>
      <c r="D3833"/>
      <c r="E3833" s="364"/>
      <c r="F3833"/>
    </row>
    <row r="3834" spans="1:6" x14ac:dyDescent="0.25">
      <c r="A3834" s="364"/>
      <c r="B3834"/>
      <c r="C3834"/>
      <c r="D3834"/>
      <c r="E3834" s="364"/>
      <c r="F3834"/>
    </row>
    <row r="3835" spans="1:6" x14ac:dyDescent="0.25">
      <c r="A3835" s="364"/>
      <c r="B3835"/>
      <c r="C3835"/>
      <c r="D3835"/>
      <c r="E3835" s="364"/>
      <c r="F3835"/>
    </row>
    <row r="3836" spans="1:6" x14ac:dyDescent="0.25">
      <c r="A3836" s="364"/>
      <c r="B3836"/>
      <c r="C3836"/>
      <c r="D3836"/>
      <c r="E3836" s="364"/>
      <c r="F3836"/>
    </row>
    <row r="3837" spans="1:6" x14ac:dyDescent="0.25">
      <c r="A3837" s="364"/>
      <c r="B3837"/>
      <c r="C3837"/>
      <c r="D3837"/>
      <c r="E3837" s="364"/>
      <c r="F3837"/>
    </row>
    <row r="3838" spans="1:6" x14ac:dyDescent="0.25">
      <c r="A3838" s="364"/>
      <c r="B3838"/>
      <c r="C3838"/>
      <c r="D3838"/>
      <c r="E3838" s="364"/>
      <c r="F3838"/>
    </row>
    <row r="3839" spans="1:6" x14ac:dyDescent="0.25">
      <c r="A3839" s="364"/>
      <c r="B3839"/>
      <c r="C3839"/>
      <c r="D3839"/>
      <c r="E3839" s="364"/>
      <c r="F3839"/>
    </row>
    <row r="3840" spans="1:6" x14ac:dyDescent="0.25">
      <c r="A3840" s="364"/>
      <c r="B3840"/>
      <c r="C3840"/>
      <c r="D3840"/>
      <c r="E3840" s="364"/>
      <c r="F3840"/>
    </row>
    <row r="3841" spans="1:6" x14ac:dyDescent="0.25">
      <c r="A3841" s="364"/>
      <c r="B3841"/>
      <c r="C3841"/>
      <c r="D3841"/>
      <c r="E3841" s="364"/>
      <c r="F3841"/>
    </row>
    <row r="3842" spans="1:6" x14ac:dyDescent="0.25">
      <c r="A3842" s="364"/>
      <c r="B3842"/>
      <c r="C3842"/>
      <c r="D3842"/>
      <c r="E3842" s="364"/>
      <c r="F3842"/>
    </row>
    <row r="3843" spans="1:6" x14ac:dyDescent="0.25">
      <c r="A3843" s="364"/>
      <c r="B3843"/>
      <c r="C3843"/>
      <c r="D3843"/>
      <c r="E3843" s="364"/>
      <c r="F3843"/>
    </row>
    <row r="3844" spans="1:6" x14ac:dyDescent="0.25">
      <c r="A3844" s="364"/>
      <c r="B3844"/>
      <c r="C3844"/>
      <c r="D3844"/>
      <c r="E3844" s="364"/>
      <c r="F3844"/>
    </row>
    <row r="3845" spans="1:6" x14ac:dyDescent="0.25">
      <c r="A3845" s="364"/>
      <c r="B3845"/>
      <c r="C3845"/>
      <c r="D3845"/>
      <c r="E3845" s="364"/>
      <c r="F3845"/>
    </row>
    <row r="3846" spans="1:6" x14ac:dyDescent="0.25">
      <c r="A3846" s="364"/>
      <c r="B3846"/>
      <c r="C3846"/>
      <c r="D3846"/>
      <c r="E3846" s="364"/>
      <c r="F3846"/>
    </row>
    <row r="3847" spans="1:6" x14ac:dyDescent="0.25">
      <c r="A3847" s="364"/>
      <c r="B3847"/>
      <c r="C3847"/>
      <c r="D3847"/>
      <c r="E3847" s="364"/>
      <c r="F3847"/>
    </row>
    <row r="3848" spans="1:6" x14ac:dyDescent="0.25">
      <c r="A3848" s="364"/>
      <c r="B3848"/>
      <c r="C3848"/>
      <c r="D3848"/>
      <c r="E3848" s="364"/>
      <c r="F3848"/>
    </row>
    <row r="3849" spans="1:6" x14ac:dyDescent="0.25">
      <c r="A3849" s="364"/>
      <c r="B3849"/>
      <c r="C3849"/>
      <c r="D3849"/>
      <c r="E3849" s="364"/>
      <c r="F3849"/>
    </row>
    <row r="3850" spans="1:6" x14ac:dyDescent="0.25">
      <c r="A3850" s="364"/>
      <c r="B3850"/>
      <c r="C3850"/>
      <c r="D3850"/>
      <c r="E3850" s="364"/>
      <c r="F3850"/>
    </row>
    <row r="3851" spans="1:6" x14ac:dyDescent="0.25">
      <c r="A3851" s="364"/>
      <c r="B3851"/>
      <c r="C3851"/>
      <c r="D3851"/>
      <c r="E3851" s="364"/>
      <c r="F3851"/>
    </row>
    <row r="3852" spans="1:6" x14ac:dyDescent="0.25">
      <c r="A3852" s="364"/>
      <c r="B3852"/>
      <c r="C3852"/>
      <c r="D3852"/>
      <c r="E3852" s="364"/>
      <c r="F3852"/>
    </row>
    <row r="3853" spans="1:6" x14ac:dyDescent="0.25">
      <c r="A3853" s="364"/>
      <c r="B3853"/>
      <c r="C3853"/>
      <c r="D3853"/>
      <c r="E3853" s="364"/>
      <c r="F3853"/>
    </row>
    <row r="3854" spans="1:6" x14ac:dyDescent="0.25">
      <c r="A3854" s="364"/>
      <c r="B3854"/>
      <c r="C3854"/>
      <c r="D3854"/>
      <c r="E3854" s="364"/>
      <c r="F3854"/>
    </row>
    <row r="3855" spans="1:6" x14ac:dyDescent="0.25">
      <c r="A3855" s="364"/>
      <c r="B3855"/>
      <c r="C3855"/>
      <c r="D3855"/>
      <c r="E3855" s="364"/>
      <c r="F3855"/>
    </row>
    <row r="3856" spans="1:6" x14ac:dyDescent="0.25">
      <c r="A3856" s="364"/>
      <c r="B3856"/>
      <c r="C3856"/>
      <c r="D3856"/>
      <c r="E3856" s="364"/>
      <c r="F3856"/>
    </row>
    <row r="3857" spans="1:6" x14ac:dyDescent="0.25">
      <c r="A3857" s="364"/>
      <c r="B3857"/>
      <c r="C3857"/>
      <c r="D3857"/>
      <c r="E3857" s="364"/>
      <c r="F3857"/>
    </row>
    <row r="3858" spans="1:6" x14ac:dyDescent="0.25">
      <c r="A3858" s="364"/>
      <c r="B3858"/>
      <c r="C3858"/>
      <c r="D3858"/>
      <c r="E3858" s="364"/>
      <c r="F3858"/>
    </row>
    <row r="3859" spans="1:6" x14ac:dyDescent="0.25">
      <c r="A3859" s="364"/>
      <c r="B3859"/>
      <c r="C3859"/>
      <c r="D3859"/>
      <c r="E3859" s="364"/>
      <c r="F3859"/>
    </row>
    <row r="3860" spans="1:6" x14ac:dyDescent="0.25">
      <c r="A3860" s="364"/>
      <c r="B3860"/>
      <c r="C3860"/>
      <c r="D3860"/>
      <c r="E3860" s="364"/>
      <c r="F3860"/>
    </row>
    <row r="3861" spans="1:6" x14ac:dyDescent="0.25">
      <c r="A3861" s="364"/>
      <c r="B3861"/>
      <c r="C3861"/>
      <c r="D3861"/>
      <c r="E3861" s="364"/>
      <c r="F3861"/>
    </row>
    <row r="3862" spans="1:6" x14ac:dyDescent="0.25">
      <c r="A3862" s="364"/>
      <c r="B3862"/>
      <c r="C3862"/>
      <c r="D3862"/>
      <c r="E3862" s="364"/>
      <c r="F3862"/>
    </row>
    <row r="3863" spans="1:6" x14ac:dyDescent="0.25">
      <c r="A3863" s="364"/>
      <c r="B3863"/>
      <c r="C3863"/>
      <c r="D3863"/>
      <c r="E3863" s="364"/>
      <c r="F3863"/>
    </row>
    <row r="3864" spans="1:6" x14ac:dyDescent="0.25">
      <c r="A3864" s="364"/>
      <c r="B3864"/>
      <c r="C3864"/>
      <c r="D3864"/>
      <c r="E3864" s="364"/>
      <c r="F3864"/>
    </row>
    <row r="3865" spans="1:6" x14ac:dyDescent="0.25">
      <c r="A3865" s="364"/>
      <c r="B3865"/>
      <c r="C3865"/>
      <c r="D3865"/>
      <c r="E3865" s="364"/>
      <c r="F3865"/>
    </row>
    <row r="3866" spans="1:6" x14ac:dyDescent="0.25">
      <c r="A3866" s="364"/>
      <c r="B3866"/>
      <c r="C3866"/>
      <c r="D3866"/>
      <c r="E3866" s="364"/>
      <c r="F3866"/>
    </row>
    <row r="3867" spans="1:6" x14ac:dyDescent="0.25">
      <c r="A3867" s="364"/>
      <c r="B3867"/>
      <c r="C3867"/>
      <c r="D3867"/>
      <c r="E3867" s="364"/>
      <c r="F3867"/>
    </row>
    <row r="3868" spans="1:6" x14ac:dyDescent="0.25">
      <c r="A3868" s="364"/>
      <c r="B3868"/>
      <c r="C3868"/>
      <c r="D3868"/>
      <c r="E3868" s="364"/>
      <c r="F3868"/>
    </row>
    <row r="3869" spans="1:6" x14ac:dyDescent="0.25">
      <c r="A3869" s="364"/>
      <c r="B3869"/>
      <c r="C3869"/>
      <c r="D3869"/>
      <c r="E3869" s="364"/>
      <c r="F3869"/>
    </row>
    <row r="3870" spans="1:6" x14ac:dyDescent="0.25">
      <c r="A3870" s="364"/>
      <c r="B3870"/>
      <c r="C3870"/>
      <c r="D3870"/>
      <c r="E3870" s="364"/>
      <c r="F3870"/>
    </row>
    <row r="3871" spans="1:6" x14ac:dyDescent="0.25">
      <c r="A3871" s="364"/>
      <c r="B3871"/>
      <c r="C3871"/>
      <c r="D3871"/>
      <c r="E3871" s="364"/>
      <c r="F3871"/>
    </row>
    <row r="3872" spans="1:6" x14ac:dyDescent="0.25">
      <c r="A3872" s="364"/>
      <c r="B3872"/>
      <c r="C3872"/>
      <c r="D3872"/>
      <c r="E3872" s="364"/>
      <c r="F3872"/>
    </row>
    <row r="3873" spans="1:6" x14ac:dyDescent="0.25">
      <c r="A3873" s="364"/>
      <c r="B3873"/>
      <c r="C3873"/>
      <c r="D3873"/>
      <c r="E3873" s="364"/>
      <c r="F3873"/>
    </row>
    <row r="3874" spans="1:6" x14ac:dyDescent="0.25">
      <c r="A3874" s="364"/>
      <c r="B3874"/>
      <c r="C3874"/>
      <c r="D3874"/>
      <c r="E3874" s="364"/>
      <c r="F3874"/>
    </row>
    <row r="3875" spans="1:6" x14ac:dyDescent="0.25">
      <c r="A3875" s="364"/>
      <c r="B3875"/>
      <c r="C3875"/>
      <c r="D3875"/>
      <c r="E3875" s="364"/>
      <c r="F3875"/>
    </row>
    <row r="3876" spans="1:6" x14ac:dyDescent="0.25">
      <c r="A3876" s="364"/>
      <c r="B3876"/>
      <c r="C3876"/>
      <c r="D3876"/>
      <c r="E3876" s="364"/>
      <c r="F3876"/>
    </row>
    <row r="3877" spans="1:6" x14ac:dyDescent="0.25">
      <c r="A3877" s="364"/>
      <c r="B3877"/>
      <c r="C3877"/>
      <c r="D3877"/>
      <c r="E3877" s="364"/>
      <c r="F3877"/>
    </row>
    <row r="3878" spans="1:6" x14ac:dyDescent="0.25">
      <c r="A3878" s="364"/>
      <c r="B3878"/>
      <c r="C3878"/>
      <c r="D3878"/>
      <c r="E3878" s="364"/>
      <c r="F3878"/>
    </row>
    <row r="3879" spans="1:6" x14ac:dyDescent="0.25">
      <c r="A3879" s="364"/>
      <c r="B3879"/>
      <c r="C3879"/>
      <c r="D3879"/>
      <c r="E3879" s="364"/>
      <c r="F3879"/>
    </row>
    <row r="3880" spans="1:6" x14ac:dyDescent="0.25">
      <c r="A3880" s="364"/>
      <c r="B3880"/>
      <c r="C3880"/>
      <c r="D3880"/>
      <c r="E3880" s="364"/>
      <c r="F3880"/>
    </row>
    <row r="3881" spans="1:6" x14ac:dyDescent="0.25">
      <c r="A3881" s="364"/>
      <c r="B3881"/>
      <c r="C3881"/>
      <c r="D3881"/>
      <c r="E3881" s="364"/>
      <c r="F3881"/>
    </row>
    <row r="3882" spans="1:6" x14ac:dyDescent="0.25">
      <c r="A3882" s="364"/>
      <c r="B3882"/>
      <c r="C3882"/>
      <c r="D3882"/>
      <c r="E3882" s="364"/>
      <c r="F3882"/>
    </row>
    <row r="3883" spans="1:6" x14ac:dyDescent="0.25">
      <c r="A3883" s="364"/>
      <c r="B3883"/>
      <c r="C3883"/>
      <c r="D3883"/>
      <c r="E3883" s="364"/>
      <c r="F3883"/>
    </row>
    <row r="3884" spans="1:6" x14ac:dyDescent="0.25">
      <c r="A3884" s="364"/>
      <c r="B3884"/>
      <c r="C3884"/>
      <c r="D3884"/>
      <c r="E3884" s="364"/>
      <c r="F3884"/>
    </row>
    <row r="3885" spans="1:6" x14ac:dyDescent="0.25">
      <c r="A3885" s="364"/>
      <c r="B3885"/>
      <c r="C3885"/>
      <c r="D3885"/>
      <c r="E3885" s="364"/>
      <c r="F3885"/>
    </row>
    <row r="3886" spans="1:6" x14ac:dyDescent="0.25">
      <c r="A3886" s="364"/>
      <c r="B3886"/>
      <c r="C3886"/>
      <c r="D3886"/>
      <c r="E3886" s="364"/>
      <c r="F3886"/>
    </row>
    <row r="3887" spans="1:6" x14ac:dyDescent="0.25">
      <c r="A3887" s="364"/>
      <c r="B3887"/>
      <c r="C3887"/>
      <c r="D3887"/>
      <c r="E3887" s="364"/>
      <c r="F3887"/>
    </row>
    <row r="3888" spans="1:6" x14ac:dyDescent="0.25">
      <c r="A3888" s="364"/>
      <c r="B3888"/>
      <c r="C3888"/>
      <c r="D3888"/>
      <c r="E3888" s="364"/>
      <c r="F3888"/>
    </row>
    <row r="3889" spans="1:6" x14ac:dyDescent="0.25">
      <c r="A3889" s="364"/>
      <c r="B3889"/>
      <c r="C3889"/>
      <c r="D3889"/>
      <c r="E3889" s="364"/>
      <c r="F3889"/>
    </row>
    <row r="3890" spans="1:6" x14ac:dyDescent="0.25">
      <c r="A3890" s="364"/>
      <c r="B3890"/>
      <c r="C3890"/>
      <c r="D3890"/>
      <c r="E3890" s="364"/>
      <c r="F3890"/>
    </row>
    <row r="3891" spans="1:6" x14ac:dyDescent="0.25">
      <c r="A3891" s="364"/>
      <c r="B3891"/>
      <c r="C3891"/>
      <c r="D3891"/>
      <c r="E3891" s="364"/>
      <c r="F3891"/>
    </row>
    <row r="3892" spans="1:6" x14ac:dyDescent="0.25">
      <c r="A3892" s="364"/>
      <c r="B3892"/>
      <c r="C3892"/>
      <c r="D3892"/>
      <c r="E3892" s="364"/>
      <c r="F3892"/>
    </row>
    <row r="3893" spans="1:6" x14ac:dyDescent="0.25">
      <c r="A3893" s="364"/>
      <c r="B3893"/>
      <c r="C3893"/>
      <c r="D3893"/>
      <c r="E3893" s="364"/>
      <c r="F3893"/>
    </row>
    <row r="3894" spans="1:6" x14ac:dyDescent="0.25">
      <c r="A3894" s="364"/>
      <c r="B3894"/>
      <c r="C3894"/>
      <c r="D3894"/>
      <c r="E3894" s="364"/>
      <c r="F3894"/>
    </row>
    <row r="3895" spans="1:6" x14ac:dyDescent="0.25">
      <c r="A3895" s="364"/>
      <c r="B3895"/>
      <c r="C3895"/>
      <c r="D3895"/>
      <c r="E3895" s="364"/>
      <c r="F3895"/>
    </row>
    <row r="3896" spans="1:6" x14ac:dyDescent="0.25">
      <c r="A3896" s="364"/>
      <c r="B3896"/>
      <c r="C3896"/>
      <c r="D3896"/>
      <c r="E3896" s="364"/>
      <c r="F3896"/>
    </row>
    <row r="3897" spans="1:6" x14ac:dyDescent="0.25">
      <c r="A3897" s="364"/>
      <c r="B3897"/>
      <c r="C3897"/>
      <c r="D3897"/>
      <c r="E3897" s="364"/>
      <c r="F3897"/>
    </row>
    <row r="3898" spans="1:6" x14ac:dyDescent="0.25">
      <c r="A3898" s="364"/>
      <c r="B3898"/>
      <c r="C3898"/>
      <c r="D3898"/>
      <c r="E3898" s="364"/>
      <c r="F3898"/>
    </row>
    <row r="3899" spans="1:6" x14ac:dyDescent="0.25">
      <c r="A3899" s="364"/>
      <c r="B3899"/>
      <c r="C3899"/>
      <c r="D3899"/>
      <c r="E3899" s="364"/>
      <c r="F3899"/>
    </row>
    <row r="3900" spans="1:6" x14ac:dyDescent="0.25">
      <c r="A3900" s="364"/>
      <c r="B3900"/>
      <c r="C3900"/>
      <c r="D3900"/>
      <c r="E3900" s="364"/>
      <c r="F3900"/>
    </row>
    <row r="3901" spans="1:6" x14ac:dyDescent="0.25">
      <c r="A3901" s="364"/>
      <c r="B3901"/>
      <c r="C3901"/>
      <c r="D3901"/>
      <c r="E3901" s="364"/>
      <c r="F3901"/>
    </row>
    <row r="3902" spans="1:6" x14ac:dyDescent="0.25">
      <c r="A3902" s="364"/>
      <c r="B3902"/>
      <c r="C3902"/>
      <c r="D3902"/>
      <c r="E3902" s="364"/>
      <c r="F3902"/>
    </row>
    <row r="3903" spans="1:6" x14ac:dyDescent="0.25">
      <c r="A3903" s="364"/>
      <c r="B3903"/>
      <c r="C3903"/>
      <c r="D3903"/>
      <c r="E3903" s="364"/>
      <c r="F3903"/>
    </row>
    <row r="3904" spans="1:6" x14ac:dyDescent="0.25">
      <c r="A3904" s="364"/>
      <c r="B3904"/>
      <c r="C3904"/>
      <c r="D3904"/>
      <c r="E3904" s="364"/>
      <c r="F3904"/>
    </row>
    <row r="3905" spans="1:6" x14ac:dyDescent="0.25">
      <c r="A3905" s="364"/>
      <c r="B3905"/>
      <c r="C3905"/>
      <c r="D3905"/>
      <c r="E3905" s="364"/>
      <c r="F3905"/>
    </row>
    <row r="3906" spans="1:6" x14ac:dyDescent="0.25">
      <c r="A3906" s="364"/>
      <c r="B3906"/>
      <c r="C3906"/>
      <c r="D3906"/>
      <c r="E3906" s="364"/>
      <c r="F3906"/>
    </row>
    <row r="3907" spans="1:6" x14ac:dyDescent="0.25">
      <c r="A3907" s="364"/>
      <c r="B3907"/>
      <c r="C3907"/>
      <c r="D3907"/>
      <c r="E3907" s="364"/>
      <c r="F3907"/>
    </row>
    <row r="3908" spans="1:6" x14ac:dyDescent="0.25">
      <c r="A3908" s="364"/>
      <c r="B3908"/>
      <c r="C3908"/>
      <c r="D3908"/>
      <c r="E3908" s="364"/>
      <c r="F3908"/>
    </row>
    <row r="3909" spans="1:6" x14ac:dyDescent="0.25">
      <c r="A3909" s="364"/>
      <c r="B3909"/>
      <c r="C3909"/>
      <c r="D3909"/>
      <c r="E3909" s="364"/>
      <c r="F3909"/>
    </row>
    <row r="3910" spans="1:6" x14ac:dyDescent="0.25">
      <c r="A3910" s="364"/>
      <c r="B3910"/>
      <c r="C3910"/>
      <c r="D3910"/>
      <c r="E3910" s="364"/>
      <c r="F3910"/>
    </row>
    <row r="3911" spans="1:6" x14ac:dyDescent="0.25">
      <c r="A3911" s="364"/>
      <c r="B3911"/>
      <c r="C3911"/>
      <c r="D3911"/>
      <c r="E3911" s="364"/>
      <c r="F3911"/>
    </row>
    <row r="3912" spans="1:6" x14ac:dyDescent="0.25">
      <c r="A3912" s="364"/>
      <c r="B3912"/>
      <c r="C3912"/>
      <c r="D3912"/>
      <c r="E3912" s="364"/>
      <c r="F3912"/>
    </row>
    <row r="3913" spans="1:6" x14ac:dyDescent="0.25">
      <c r="A3913" s="364"/>
      <c r="B3913"/>
      <c r="C3913"/>
      <c r="D3913"/>
      <c r="E3913" s="364"/>
      <c r="F3913"/>
    </row>
    <row r="3914" spans="1:6" x14ac:dyDescent="0.25">
      <c r="A3914" s="364"/>
      <c r="B3914"/>
      <c r="C3914"/>
      <c r="D3914"/>
      <c r="E3914" s="364"/>
      <c r="F3914"/>
    </row>
    <row r="3915" spans="1:6" x14ac:dyDescent="0.25">
      <c r="A3915" s="364"/>
      <c r="B3915"/>
      <c r="C3915"/>
      <c r="D3915"/>
      <c r="E3915" s="364"/>
      <c r="F3915"/>
    </row>
    <row r="3916" spans="1:6" x14ac:dyDescent="0.25">
      <c r="A3916" s="364"/>
      <c r="B3916"/>
      <c r="C3916"/>
      <c r="D3916"/>
      <c r="E3916" s="364"/>
      <c r="F3916"/>
    </row>
    <row r="3917" spans="1:6" x14ac:dyDescent="0.25">
      <c r="A3917" s="364"/>
      <c r="B3917"/>
      <c r="C3917"/>
      <c r="D3917"/>
      <c r="E3917" s="364"/>
      <c r="F3917"/>
    </row>
    <row r="3918" spans="1:6" x14ac:dyDescent="0.25">
      <c r="A3918" s="364"/>
      <c r="B3918"/>
      <c r="C3918"/>
      <c r="D3918"/>
      <c r="E3918" s="364"/>
      <c r="F3918"/>
    </row>
    <row r="3919" spans="1:6" x14ac:dyDescent="0.25">
      <c r="A3919" s="364"/>
      <c r="B3919"/>
      <c r="C3919"/>
      <c r="D3919"/>
      <c r="E3919" s="364"/>
      <c r="F3919"/>
    </row>
    <row r="3920" spans="1:6" x14ac:dyDescent="0.25">
      <c r="A3920" s="364"/>
      <c r="B3920"/>
      <c r="C3920"/>
      <c r="D3920"/>
      <c r="E3920" s="364"/>
      <c r="F3920"/>
    </row>
    <row r="3921" spans="1:6" x14ac:dyDescent="0.25">
      <c r="A3921" s="364"/>
      <c r="B3921"/>
      <c r="C3921"/>
      <c r="D3921"/>
      <c r="E3921" s="364"/>
      <c r="F3921"/>
    </row>
    <row r="3922" spans="1:6" x14ac:dyDescent="0.25">
      <c r="A3922" s="364"/>
      <c r="B3922"/>
      <c r="C3922"/>
      <c r="D3922"/>
      <c r="E3922" s="364"/>
      <c r="F3922"/>
    </row>
    <row r="3923" spans="1:6" x14ac:dyDescent="0.25">
      <c r="A3923" s="364"/>
      <c r="B3923"/>
      <c r="C3923"/>
      <c r="D3923"/>
      <c r="E3923" s="364"/>
      <c r="F3923"/>
    </row>
    <row r="3924" spans="1:6" x14ac:dyDescent="0.25">
      <c r="A3924" s="364"/>
      <c r="B3924"/>
      <c r="C3924"/>
      <c r="D3924"/>
      <c r="E3924" s="364"/>
      <c r="F3924"/>
    </row>
    <row r="3925" spans="1:6" x14ac:dyDescent="0.25">
      <c r="A3925" s="364"/>
      <c r="B3925"/>
      <c r="C3925"/>
      <c r="D3925"/>
      <c r="E3925" s="364"/>
      <c r="F3925"/>
    </row>
    <row r="3926" spans="1:6" x14ac:dyDescent="0.25">
      <c r="A3926" s="364"/>
      <c r="B3926"/>
      <c r="C3926"/>
      <c r="D3926"/>
      <c r="E3926" s="364"/>
      <c r="F3926"/>
    </row>
    <row r="3927" spans="1:6" x14ac:dyDescent="0.25">
      <c r="A3927" s="364"/>
      <c r="B3927"/>
      <c r="C3927"/>
      <c r="D3927"/>
      <c r="E3927" s="364"/>
      <c r="F3927"/>
    </row>
    <row r="3928" spans="1:6" x14ac:dyDescent="0.25">
      <c r="A3928" s="364"/>
      <c r="B3928"/>
      <c r="C3928"/>
      <c r="D3928"/>
      <c r="E3928" s="364"/>
      <c r="F3928"/>
    </row>
    <row r="3929" spans="1:6" x14ac:dyDescent="0.25">
      <c r="A3929" s="364"/>
      <c r="B3929"/>
      <c r="C3929"/>
      <c r="D3929"/>
      <c r="E3929" s="364"/>
      <c r="F3929"/>
    </row>
    <row r="3930" spans="1:6" x14ac:dyDescent="0.25">
      <c r="A3930" s="364"/>
      <c r="B3930"/>
      <c r="C3930"/>
      <c r="D3930"/>
      <c r="E3930" s="364"/>
      <c r="F3930"/>
    </row>
    <row r="3931" spans="1:6" x14ac:dyDescent="0.25">
      <c r="A3931" s="364"/>
      <c r="B3931"/>
      <c r="C3931"/>
      <c r="D3931"/>
      <c r="E3931" s="364"/>
      <c r="F3931"/>
    </row>
    <row r="3932" spans="1:6" x14ac:dyDescent="0.25">
      <c r="A3932" s="364"/>
      <c r="B3932"/>
      <c r="C3932"/>
      <c r="D3932"/>
      <c r="E3932" s="364"/>
      <c r="F3932"/>
    </row>
    <row r="3933" spans="1:6" x14ac:dyDescent="0.25">
      <c r="A3933" s="364"/>
      <c r="B3933"/>
      <c r="C3933"/>
      <c r="D3933"/>
      <c r="E3933" s="364"/>
      <c r="F3933"/>
    </row>
    <row r="3934" spans="1:6" x14ac:dyDescent="0.25">
      <c r="A3934" s="364"/>
      <c r="B3934"/>
      <c r="C3934"/>
      <c r="D3934"/>
      <c r="E3934" s="364"/>
      <c r="F3934"/>
    </row>
    <row r="3935" spans="1:6" x14ac:dyDescent="0.25">
      <c r="A3935" s="364"/>
      <c r="B3935"/>
      <c r="C3935"/>
      <c r="D3935"/>
      <c r="E3935" s="364"/>
      <c r="F3935"/>
    </row>
    <row r="3936" spans="1:6" x14ac:dyDescent="0.25">
      <c r="A3936" s="364"/>
      <c r="B3936"/>
      <c r="C3936"/>
      <c r="D3936"/>
      <c r="E3936" s="364"/>
      <c r="F3936"/>
    </row>
    <row r="3937" spans="1:6" x14ac:dyDescent="0.25">
      <c r="A3937" s="364"/>
      <c r="B3937"/>
      <c r="C3937"/>
      <c r="D3937"/>
      <c r="E3937" s="364"/>
      <c r="F3937"/>
    </row>
    <row r="3938" spans="1:6" x14ac:dyDescent="0.25">
      <c r="A3938" s="364"/>
      <c r="B3938"/>
      <c r="C3938"/>
      <c r="D3938"/>
      <c r="E3938" s="364"/>
      <c r="F3938"/>
    </row>
    <row r="3939" spans="1:6" x14ac:dyDescent="0.25">
      <c r="A3939" s="364"/>
      <c r="B3939"/>
      <c r="C3939"/>
      <c r="D3939"/>
      <c r="E3939" s="364"/>
      <c r="F3939"/>
    </row>
    <row r="3940" spans="1:6" x14ac:dyDescent="0.25">
      <c r="A3940" s="364"/>
      <c r="B3940"/>
      <c r="C3940"/>
      <c r="D3940"/>
      <c r="E3940" s="364"/>
      <c r="F3940"/>
    </row>
    <row r="3941" spans="1:6" x14ac:dyDescent="0.25">
      <c r="A3941" s="364"/>
      <c r="B3941"/>
      <c r="C3941"/>
      <c r="D3941"/>
      <c r="E3941" s="364"/>
      <c r="F3941"/>
    </row>
    <row r="3942" spans="1:6" x14ac:dyDescent="0.25">
      <c r="A3942" s="364"/>
      <c r="B3942"/>
      <c r="C3942"/>
      <c r="D3942"/>
      <c r="E3942" s="364"/>
      <c r="F3942"/>
    </row>
    <row r="3943" spans="1:6" x14ac:dyDescent="0.25">
      <c r="A3943" s="364"/>
      <c r="B3943"/>
      <c r="C3943"/>
      <c r="D3943"/>
      <c r="E3943" s="364"/>
      <c r="F3943"/>
    </row>
    <row r="3944" spans="1:6" x14ac:dyDescent="0.25">
      <c r="A3944" s="364"/>
      <c r="B3944"/>
      <c r="C3944"/>
      <c r="D3944"/>
      <c r="E3944" s="364"/>
      <c r="F3944"/>
    </row>
    <row r="3945" spans="1:6" x14ac:dyDescent="0.25">
      <c r="A3945" s="364"/>
      <c r="B3945"/>
      <c r="C3945"/>
      <c r="D3945"/>
      <c r="E3945" s="364"/>
      <c r="F3945"/>
    </row>
    <row r="3946" spans="1:6" x14ac:dyDescent="0.25">
      <c r="A3946" s="364"/>
      <c r="B3946"/>
      <c r="C3946"/>
      <c r="D3946"/>
      <c r="E3946" s="364"/>
      <c r="F3946"/>
    </row>
    <row r="3947" spans="1:6" x14ac:dyDescent="0.25">
      <c r="A3947" s="364"/>
      <c r="B3947"/>
      <c r="C3947"/>
      <c r="D3947"/>
      <c r="E3947" s="364"/>
      <c r="F3947"/>
    </row>
    <row r="3948" spans="1:6" x14ac:dyDescent="0.25">
      <c r="A3948" s="364"/>
      <c r="B3948"/>
      <c r="C3948"/>
      <c r="D3948"/>
      <c r="E3948" s="364"/>
      <c r="F3948"/>
    </row>
    <row r="3949" spans="1:6" x14ac:dyDescent="0.25">
      <c r="A3949" s="364"/>
      <c r="B3949"/>
      <c r="C3949"/>
      <c r="D3949"/>
      <c r="E3949" s="364"/>
      <c r="F3949"/>
    </row>
    <row r="3950" spans="1:6" x14ac:dyDescent="0.25">
      <c r="A3950" s="364"/>
      <c r="B3950"/>
      <c r="C3950"/>
      <c r="D3950"/>
      <c r="E3950" s="364"/>
      <c r="F3950"/>
    </row>
    <row r="3951" spans="1:6" x14ac:dyDescent="0.25">
      <c r="A3951" s="364"/>
      <c r="B3951"/>
      <c r="C3951"/>
      <c r="D3951"/>
      <c r="E3951" s="364"/>
      <c r="F3951"/>
    </row>
    <row r="3952" spans="1:6" x14ac:dyDescent="0.25">
      <c r="A3952" s="364"/>
      <c r="B3952"/>
      <c r="C3952"/>
      <c r="D3952"/>
      <c r="E3952" s="364"/>
      <c r="F3952"/>
    </row>
    <row r="3953" spans="1:6" x14ac:dyDescent="0.25">
      <c r="A3953" s="364"/>
      <c r="B3953"/>
      <c r="C3953"/>
      <c r="D3953"/>
      <c r="E3953" s="364"/>
      <c r="F3953"/>
    </row>
    <row r="3954" spans="1:6" x14ac:dyDescent="0.25">
      <c r="A3954" s="364"/>
      <c r="B3954"/>
      <c r="C3954"/>
      <c r="D3954"/>
      <c r="E3954" s="364"/>
      <c r="F3954"/>
    </row>
    <row r="3955" spans="1:6" x14ac:dyDescent="0.25">
      <c r="A3955" s="364"/>
      <c r="B3955"/>
      <c r="C3955"/>
      <c r="D3955"/>
      <c r="E3955" s="364"/>
      <c r="F3955"/>
    </row>
    <row r="3956" spans="1:6" x14ac:dyDescent="0.25">
      <c r="A3956" s="364"/>
      <c r="B3956"/>
      <c r="C3956"/>
      <c r="D3956"/>
      <c r="E3956" s="364"/>
      <c r="F3956"/>
    </row>
    <row r="3957" spans="1:6" x14ac:dyDescent="0.25">
      <c r="A3957" s="364"/>
      <c r="B3957"/>
      <c r="C3957"/>
      <c r="D3957"/>
      <c r="E3957" s="364"/>
      <c r="F3957"/>
    </row>
    <row r="3958" spans="1:6" x14ac:dyDescent="0.25">
      <c r="A3958" s="364"/>
      <c r="B3958"/>
      <c r="C3958"/>
      <c r="D3958"/>
      <c r="E3958" s="364"/>
      <c r="F3958"/>
    </row>
    <row r="3959" spans="1:6" x14ac:dyDescent="0.25">
      <c r="A3959" s="364"/>
      <c r="B3959"/>
      <c r="C3959"/>
      <c r="D3959"/>
      <c r="E3959" s="364"/>
      <c r="F3959"/>
    </row>
    <row r="3960" spans="1:6" x14ac:dyDescent="0.25">
      <c r="A3960" s="364"/>
      <c r="B3960"/>
      <c r="C3960"/>
      <c r="D3960"/>
      <c r="E3960" s="364"/>
      <c r="F3960"/>
    </row>
    <row r="3961" spans="1:6" x14ac:dyDescent="0.25">
      <c r="A3961" s="364"/>
      <c r="B3961"/>
      <c r="C3961"/>
      <c r="D3961"/>
      <c r="E3961" s="364"/>
      <c r="F3961"/>
    </row>
    <row r="3962" spans="1:6" x14ac:dyDescent="0.25">
      <c r="A3962" s="364"/>
      <c r="B3962"/>
      <c r="C3962"/>
      <c r="D3962"/>
      <c r="E3962" s="364"/>
      <c r="F3962"/>
    </row>
    <row r="3963" spans="1:6" x14ac:dyDescent="0.25">
      <c r="A3963" s="364"/>
      <c r="B3963"/>
      <c r="C3963"/>
      <c r="D3963"/>
      <c r="E3963" s="364"/>
      <c r="F3963"/>
    </row>
    <row r="3964" spans="1:6" x14ac:dyDescent="0.25">
      <c r="A3964" s="364"/>
      <c r="B3964"/>
      <c r="C3964"/>
      <c r="D3964"/>
      <c r="E3964" s="364"/>
      <c r="F3964"/>
    </row>
    <row r="3965" spans="1:6" x14ac:dyDescent="0.25">
      <c r="A3965" s="364"/>
      <c r="B3965"/>
      <c r="C3965"/>
      <c r="D3965"/>
      <c r="E3965" s="364"/>
      <c r="F3965"/>
    </row>
    <row r="3966" spans="1:6" x14ac:dyDescent="0.25">
      <c r="A3966" s="364"/>
      <c r="B3966"/>
      <c r="C3966"/>
      <c r="D3966"/>
      <c r="E3966" s="364"/>
      <c r="F3966"/>
    </row>
    <row r="3967" spans="1:6" x14ac:dyDescent="0.25">
      <c r="A3967" s="364"/>
      <c r="B3967"/>
      <c r="C3967"/>
      <c r="D3967"/>
      <c r="E3967" s="364"/>
      <c r="F3967"/>
    </row>
    <row r="3968" spans="1:6" x14ac:dyDescent="0.25">
      <c r="A3968" s="364"/>
      <c r="B3968"/>
      <c r="C3968"/>
      <c r="D3968"/>
      <c r="E3968" s="364"/>
      <c r="F3968"/>
    </row>
    <row r="3969" spans="1:6" x14ac:dyDescent="0.25">
      <c r="A3969" s="364"/>
      <c r="B3969"/>
      <c r="C3969"/>
      <c r="D3969"/>
      <c r="E3969" s="364"/>
      <c r="F3969"/>
    </row>
    <row r="3970" spans="1:6" x14ac:dyDescent="0.25">
      <c r="A3970" s="364"/>
      <c r="B3970"/>
      <c r="C3970"/>
      <c r="D3970"/>
      <c r="E3970" s="364"/>
      <c r="F3970"/>
    </row>
    <row r="3971" spans="1:6" x14ac:dyDescent="0.25">
      <c r="A3971" s="364"/>
      <c r="B3971"/>
      <c r="C3971"/>
      <c r="D3971"/>
      <c r="E3971" s="364"/>
      <c r="F3971"/>
    </row>
    <row r="3972" spans="1:6" x14ac:dyDescent="0.25">
      <c r="A3972" s="364"/>
      <c r="B3972"/>
      <c r="C3972"/>
      <c r="D3972"/>
      <c r="E3972" s="364"/>
      <c r="F3972"/>
    </row>
    <row r="3973" spans="1:6" x14ac:dyDescent="0.25">
      <c r="A3973" s="364"/>
      <c r="B3973"/>
      <c r="C3973"/>
      <c r="D3973"/>
      <c r="E3973" s="364"/>
      <c r="F3973"/>
    </row>
    <row r="3974" spans="1:6" x14ac:dyDescent="0.25">
      <c r="A3974" s="364"/>
      <c r="B3974"/>
      <c r="C3974"/>
      <c r="D3974"/>
      <c r="E3974" s="364"/>
      <c r="F3974"/>
    </row>
    <row r="3975" spans="1:6" x14ac:dyDescent="0.25">
      <c r="A3975" s="364"/>
      <c r="B3975"/>
      <c r="C3975"/>
      <c r="D3975"/>
      <c r="E3975" s="364"/>
      <c r="F3975"/>
    </row>
    <row r="3976" spans="1:6" x14ac:dyDescent="0.25">
      <c r="A3976" s="364"/>
      <c r="B3976"/>
      <c r="C3976"/>
      <c r="D3976"/>
      <c r="E3976" s="364"/>
      <c r="F3976"/>
    </row>
    <row r="3977" spans="1:6" x14ac:dyDescent="0.25">
      <c r="A3977" s="364"/>
      <c r="B3977"/>
      <c r="C3977"/>
      <c r="D3977"/>
      <c r="E3977" s="364"/>
      <c r="F3977"/>
    </row>
    <row r="3978" spans="1:6" x14ac:dyDescent="0.25">
      <c r="A3978" s="364"/>
      <c r="B3978"/>
      <c r="C3978"/>
      <c r="D3978"/>
      <c r="E3978" s="364"/>
      <c r="F3978"/>
    </row>
    <row r="3979" spans="1:6" x14ac:dyDescent="0.25">
      <c r="A3979" s="364"/>
      <c r="B3979"/>
      <c r="C3979"/>
      <c r="D3979"/>
      <c r="E3979" s="364"/>
      <c r="F3979"/>
    </row>
    <row r="3980" spans="1:6" x14ac:dyDescent="0.25">
      <c r="A3980" s="364"/>
      <c r="B3980"/>
      <c r="C3980"/>
      <c r="D3980"/>
      <c r="E3980" s="364"/>
      <c r="F3980"/>
    </row>
    <row r="3981" spans="1:6" x14ac:dyDescent="0.25">
      <c r="A3981" s="364"/>
      <c r="B3981"/>
      <c r="C3981"/>
      <c r="D3981"/>
      <c r="E3981" s="364"/>
      <c r="F3981"/>
    </row>
    <row r="3982" spans="1:6" x14ac:dyDescent="0.25">
      <c r="A3982" s="364"/>
      <c r="B3982"/>
      <c r="C3982"/>
      <c r="D3982"/>
      <c r="E3982" s="364"/>
      <c r="F3982"/>
    </row>
    <row r="3983" spans="1:6" x14ac:dyDescent="0.25">
      <c r="A3983" s="364"/>
      <c r="B3983"/>
      <c r="C3983"/>
      <c r="D3983"/>
      <c r="E3983" s="364"/>
      <c r="F3983"/>
    </row>
    <row r="3984" spans="1:6" x14ac:dyDescent="0.25">
      <c r="A3984" s="364"/>
      <c r="B3984"/>
      <c r="C3984"/>
      <c r="D3984"/>
      <c r="E3984" s="364"/>
      <c r="F3984"/>
    </row>
    <row r="3985" spans="1:6" x14ac:dyDescent="0.25">
      <c r="A3985" s="364"/>
      <c r="B3985"/>
      <c r="C3985"/>
      <c r="D3985"/>
      <c r="E3985" s="364"/>
      <c r="F3985"/>
    </row>
    <row r="3986" spans="1:6" x14ac:dyDescent="0.25">
      <c r="A3986" s="364"/>
      <c r="B3986"/>
      <c r="C3986"/>
      <c r="D3986"/>
      <c r="E3986" s="364"/>
      <c r="F3986"/>
    </row>
    <row r="3987" spans="1:6" x14ac:dyDescent="0.25">
      <c r="A3987" s="364"/>
      <c r="B3987"/>
      <c r="C3987"/>
      <c r="D3987"/>
      <c r="E3987" s="364"/>
      <c r="F3987"/>
    </row>
    <row r="3988" spans="1:6" x14ac:dyDescent="0.25">
      <c r="A3988" s="364"/>
      <c r="B3988"/>
      <c r="C3988"/>
      <c r="D3988"/>
      <c r="E3988" s="364"/>
      <c r="F3988"/>
    </row>
    <row r="3989" spans="1:6" x14ac:dyDescent="0.25">
      <c r="A3989" s="364"/>
      <c r="B3989"/>
      <c r="C3989"/>
      <c r="D3989"/>
      <c r="E3989" s="364"/>
      <c r="F3989"/>
    </row>
    <row r="3990" spans="1:6" x14ac:dyDescent="0.25">
      <c r="A3990" s="364"/>
      <c r="B3990"/>
      <c r="C3990"/>
      <c r="D3990"/>
      <c r="E3990" s="364"/>
      <c r="F3990"/>
    </row>
    <row r="3991" spans="1:6" x14ac:dyDescent="0.25">
      <c r="A3991" s="364"/>
      <c r="B3991"/>
      <c r="C3991"/>
      <c r="D3991"/>
      <c r="E3991" s="364"/>
      <c r="F3991"/>
    </row>
    <row r="3992" spans="1:6" x14ac:dyDescent="0.25">
      <c r="A3992" s="364"/>
      <c r="B3992"/>
      <c r="C3992"/>
      <c r="D3992"/>
      <c r="E3992" s="364"/>
      <c r="F3992"/>
    </row>
    <row r="3993" spans="1:6" x14ac:dyDescent="0.25">
      <c r="A3993" s="364"/>
      <c r="B3993"/>
      <c r="C3993"/>
      <c r="D3993"/>
      <c r="E3993" s="364"/>
      <c r="F3993"/>
    </row>
    <row r="3994" spans="1:6" x14ac:dyDescent="0.25">
      <c r="A3994" s="364"/>
      <c r="B3994"/>
      <c r="C3994"/>
      <c r="D3994"/>
      <c r="E3994" s="364"/>
      <c r="F3994"/>
    </row>
    <row r="3995" spans="1:6" x14ac:dyDescent="0.25">
      <c r="A3995" s="364"/>
      <c r="B3995"/>
      <c r="C3995"/>
      <c r="D3995"/>
      <c r="E3995" s="364"/>
      <c r="F3995"/>
    </row>
    <row r="3996" spans="1:6" x14ac:dyDescent="0.25">
      <c r="A3996" s="364"/>
      <c r="B3996"/>
      <c r="C3996"/>
      <c r="D3996"/>
      <c r="E3996" s="364"/>
      <c r="F3996"/>
    </row>
    <row r="3997" spans="1:6" x14ac:dyDescent="0.25">
      <c r="A3997" s="364"/>
      <c r="B3997"/>
      <c r="C3997"/>
      <c r="D3997"/>
      <c r="E3997" s="364"/>
      <c r="F3997"/>
    </row>
    <row r="3998" spans="1:6" x14ac:dyDescent="0.25">
      <c r="A3998" s="364"/>
      <c r="B3998"/>
      <c r="C3998"/>
      <c r="D3998"/>
      <c r="E3998" s="364"/>
      <c r="F3998"/>
    </row>
    <row r="3999" spans="1:6" x14ac:dyDescent="0.25">
      <c r="A3999" s="364"/>
      <c r="B3999"/>
      <c r="C3999"/>
      <c r="D3999"/>
      <c r="E3999" s="364"/>
      <c r="F3999"/>
    </row>
    <row r="4000" spans="1:6" x14ac:dyDescent="0.25">
      <c r="A4000" s="364"/>
      <c r="B4000"/>
      <c r="C4000"/>
      <c r="D4000"/>
      <c r="E4000" s="364"/>
      <c r="F4000"/>
    </row>
    <row r="4001" spans="1:6" x14ac:dyDescent="0.25">
      <c r="A4001" s="364"/>
      <c r="B4001"/>
      <c r="C4001"/>
      <c r="D4001"/>
      <c r="E4001" s="364"/>
      <c r="F4001"/>
    </row>
    <row r="4002" spans="1:6" x14ac:dyDescent="0.25">
      <c r="A4002" s="364"/>
      <c r="B4002"/>
      <c r="C4002"/>
      <c r="D4002"/>
      <c r="E4002" s="364"/>
      <c r="F4002"/>
    </row>
    <row r="4003" spans="1:6" x14ac:dyDescent="0.25">
      <c r="A4003" s="364"/>
      <c r="B4003"/>
      <c r="C4003"/>
      <c r="D4003"/>
      <c r="E4003" s="364"/>
      <c r="F4003"/>
    </row>
    <row r="4004" spans="1:6" x14ac:dyDescent="0.25">
      <c r="A4004" s="364"/>
      <c r="B4004"/>
      <c r="C4004"/>
      <c r="D4004"/>
      <c r="E4004" s="364"/>
      <c r="F4004"/>
    </row>
    <row r="4005" spans="1:6" x14ac:dyDescent="0.25">
      <c r="A4005" s="364"/>
      <c r="B4005"/>
      <c r="C4005"/>
      <c r="D4005"/>
      <c r="E4005" s="364"/>
      <c r="F4005"/>
    </row>
    <row r="4006" spans="1:6" x14ac:dyDescent="0.25">
      <c r="A4006" s="364"/>
      <c r="B4006"/>
      <c r="C4006"/>
      <c r="D4006"/>
      <c r="E4006" s="364"/>
      <c r="F4006"/>
    </row>
    <row r="4007" spans="1:6" x14ac:dyDescent="0.25">
      <c r="A4007" s="364"/>
      <c r="B4007"/>
      <c r="C4007"/>
      <c r="D4007"/>
      <c r="E4007" s="364"/>
      <c r="F4007"/>
    </row>
    <row r="4008" spans="1:6" x14ac:dyDescent="0.25">
      <c r="A4008" s="364"/>
      <c r="B4008"/>
      <c r="C4008"/>
      <c r="D4008"/>
      <c r="E4008" s="364"/>
      <c r="F4008"/>
    </row>
    <row r="4009" spans="1:6" x14ac:dyDescent="0.25">
      <c r="A4009" s="364"/>
      <c r="B4009"/>
      <c r="C4009"/>
      <c r="D4009"/>
      <c r="E4009" s="364"/>
      <c r="F4009"/>
    </row>
    <row r="4010" spans="1:6" x14ac:dyDescent="0.25">
      <c r="A4010" s="364"/>
      <c r="B4010"/>
      <c r="C4010"/>
      <c r="D4010"/>
      <c r="E4010" s="364"/>
      <c r="F4010"/>
    </row>
    <row r="4011" spans="1:6" x14ac:dyDescent="0.25">
      <c r="A4011" s="364"/>
      <c r="B4011"/>
      <c r="C4011"/>
      <c r="D4011"/>
      <c r="E4011" s="364"/>
      <c r="F4011"/>
    </row>
    <row r="4012" spans="1:6" x14ac:dyDescent="0.25">
      <c r="A4012" s="364"/>
      <c r="B4012"/>
      <c r="C4012"/>
      <c r="D4012"/>
      <c r="E4012" s="364"/>
      <c r="F4012"/>
    </row>
    <row r="4013" spans="1:6" x14ac:dyDescent="0.25">
      <c r="A4013" s="364"/>
      <c r="B4013"/>
      <c r="C4013"/>
      <c r="D4013"/>
      <c r="E4013" s="364"/>
      <c r="F4013"/>
    </row>
    <row r="4014" spans="1:6" x14ac:dyDescent="0.25">
      <c r="A4014" s="364"/>
      <c r="B4014"/>
      <c r="C4014"/>
      <c r="D4014"/>
      <c r="E4014" s="364"/>
      <c r="F4014"/>
    </row>
    <row r="4015" spans="1:6" x14ac:dyDescent="0.25">
      <c r="A4015" s="364"/>
      <c r="B4015"/>
      <c r="C4015"/>
      <c r="D4015"/>
      <c r="E4015" s="364"/>
      <c r="F4015"/>
    </row>
    <row r="4016" spans="1:6" x14ac:dyDescent="0.25">
      <c r="A4016" s="364"/>
      <c r="B4016"/>
      <c r="C4016"/>
      <c r="D4016"/>
      <c r="E4016" s="364"/>
      <c r="F4016"/>
    </row>
    <row r="4017" spans="1:6" x14ac:dyDescent="0.25">
      <c r="A4017" s="364"/>
      <c r="B4017"/>
      <c r="C4017"/>
      <c r="D4017"/>
      <c r="E4017" s="364"/>
      <c r="F4017"/>
    </row>
    <row r="4018" spans="1:6" x14ac:dyDescent="0.25">
      <c r="A4018" s="364"/>
      <c r="B4018"/>
      <c r="C4018"/>
      <c r="D4018"/>
      <c r="E4018" s="364"/>
      <c r="F4018"/>
    </row>
    <row r="4019" spans="1:6" x14ac:dyDescent="0.25">
      <c r="A4019" s="364"/>
      <c r="B4019"/>
      <c r="C4019"/>
      <c r="D4019"/>
      <c r="E4019" s="364"/>
      <c r="F4019"/>
    </row>
    <row r="4020" spans="1:6" x14ac:dyDescent="0.25">
      <c r="A4020" s="364"/>
      <c r="B4020"/>
      <c r="C4020"/>
      <c r="D4020"/>
      <c r="E4020" s="364"/>
      <c r="F4020"/>
    </row>
    <row r="4021" spans="1:6" x14ac:dyDescent="0.25">
      <c r="A4021" s="364"/>
      <c r="B4021"/>
      <c r="C4021"/>
      <c r="D4021"/>
      <c r="E4021" s="364"/>
      <c r="F4021"/>
    </row>
    <row r="4022" spans="1:6" x14ac:dyDescent="0.25">
      <c r="A4022" s="364"/>
      <c r="B4022"/>
      <c r="C4022"/>
      <c r="D4022"/>
      <c r="E4022" s="364"/>
      <c r="F4022"/>
    </row>
    <row r="4023" spans="1:6" x14ac:dyDescent="0.25">
      <c r="A4023" s="364"/>
      <c r="B4023"/>
      <c r="C4023"/>
      <c r="D4023"/>
      <c r="E4023" s="364"/>
      <c r="F4023"/>
    </row>
    <row r="4024" spans="1:6" x14ac:dyDescent="0.25">
      <c r="A4024" s="364"/>
      <c r="B4024"/>
      <c r="C4024"/>
      <c r="D4024"/>
      <c r="E4024" s="364"/>
      <c r="F4024"/>
    </row>
    <row r="4025" spans="1:6" x14ac:dyDescent="0.25">
      <c r="A4025" s="364"/>
      <c r="B4025"/>
      <c r="C4025"/>
      <c r="D4025"/>
      <c r="E4025" s="364"/>
      <c r="F4025"/>
    </row>
    <row r="4026" spans="1:6" x14ac:dyDescent="0.25">
      <c r="A4026" s="364"/>
      <c r="B4026"/>
      <c r="C4026"/>
      <c r="D4026"/>
      <c r="E4026" s="364"/>
      <c r="F4026"/>
    </row>
    <row r="4027" spans="1:6" x14ac:dyDescent="0.25">
      <c r="A4027" s="364"/>
      <c r="B4027"/>
      <c r="C4027"/>
      <c r="D4027"/>
      <c r="E4027" s="364"/>
      <c r="F4027"/>
    </row>
    <row r="4028" spans="1:6" x14ac:dyDescent="0.25">
      <c r="A4028" s="364"/>
      <c r="B4028"/>
      <c r="C4028"/>
      <c r="D4028"/>
      <c r="E4028" s="364"/>
      <c r="F4028"/>
    </row>
    <row r="4029" spans="1:6" x14ac:dyDescent="0.25">
      <c r="A4029" s="364"/>
      <c r="B4029"/>
      <c r="C4029"/>
      <c r="D4029"/>
      <c r="E4029" s="364"/>
      <c r="F4029"/>
    </row>
    <row r="4030" spans="1:6" x14ac:dyDescent="0.25">
      <c r="A4030" s="364"/>
      <c r="B4030"/>
      <c r="C4030"/>
      <c r="D4030"/>
      <c r="E4030" s="364"/>
      <c r="F4030"/>
    </row>
    <row r="4031" spans="1:6" x14ac:dyDescent="0.25">
      <c r="A4031" s="364"/>
      <c r="B4031"/>
      <c r="C4031"/>
      <c r="D4031"/>
      <c r="E4031" s="364"/>
      <c r="F4031"/>
    </row>
    <row r="4032" spans="1:6" x14ac:dyDescent="0.25">
      <c r="A4032" s="364"/>
      <c r="B4032"/>
      <c r="C4032"/>
      <c r="D4032"/>
      <c r="E4032" s="364"/>
      <c r="F4032"/>
    </row>
    <row r="4033" spans="1:6" x14ac:dyDescent="0.25">
      <c r="A4033" s="364"/>
      <c r="B4033"/>
      <c r="C4033"/>
      <c r="D4033"/>
      <c r="E4033" s="364"/>
      <c r="F4033"/>
    </row>
    <row r="4034" spans="1:6" x14ac:dyDescent="0.25">
      <c r="A4034" s="364"/>
      <c r="B4034"/>
      <c r="C4034"/>
      <c r="D4034"/>
      <c r="E4034" s="364"/>
      <c r="F4034"/>
    </row>
    <row r="4035" spans="1:6" x14ac:dyDescent="0.25">
      <c r="A4035" s="364"/>
      <c r="B4035"/>
      <c r="C4035"/>
      <c r="D4035"/>
      <c r="E4035" s="364"/>
      <c r="F4035"/>
    </row>
    <row r="4036" spans="1:6" x14ac:dyDescent="0.25">
      <c r="A4036" s="364"/>
      <c r="B4036"/>
      <c r="C4036"/>
      <c r="D4036"/>
      <c r="E4036" s="364"/>
      <c r="F4036"/>
    </row>
    <row r="4037" spans="1:6" x14ac:dyDescent="0.25">
      <c r="A4037" s="364"/>
      <c r="B4037"/>
      <c r="C4037"/>
      <c r="D4037"/>
      <c r="E4037" s="364"/>
      <c r="F4037"/>
    </row>
    <row r="4038" spans="1:6" x14ac:dyDescent="0.25">
      <c r="A4038" s="364"/>
      <c r="B4038"/>
      <c r="C4038"/>
      <c r="D4038"/>
      <c r="E4038" s="364"/>
      <c r="F4038"/>
    </row>
    <row r="4039" spans="1:6" x14ac:dyDescent="0.25">
      <c r="A4039" s="364"/>
      <c r="B4039"/>
      <c r="C4039"/>
      <c r="D4039"/>
      <c r="E4039" s="364"/>
      <c r="F4039"/>
    </row>
    <row r="4040" spans="1:6" x14ac:dyDescent="0.25">
      <c r="A4040" s="364"/>
      <c r="B4040"/>
      <c r="C4040"/>
      <c r="D4040"/>
      <c r="E4040" s="364"/>
      <c r="F4040"/>
    </row>
    <row r="4041" spans="1:6" x14ac:dyDescent="0.25">
      <c r="A4041" s="364"/>
      <c r="B4041"/>
      <c r="C4041"/>
      <c r="D4041"/>
      <c r="E4041" s="364"/>
      <c r="F4041"/>
    </row>
    <row r="4042" spans="1:6" x14ac:dyDescent="0.25">
      <c r="A4042" s="364"/>
      <c r="B4042"/>
      <c r="C4042"/>
      <c r="D4042"/>
      <c r="E4042" s="364"/>
      <c r="F4042"/>
    </row>
    <row r="4043" spans="1:6" x14ac:dyDescent="0.25">
      <c r="A4043" s="364"/>
      <c r="B4043"/>
      <c r="C4043"/>
      <c r="D4043"/>
      <c r="E4043" s="364"/>
      <c r="F4043"/>
    </row>
    <row r="4044" spans="1:6" x14ac:dyDescent="0.25">
      <c r="A4044" s="364"/>
      <c r="B4044"/>
      <c r="C4044"/>
      <c r="D4044"/>
      <c r="E4044" s="364"/>
      <c r="F4044"/>
    </row>
    <row r="4045" spans="1:6" x14ac:dyDescent="0.25">
      <c r="A4045" s="364"/>
      <c r="B4045"/>
      <c r="C4045"/>
      <c r="D4045"/>
      <c r="E4045" s="364"/>
      <c r="F4045"/>
    </row>
    <row r="4046" spans="1:6" x14ac:dyDescent="0.25">
      <c r="A4046" s="364"/>
      <c r="B4046"/>
      <c r="C4046"/>
      <c r="D4046"/>
      <c r="E4046" s="364"/>
      <c r="F4046"/>
    </row>
    <row r="4047" spans="1:6" x14ac:dyDescent="0.25">
      <c r="A4047" s="364"/>
      <c r="B4047"/>
      <c r="C4047"/>
      <c r="D4047"/>
      <c r="E4047" s="364"/>
      <c r="F4047"/>
    </row>
    <row r="4048" spans="1:6" x14ac:dyDescent="0.25">
      <c r="A4048" s="364"/>
      <c r="B4048"/>
      <c r="C4048"/>
      <c r="D4048"/>
      <c r="E4048" s="364"/>
      <c r="F4048"/>
    </row>
    <row r="4049" spans="1:6" x14ac:dyDescent="0.25">
      <c r="A4049" s="364"/>
      <c r="B4049"/>
      <c r="C4049"/>
      <c r="D4049"/>
      <c r="E4049" s="364"/>
      <c r="F4049"/>
    </row>
    <row r="4050" spans="1:6" x14ac:dyDescent="0.25">
      <c r="A4050" s="364"/>
      <c r="B4050"/>
      <c r="C4050"/>
      <c r="D4050"/>
      <c r="E4050" s="364"/>
      <c r="F4050"/>
    </row>
    <row r="4051" spans="1:6" x14ac:dyDescent="0.25">
      <c r="A4051" s="364"/>
      <c r="B4051"/>
      <c r="C4051"/>
      <c r="D4051"/>
      <c r="E4051" s="364"/>
      <c r="F4051"/>
    </row>
    <row r="4052" spans="1:6" x14ac:dyDescent="0.25">
      <c r="A4052" s="364"/>
      <c r="B4052"/>
      <c r="C4052"/>
      <c r="D4052"/>
      <c r="E4052" s="364"/>
      <c r="F4052"/>
    </row>
    <row r="4053" spans="1:6" x14ac:dyDescent="0.25">
      <c r="A4053" s="364"/>
      <c r="B4053"/>
      <c r="C4053"/>
      <c r="D4053"/>
      <c r="E4053" s="364"/>
      <c r="F4053"/>
    </row>
    <row r="4054" spans="1:6" x14ac:dyDescent="0.25">
      <c r="A4054" s="364"/>
      <c r="B4054"/>
      <c r="C4054"/>
      <c r="D4054"/>
      <c r="E4054" s="364"/>
      <c r="F4054"/>
    </row>
    <row r="4055" spans="1:6" x14ac:dyDescent="0.25">
      <c r="A4055" s="364"/>
      <c r="B4055"/>
      <c r="C4055"/>
      <c r="D4055"/>
      <c r="E4055" s="364"/>
      <c r="F4055"/>
    </row>
    <row r="4056" spans="1:6" x14ac:dyDescent="0.25">
      <c r="A4056" s="364"/>
      <c r="B4056"/>
      <c r="C4056"/>
      <c r="D4056"/>
      <c r="E4056" s="364"/>
      <c r="F4056"/>
    </row>
    <row r="4057" spans="1:6" x14ac:dyDescent="0.25">
      <c r="A4057" s="364"/>
      <c r="B4057"/>
      <c r="C4057"/>
      <c r="D4057"/>
      <c r="E4057" s="364"/>
      <c r="F4057"/>
    </row>
    <row r="4058" spans="1:6" x14ac:dyDescent="0.25">
      <c r="A4058" s="364"/>
      <c r="B4058"/>
      <c r="C4058"/>
      <c r="D4058"/>
      <c r="E4058" s="364"/>
      <c r="F4058"/>
    </row>
    <row r="4059" spans="1:6" x14ac:dyDescent="0.25">
      <c r="A4059" s="364"/>
      <c r="B4059"/>
      <c r="C4059"/>
      <c r="D4059"/>
      <c r="E4059" s="364"/>
      <c r="F4059"/>
    </row>
    <row r="4060" spans="1:6" x14ac:dyDescent="0.25">
      <c r="A4060" s="364"/>
      <c r="B4060"/>
      <c r="C4060"/>
      <c r="D4060"/>
      <c r="E4060" s="364"/>
      <c r="F4060"/>
    </row>
    <row r="4061" spans="1:6" x14ac:dyDescent="0.25">
      <c r="A4061" s="364"/>
      <c r="B4061"/>
      <c r="C4061"/>
      <c r="D4061"/>
      <c r="E4061" s="364"/>
      <c r="F4061"/>
    </row>
    <row r="4062" spans="1:6" x14ac:dyDescent="0.25">
      <c r="A4062" s="364"/>
      <c r="B4062"/>
      <c r="C4062"/>
      <c r="D4062"/>
      <c r="E4062" s="364"/>
      <c r="F4062"/>
    </row>
    <row r="4063" spans="1:6" x14ac:dyDescent="0.25">
      <c r="A4063" s="364"/>
      <c r="B4063"/>
      <c r="C4063"/>
      <c r="D4063"/>
      <c r="E4063" s="364"/>
      <c r="F4063"/>
    </row>
    <row r="4064" spans="1:6" x14ac:dyDescent="0.25">
      <c r="A4064" s="364"/>
      <c r="B4064"/>
      <c r="C4064"/>
      <c r="D4064"/>
      <c r="E4064" s="364"/>
      <c r="F4064"/>
    </row>
    <row r="4065" spans="1:6" x14ac:dyDescent="0.25">
      <c r="A4065" s="364"/>
      <c r="B4065"/>
      <c r="C4065"/>
      <c r="D4065"/>
      <c r="E4065" s="364"/>
      <c r="F4065"/>
    </row>
    <row r="4066" spans="1:6" x14ac:dyDescent="0.25">
      <c r="A4066" s="364"/>
      <c r="B4066"/>
      <c r="C4066"/>
      <c r="D4066"/>
      <c r="E4066" s="364"/>
      <c r="F4066"/>
    </row>
    <row r="4067" spans="1:6" x14ac:dyDescent="0.25">
      <c r="A4067" s="364"/>
      <c r="B4067"/>
      <c r="C4067"/>
      <c r="D4067"/>
      <c r="E4067" s="364"/>
      <c r="F4067"/>
    </row>
    <row r="4068" spans="1:6" x14ac:dyDescent="0.25">
      <c r="A4068" s="364"/>
      <c r="B4068"/>
      <c r="C4068"/>
      <c r="D4068"/>
      <c r="E4068" s="364"/>
      <c r="F4068"/>
    </row>
    <row r="4069" spans="1:6" x14ac:dyDescent="0.25">
      <c r="A4069" s="364"/>
      <c r="B4069"/>
      <c r="C4069"/>
      <c r="D4069"/>
      <c r="E4069" s="364"/>
      <c r="F4069"/>
    </row>
    <row r="4070" spans="1:6" x14ac:dyDescent="0.25">
      <c r="A4070" s="364"/>
      <c r="B4070"/>
      <c r="C4070"/>
      <c r="D4070"/>
      <c r="E4070" s="364"/>
      <c r="F4070"/>
    </row>
    <row r="4071" spans="1:6" x14ac:dyDescent="0.25">
      <c r="A4071" s="364"/>
      <c r="B4071"/>
      <c r="C4071"/>
      <c r="D4071"/>
      <c r="E4071" s="364"/>
      <c r="F4071"/>
    </row>
    <row r="4072" spans="1:6" x14ac:dyDescent="0.25">
      <c r="A4072" s="364"/>
      <c r="B4072"/>
      <c r="C4072"/>
      <c r="D4072"/>
      <c r="E4072" s="364"/>
      <c r="F4072"/>
    </row>
    <row r="4073" spans="1:6" x14ac:dyDescent="0.25">
      <c r="A4073" s="364"/>
      <c r="B4073"/>
      <c r="C4073"/>
      <c r="D4073"/>
      <c r="E4073" s="364"/>
      <c r="F4073"/>
    </row>
    <row r="4074" spans="1:6" x14ac:dyDescent="0.25">
      <c r="A4074" s="364"/>
      <c r="B4074"/>
      <c r="C4074"/>
      <c r="D4074"/>
      <c r="E4074" s="364"/>
      <c r="F4074"/>
    </row>
    <row r="4075" spans="1:6" x14ac:dyDescent="0.25">
      <c r="A4075" s="364"/>
      <c r="B4075"/>
      <c r="C4075"/>
      <c r="D4075"/>
      <c r="E4075" s="364"/>
      <c r="F4075"/>
    </row>
    <row r="4076" spans="1:6" x14ac:dyDescent="0.25">
      <c r="A4076" s="364"/>
      <c r="B4076"/>
      <c r="C4076"/>
      <c r="D4076"/>
      <c r="E4076" s="364"/>
      <c r="F4076"/>
    </row>
    <row r="4077" spans="1:6" x14ac:dyDescent="0.25">
      <c r="A4077" s="364"/>
      <c r="B4077"/>
      <c r="C4077"/>
      <c r="D4077"/>
      <c r="E4077" s="364"/>
      <c r="F4077"/>
    </row>
    <row r="4078" spans="1:6" x14ac:dyDescent="0.25">
      <c r="A4078" s="364"/>
      <c r="B4078"/>
      <c r="C4078"/>
      <c r="D4078"/>
      <c r="E4078" s="364"/>
      <c r="F4078"/>
    </row>
    <row r="4079" spans="1:6" x14ac:dyDescent="0.25">
      <c r="A4079" s="364"/>
      <c r="B4079"/>
      <c r="C4079"/>
      <c r="D4079"/>
      <c r="E4079" s="364"/>
      <c r="F4079"/>
    </row>
    <row r="4080" spans="1:6" x14ac:dyDescent="0.25">
      <c r="A4080" s="364"/>
      <c r="B4080"/>
      <c r="C4080"/>
      <c r="D4080"/>
      <c r="E4080" s="364"/>
      <c r="F4080"/>
    </row>
    <row r="4081" spans="1:6" x14ac:dyDescent="0.25">
      <c r="A4081" s="364"/>
      <c r="B4081"/>
      <c r="C4081"/>
      <c r="D4081"/>
      <c r="E4081" s="364"/>
      <c r="F4081"/>
    </row>
    <row r="4082" spans="1:6" x14ac:dyDescent="0.25">
      <c r="A4082" s="364"/>
      <c r="B4082"/>
      <c r="C4082"/>
      <c r="D4082"/>
      <c r="E4082" s="364"/>
      <c r="F4082"/>
    </row>
    <row r="4083" spans="1:6" x14ac:dyDescent="0.25">
      <c r="A4083" s="364"/>
      <c r="B4083"/>
      <c r="C4083"/>
      <c r="D4083"/>
      <c r="E4083" s="364"/>
      <c r="F4083"/>
    </row>
    <row r="4084" spans="1:6" x14ac:dyDescent="0.25">
      <c r="A4084" s="364"/>
      <c r="B4084"/>
      <c r="C4084"/>
      <c r="D4084"/>
      <c r="E4084" s="364"/>
      <c r="F4084"/>
    </row>
    <row r="4085" spans="1:6" x14ac:dyDescent="0.25">
      <c r="A4085" s="364"/>
      <c r="B4085"/>
      <c r="C4085"/>
      <c r="D4085"/>
      <c r="E4085" s="364"/>
      <c r="F4085"/>
    </row>
    <row r="4086" spans="1:6" x14ac:dyDescent="0.25">
      <c r="A4086" s="364"/>
      <c r="B4086"/>
      <c r="C4086"/>
      <c r="D4086"/>
      <c r="E4086" s="364"/>
      <c r="F4086"/>
    </row>
    <row r="4087" spans="1:6" x14ac:dyDescent="0.25">
      <c r="A4087" s="364"/>
      <c r="B4087"/>
      <c r="C4087"/>
      <c r="D4087"/>
      <c r="E4087" s="364"/>
      <c r="F4087"/>
    </row>
    <row r="4088" spans="1:6" x14ac:dyDescent="0.25">
      <c r="A4088" s="364"/>
      <c r="B4088"/>
      <c r="C4088"/>
      <c r="D4088"/>
      <c r="E4088" s="364"/>
      <c r="F4088"/>
    </row>
    <row r="4089" spans="1:6" x14ac:dyDescent="0.25">
      <c r="A4089" s="364"/>
      <c r="B4089"/>
      <c r="C4089"/>
      <c r="D4089"/>
      <c r="E4089" s="364"/>
      <c r="F4089"/>
    </row>
    <row r="4090" spans="1:6" x14ac:dyDescent="0.25">
      <c r="A4090" s="364"/>
      <c r="B4090"/>
      <c r="C4090"/>
      <c r="D4090"/>
      <c r="E4090" s="364"/>
      <c r="F4090"/>
    </row>
    <row r="4091" spans="1:6" x14ac:dyDescent="0.25">
      <c r="A4091" s="364"/>
      <c r="B4091"/>
      <c r="C4091"/>
      <c r="D4091"/>
      <c r="E4091" s="364"/>
      <c r="F4091"/>
    </row>
    <row r="4092" spans="1:6" x14ac:dyDescent="0.25">
      <c r="A4092" s="364"/>
      <c r="B4092"/>
      <c r="C4092"/>
      <c r="D4092"/>
      <c r="E4092" s="364"/>
      <c r="F4092"/>
    </row>
    <row r="4093" spans="1:6" x14ac:dyDescent="0.25">
      <c r="A4093" s="364"/>
      <c r="B4093"/>
      <c r="C4093"/>
      <c r="D4093"/>
      <c r="E4093" s="364"/>
      <c r="F4093"/>
    </row>
    <row r="4094" spans="1:6" x14ac:dyDescent="0.25">
      <c r="A4094" s="364"/>
      <c r="B4094"/>
      <c r="C4094"/>
      <c r="D4094"/>
      <c r="E4094" s="364"/>
      <c r="F4094"/>
    </row>
    <row r="4095" spans="1:6" x14ac:dyDescent="0.25">
      <c r="A4095" s="364"/>
      <c r="B4095"/>
      <c r="C4095"/>
      <c r="D4095"/>
      <c r="E4095" s="364"/>
      <c r="F4095"/>
    </row>
    <row r="4096" spans="1:6" x14ac:dyDescent="0.25">
      <c r="A4096" s="364"/>
      <c r="B4096"/>
      <c r="C4096"/>
      <c r="D4096"/>
      <c r="E4096" s="364"/>
      <c r="F4096"/>
    </row>
    <row r="4097" spans="1:6" x14ac:dyDescent="0.25">
      <c r="A4097" s="364"/>
      <c r="B4097"/>
      <c r="C4097"/>
      <c r="D4097"/>
      <c r="E4097" s="364"/>
      <c r="F4097"/>
    </row>
    <row r="4098" spans="1:6" x14ac:dyDescent="0.25">
      <c r="A4098" s="364"/>
      <c r="B4098"/>
      <c r="C4098"/>
      <c r="D4098"/>
      <c r="E4098" s="364"/>
      <c r="F4098"/>
    </row>
    <row r="4099" spans="1:6" x14ac:dyDescent="0.25">
      <c r="A4099" s="364"/>
      <c r="B4099"/>
      <c r="C4099"/>
      <c r="D4099"/>
      <c r="E4099" s="364"/>
      <c r="F4099"/>
    </row>
    <row r="4100" spans="1:6" x14ac:dyDescent="0.25">
      <c r="A4100" s="364"/>
      <c r="B4100"/>
      <c r="C4100"/>
      <c r="D4100"/>
      <c r="E4100" s="364"/>
      <c r="F4100"/>
    </row>
    <row r="4101" spans="1:6" x14ac:dyDescent="0.25">
      <c r="A4101" s="364"/>
      <c r="B4101"/>
      <c r="C4101"/>
      <c r="D4101"/>
      <c r="E4101" s="364"/>
      <c r="F4101"/>
    </row>
    <row r="4102" spans="1:6" x14ac:dyDescent="0.25">
      <c r="A4102" s="364"/>
      <c r="B4102"/>
      <c r="C4102"/>
      <c r="D4102"/>
      <c r="E4102" s="364"/>
      <c r="F4102"/>
    </row>
    <row r="4103" spans="1:6" x14ac:dyDescent="0.25">
      <c r="A4103" s="364"/>
      <c r="B4103"/>
      <c r="C4103"/>
      <c r="D4103"/>
      <c r="E4103" s="364"/>
      <c r="F4103"/>
    </row>
    <row r="4104" spans="1:6" x14ac:dyDescent="0.25">
      <c r="A4104" s="364"/>
      <c r="B4104"/>
      <c r="C4104"/>
      <c r="D4104"/>
      <c r="E4104" s="364"/>
      <c r="F4104"/>
    </row>
    <row r="4105" spans="1:6" x14ac:dyDescent="0.25">
      <c r="A4105" s="364"/>
      <c r="B4105"/>
      <c r="C4105"/>
      <c r="D4105"/>
      <c r="E4105" s="364"/>
      <c r="F4105"/>
    </row>
    <row r="4106" spans="1:6" x14ac:dyDescent="0.25">
      <c r="A4106" s="364"/>
      <c r="B4106"/>
      <c r="C4106"/>
      <c r="D4106"/>
      <c r="E4106" s="364"/>
      <c r="F4106"/>
    </row>
    <row r="4107" spans="1:6" x14ac:dyDescent="0.25">
      <c r="A4107" s="364"/>
      <c r="B4107"/>
      <c r="C4107"/>
      <c r="D4107"/>
      <c r="E4107" s="364"/>
      <c r="F4107"/>
    </row>
    <row r="4108" spans="1:6" x14ac:dyDescent="0.25">
      <c r="A4108" s="364"/>
      <c r="B4108"/>
      <c r="C4108"/>
      <c r="D4108"/>
      <c r="E4108" s="364"/>
      <c r="F4108"/>
    </row>
    <row r="4109" spans="1:6" x14ac:dyDescent="0.25">
      <c r="A4109" s="364"/>
      <c r="B4109"/>
      <c r="C4109"/>
      <c r="D4109"/>
      <c r="E4109" s="364"/>
      <c r="F4109"/>
    </row>
    <row r="4110" spans="1:6" x14ac:dyDescent="0.25">
      <c r="A4110" s="364"/>
      <c r="B4110"/>
      <c r="C4110"/>
      <c r="D4110"/>
      <c r="E4110" s="364"/>
      <c r="F4110"/>
    </row>
    <row r="4111" spans="1:6" x14ac:dyDescent="0.25">
      <c r="A4111" s="364"/>
      <c r="B4111"/>
      <c r="C4111"/>
      <c r="D4111"/>
      <c r="E4111" s="364"/>
      <c r="F4111"/>
    </row>
    <row r="4112" spans="1:6" x14ac:dyDescent="0.25">
      <c r="A4112" s="364"/>
      <c r="B4112"/>
      <c r="C4112"/>
      <c r="D4112"/>
      <c r="E4112" s="364"/>
      <c r="F4112"/>
    </row>
    <row r="4113" spans="1:6" x14ac:dyDescent="0.25">
      <c r="A4113" s="364"/>
      <c r="B4113"/>
      <c r="C4113"/>
      <c r="D4113"/>
      <c r="E4113" s="364"/>
      <c r="F4113"/>
    </row>
    <row r="4114" spans="1:6" x14ac:dyDescent="0.25">
      <c r="A4114" s="364"/>
      <c r="B4114"/>
      <c r="C4114"/>
      <c r="D4114"/>
      <c r="E4114" s="364"/>
      <c r="F4114"/>
    </row>
    <row r="4115" spans="1:6" x14ac:dyDescent="0.25">
      <c r="A4115" s="364"/>
      <c r="B4115"/>
      <c r="C4115"/>
      <c r="D4115"/>
      <c r="E4115" s="364"/>
      <c r="F4115"/>
    </row>
    <row r="4116" spans="1:6" x14ac:dyDescent="0.25">
      <c r="A4116" s="364"/>
      <c r="B4116"/>
      <c r="C4116"/>
      <c r="D4116"/>
      <c r="E4116" s="364"/>
      <c r="F4116"/>
    </row>
    <row r="4117" spans="1:6" x14ac:dyDescent="0.25">
      <c r="A4117" s="364"/>
      <c r="B4117"/>
      <c r="C4117"/>
      <c r="D4117"/>
      <c r="E4117" s="364"/>
      <c r="F4117"/>
    </row>
    <row r="4118" spans="1:6" x14ac:dyDescent="0.25">
      <c r="A4118" s="364"/>
      <c r="B4118"/>
      <c r="C4118"/>
      <c r="D4118"/>
      <c r="E4118" s="364"/>
      <c r="F4118"/>
    </row>
    <row r="4119" spans="1:6" x14ac:dyDescent="0.25">
      <c r="A4119" s="364"/>
      <c r="B4119"/>
      <c r="C4119"/>
      <c r="D4119"/>
      <c r="E4119" s="364"/>
      <c r="F4119"/>
    </row>
    <row r="4120" spans="1:6" x14ac:dyDescent="0.25">
      <c r="A4120" s="364"/>
      <c r="B4120"/>
      <c r="C4120"/>
      <c r="D4120"/>
      <c r="E4120" s="364"/>
      <c r="F4120"/>
    </row>
    <row r="4121" spans="1:6" x14ac:dyDescent="0.25">
      <c r="A4121" s="364"/>
      <c r="B4121"/>
      <c r="C4121"/>
      <c r="D4121"/>
      <c r="E4121" s="364"/>
      <c r="F4121"/>
    </row>
    <row r="4122" spans="1:6" x14ac:dyDescent="0.25">
      <c r="A4122" s="364"/>
      <c r="B4122"/>
      <c r="C4122"/>
      <c r="D4122"/>
      <c r="E4122" s="364"/>
      <c r="F4122"/>
    </row>
    <row r="4123" spans="1:6" x14ac:dyDescent="0.25">
      <c r="A4123" s="364"/>
      <c r="B4123"/>
      <c r="C4123"/>
      <c r="D4123"/>
      <c r="E4123" s="364"/>
      <c r="F4123"/>
    </row>
    <row r="4124" spans="1:6" x14ac:dyDescent="0.25">
      <c r="A4124" s="364"/>
      <c r="B4124"/>
      <c r="C4124"/>
      <c r="D4124"/>
      <c r="E4124" s="364"/>
      <c r="F4124"/>
    </row>
    <row r="4125" spans="1:6" x14ac:dyDescent="0.25">
      <c r="A4125" s="364"/>
      <c r="B4125"/>
      <c r="C4125"/>
      <c r="D4125"/>
      <c r="E4125" s="364"/>
      <c r="F4125"/>
    </row>
    <row r="4126" spans="1:6" x14ac:dyDescent="0.25">
      <c r="A4126" s="364"/>
      <c r="B4126"/>
      <c r="C4126"/>
      <c r="D4126"/>
      <c r="E4126" s="364"/>
      <c r="F4126"/>
    </row>
    <row r="4127" spans="1:6" x14ac:dyDescent="0.25">
      <c r="A4127" s="364"/>
      <c r="B4127"/>
      <c r="C4127"/>
      <c r="D4127"/>
      <c r="E4127" s="364"/>
      <c r="F4127"/>
    </row>
    <row r="4128" spans="1:6" x14ac:dyDescent="0.25">
      <c r="A4128" s="364"/>
      <c r="B4128"/>
      <c r="C4128"/>
      <c r="D4128"/>
      <c r="E4128" s="364"/>
      <c r="F4128"/>
    </row>
    <row r="4129" spans="1:6" x14ac:dyDescent="0.25">
      <c r="A4129" s="364"/>
      <c r="B4129"/>
      <c r="C4129"/>
      <c r="D4129"/>
      <c r="E4129" s="364"/>
      <c r="F4129"/>
    </row>
    <row r="4130" spans="1:6" x14ac:dyDescent="0.25">
      <c r="A4130" s="364"/>
      <c r="B4130"/>
      <c r="C4130"/>
      <c r="D4130"/>
      <c r="E4130" s="364"/>
      <c r="F4130"/>
    </row>
    <row r="4131" spans="1:6" x14ac:dyDescent="0.25">
      <c r="A4131" s="364"/>
      <c r="B4131"/>
      <c r="C4131"/>
      <c r="D4131"/>
      <c r="E4131" s="364"/>
      <c r="F4131"/>
    </row>
    <row r="4132" spans="1:6" x14ac:dyDescent="0.25">
      <c r="A4132" s="364"/>
      <c r="B4132"/>
      <c r="C4132"/>
      <c r="D4132"/>
      <c r="E4132" s="364"/>
      <c r="F4132"/>
    </row>
    <row r="4133" spans="1:6" x14ac:dyDescent="0.25">
      <c r="A4133" s="364"/>
      <c r="B4133"/>
      <c r="C4133"/>
      <c r="D4133"/>
      <c r="E4133" s="364"/>
      <c r="F4133"/>
    </row>
    <row r="4134" spans="1:6" x14ac:dyDescent="0.25">
      <c r="A4134" s="364"/>
      <c r="B4134"/>
      <c r="C4134"/>
      <c r="D4134"/>
      <c r="E4134" s="364"/>
      <c r="F4134"/>
    </row>
    <row r="4135" spans="1:6" x14ac:dyDescent="0.25">
      <c r="A4135" s="364"/>
      <c r="B4135"/>
      <c r="C4135"/>
      <c r="D4135"/>
      <c r="E4135" s="364"/>
      <c r="F4135"/>
    </row>
    <row r="4136" spans="1:6" x14ac:dyDescent="0.25">
      <c r="A4136" s="364"/>
      <c r="B4136"/>
      <c r="C4136"/>
      <c r="D4136"/>
      <c r="E4136" s="364"/>
      <c r="F4136"/>
    </row>
    <row r="4137" spans="1:6" x14ac:dyDescent="0.25">
      <c r="A4137" s="364"/>
      <c r="B4137"/>
      <c r="C4137"/>
      <c r="D4137"/>
      <c r="E4137" s="364"/>
      <c r="F4137"/>
    </row>
    <row r="4138" spans="1:6" x14ac:dyDescent="0.25">
      <c r="A4138" s="364"/>
      <c r="B4138"/>
      <c r="C4138"/>
      <c r="D4138"/>
      <c r="E4138" s="364"/>
      <c r="F4138"/>
    </row>
    <row r="4139" spans="1:6" x14ac:dyDescent="0.25">
      <c r="A4139" s="364"/>
      <c r="B4139"/>
      <c r="C4139"/>
      <c r="D4139"/>
      <c r="E4139" s="364"/>
      <c r="F4139"/>
    </row>
    <row r="4140" spans="1:6" x14ac:dyDescent="0.25">
      <c r="A4140" s="364"/>
      <c r="B4140"/>
      <c r="C4140"/>
      <c r="D4140"/>
      <c r="E4140" s="364"/>
      <c r="F4140"/>
    </row>
    <row r="4141" spans="1:6" x14ac:dyDescent="0.25">
      <c r="A4141" s="364"/>
      <c r="B4141"/>
      <c r="C4141"/>
      <c r="D4141"/>
      <c r="E4141" s="364"/>
      <c r="F4141"/>
    </row>
    <row r="4142" spans="1:6" x14ac:dyDescent="0.25">
      <c r="A4142" s="364"/>
      <c r="B4142"/>
      <c r="C4142"/>
      <c r="D4142"/>
      <c r="E4142" s="364"/>
      <c r="F4142"/>
    </row>
    <row r="4143" spans="1:6" x14ac:dyDescent="0.25">
      <c r="A4143" s="364"/>
      <c r="B4143"/>
      <c r="C4143"/>
      <c r="D4143"/>
      <c r="E4143" s="364"/>
      <c r="F4143"/>
    </row>
    <row r="4144" spans="1:6" x14ac:dyDescent="0.25">
      <c r="A4144" s="364"/>
      <c r="B4144"/>
      <c r="C4144"/>
      <c r="D4144"/>
      <c r="E4144" s="364"/>
      <c r="F4144"/>
    </row>
    <row r="4145" spans="1:6" x14ac:dyDescent="0.25">
      <c r="A4145" s="364"/>
      <c r="B4145"/>
      <c r="C4145"/>
      <c r="D4145"/>
      <c r="E4145" s="364"/>
      <c r="F4145"/>
    </row>
    <row r="4146" spans="1:6" x14ac:dyDescent="0.25">
      <c r="A4146" s="364"/>
      <c r="B4146"/>
      <c r="C4146"/>
      <c r="D4146"/>
      <c r="E4146" s="364"/>
      <c r="F4146"/>
    </row>
    <row r="4147" spans="1:6" x14ac:dyDescent="0.25">
      <c r="A4147" s="364"/>
      <c r="B4147"/>
      <c r="C4147"/>
      <c r="D4147"/>
      <c r="E4147" s="364"/>
      <c r="F4147"/>
    </row>
    <row r="4148" spans="1:6" x14ac:dyDescent="0.25">
      <c r="A4148" s="364"/>
      <c r="B4148"/>
      <c r="C4148"/>
      <c r="D4148"/>
      <c r="E4148" s="364"/>
      <c r="F4148"/>
    </row>
    <row r="4149" spans="1:6" x14ac:dyDescent="0.25">
      <c r="A4149" s="364"/>
      <c r="B4149"/>
      <c r="C4149"/>
      <c r="D4149"/>
      <c r="E4149" s="364"/>
      <c r="F4149"/>
    </row>
    <row r="4150" spans="1:6" x14ac:dyDescent="0.25">
      <c r="A4150" s="364"/>
      <c r="B4150"/>
      <c r="C4150"/>
      <c r="D4150"/>
      <c r="E4150" s="364"/>
      <c r="F4150"/>
    </row>
    <row r="4151" spans="1:6" x14ac:dyDescent="0.25">
      <c r="A4151" s="364"/>
      <c r="B4151"/>
      <c r="C4151"/>
      <c r="D4151"/>
      <c r="E4151" s="364"/>
      <c r="F4151"/>
    </row>
    <row r="4152" spans="1:6" x14ac:dyDescent="0.25">
      <c r="A4152" s="364"/>
      <c r="B4152"/>
      <c r="C4152"/>
      <c r="D4152"/>
      <c r="E4152" s="364"/>
      <c r="F4152"/>
    </row>
    <row r="4153" spans="1:6" x14ac:dyDescent="0.25">
      <c r="A4153" s="364"/>
      <c r="B4153"/>
      <c r="C4153"/>
      <c r="D4153"/>
      <c r="E4153" s="364"/>
      <c r="F4153"/>
    </row>
    <row r="4154" spans="1:6" x14ac:dyDescent="0.25">
      <c r="A4154" s="364"/>
      <c r="B4154"/>
      <c r="C4154"/>
      <c r="D4154"/>
      <c r="E4154" s="364"/>
      <c r="F4154"/>
    </row>
    <row r="4155" spans="1:6" x14ac:dyDescent="0.25">
      <c r="A4155" s="364"/>
      <c r="B4155"/>
      <c r="C4155"/>
      <c r="D4155"/>
      <c r="E4155" s="364"/>
      <c r="F4155"/>
    </row>
    <row r="4156" spans="1:6" x14ac:dyDescent="0.25">
      <c r="A4156" s="364"/>
      <c r="B4156"/>
      <c r="C4156"/>
      <c r="D4156"/>
      <c r="E4156" s="364"/>
      <c r="F4156"/>
    </row>
    <row r="4157" spans="1:6" x14ac:dyDescent="0.25">
      <c r="A4157" s="364"/>
      <c r="B4157"/>
      <c r="C4157"/>
      <c r="D4157"/>
      <c r="E4157" s="364"/>
      <c r="F4157"/>
    </row>
    <row r="4158" spans="1:6" x14ac:dyDescent="0.25">
      <c r="A4158" s="364"/>
      <c r="B4158"/>
      <c r="C4158"/>
      <c r="D4158"/>
      <c r="E4158" s="364"/>
      <c r="F4158"/>
    </row>
    <row r="4159" spans="1:6" x14ac:dyDescent="0.25">
      <c r="A4159" s="364"/>
      <c r="B4159"/>
      <c r="C4159"/>
      <c r="D4159"/>
      <c r="E4159" s="364"/>
      <c r="F4159"/>
    </row>
    <row r="4160" spans="1:6" x14ac:dyDescent="0.25">
      <c r="A4160" s="364"/>
      <c r="B4160"/>
      <c r="C4160"/>
      <c r="D4160"/>
      <c r="E4160" s="364"/>
      <c r="F4160"/>
    </row>
    <row r="4161" spans="1:6" x14ac:dyDescent="0.25">
      <c r="A4161" s="364"/>
      <c r="B4161"/>
      <c r="C4161"/>
      <c r="D4161"/>
      <c r="E4161" s="364"/>
      <c r="F4161"/>
    </row>
    <row r="4162" spans="1:6" x14ac:dyDescent="0.25">
      <c r="A4162" s="364"/>
      <c r="B4162"/>
      <c r="C4162"/>
      <c r="D4162"/>
      <c r="E4162" s="364"/>
      <c r="F4162"/>
    </row>
    <row r="4163" spans="1:6" x14ac:dyDescent="0.25">
      <c r="A4163" s="364"/>
      <c r="B4163"/>
      <c r="C4163"/>
      <c r="D4163"/>
      <c r="E4163" s="364"/>
      <c r="F4163"/>
    </row>
    <row r="4164" spans="1:6" x14ac:dyDescent="0.25">
      <c r="A4164" s="364"/>
      <c r="B4164"/>
      <c r="C4164"/>
      <c r="D4164"/>
      <c r="E4164" s="364"/>
      <c r="F4164"/>
    </row>
    <row r="4165" spans="1:6" x14ac:dyDescent="0.25">
      <c r="A4165" s="364"/>
      <c r="B4165"/>
      <c r="C4165"/>
      <c r="D4165"/>
      <c r="E4165" s="364"/>
      <c r="F4165"/>
    </row>
    <row r="4166" spans="1:6" x14ac:dyDescent="0.25">
      <c r="A4166" s="364"/>
      <c r="B4166"/>
      <c r="C4166"/>
      <c r="D4166"/>
      <c r="E4166" s="364"/>
      <c r="F4166"/>
    </row>
    <row r="4167" spans="1:6" x14ac:dyDescent="0.25">
      <c r="A4167" s="364"/>
      <c r="B4167"/>
      <c r="C4167"/>
      <c r="D4167"/>
      <c r="E4167" s="364"/>
      <c r="F4167"/>
    </row>
    <row r="4168" spans="1:6" x14ac:dyDescent="0.25">
      <c r="A4168" s="364"/>
      <c r="B4168"/>
      <c r="C4168"/>
      <c r="D4168"/>
      <c r="E4168" s="364"/>
      <c r="F4168"/>
    </row>
    <row r="4169" spans="1:6" x14ac:dyDescent="0.25">
      <c r="A4169" s="364"/>
      <c r="B4169"/>
      <c r="C4169"/>
      <c r="D4169"/>
      <c r="E4169" s="364"/>
      <c r="F4169"/>
    </row>
    <row r="4170" spans="1:6" x14ac:dyDescent="0.25">
      <c r="A4170" s="364"/>
      <c r="B4170"/>
      <c r="C4170"/>
      <c r="D4170"/>
      <c r="E4170" s="364"/>
      <c r="F4170"/>
    </row>
    <row r="4171" spans="1:6" x14ac:dyDescent="0.25">
      <c r="A4171" s="364"/>
      <c r="B4171"/>
      <c r="C4171"/>
      <c r="D4171"/>
      <c r="E4171" s="364"/>
      <c r="F4171"/>
    </row>
    <row r="4172" spans="1:6" x14ac:dyDescent="0.25">
      <c r="A4172" s="364"/>
      <c r="B4172"/>
      <c r="C4172"/>
      <c r="D4172"/>
      <c r="E4172" s="364"/>
      <c r="F4172"/>
    </row>
    <row r="4173" spans="1:6" x14ac:dyDescent="0.25">
      <c r="A4173" s="364"/>
      <c r="B4173"/>
      <c r="C4173"/>
      <c r="D4173"/>
      <c r="E4173" s="364"/>
      <c r="F4173"/>
    </row>
    <row r="4174" spans="1:6" x14ac:dyDescent="0.25">
      <c r="A4174" s="364"/>
      <c r="B4174"/>
      <c r="C4174"/>
      <c r="D4174"/>
      <c r="E4174" s="364"/>
      <c r="F4174"/>
    </row>
    <row r="4175" spans="1:6" x14ac:dyDescent="0.25">
      <c r="A4175" s="364"/>
      <c r="B4175"/>
      <c r="C4175"/>
      <c r="D4175"/>
      <c r="E4175" s="364"/>
      <c r="F4175"/>
    </row>
    <row r="4176" spans="1:6" x14ac:dyDescent="0.25">
      <c r="A4176" s="364"/>
      <c r="B4176"/>
      <c r="C4176"/>
      <c r="D4176"/>
      <c r="E4176" s="364"/>
      <c r="F4176"/>
    </row>
    <row r="4177" spans="1:6" x14ac:dyDescent="0.25">
      <c r="A4177" s="364"/>
      <c r="B4177"/>
      <c r="C4177"/>
      <c r="D4177"/>
      <c r="E4177" s="364"/>
      <c r="F4177"/>
    </row>
    <row r="4178" spans="1:6" x14ac:dyDescent="0.25">
      <c r="A4178" s="364"/>
      <c r="B4178"/>
      <c r="C4178"/>
      <c r="D4178"/>
      <c r="E4178" s="364"/>
      <c r="F4178"/>
    </row>
    <row r="4179" spans="1:6" x14ac:dyDescent="0.25">
      <c r="A4179" s="364"/>
      <c r="B4179"/>
      <c r="C4179"/>
      <c r="D4179"/>
      <c r="E4179" s="364"/>
      <c r="F4179"/>
    </row>
    <row r="4180" spans="1:6" x14ac:dyDescent="0.25">
      <c r="A4180" s="364"/>
      <c r="B4180"/>
      <c r="C4180"/>
      <c r="D4180"/>
      <c r="E4180" s="364"/>
      <c r="F4180"/>
    </row>
    <row r="4181" spans="1:6" x14ac:dyDescent="0.25">
      <c r="A4181" s="364"/>
      <c r="B4181"/>
      <c r="C4181"/>
      <c r="D4181"/>
      <c r="E4181" s="364"/>
      <c r="F4181"/>
    </row>
    <row r="4182" spans="1:6" x14ac:dyDescent="0.25">
      <c r="A4182" s="364"/>
      <c r="B4182"/>
      <c r="C4182"/>
      <c r="D4182"/>
      <c r="E4182" s="364"/>
      <c r="F4182"/>
    </row>
    <row r="4183" spans="1:6" x14ac:dyDescent="0.25">
      <c r="A4183" s="364"/>
      <c r="B4183"/>
      <c r="C4183"/>
      <c r="D4183"/>
      <c r="E4183" s="364"/>
      <c r="F4183"/>
    </row>
    <row r="4184" spans="1:6" x14ac:dyDescent="0.25">
      <c r="A4184" s="364"/>
      <c r="B4184"/>
      <c r="C4184"/>
      <c r="D4184"/>
      <c r="E4184" s="364"/>
      <c r="F4184"/>
    </row>
    <row r="4185" spans="1:6" x14ac:dyDescent="0.25">
      <c r="A4185" s="364"/>
      <c r="B4185"/>
      <c r="C4185"/>
      <c r="D4185"/>
      <c r="E4185" s="364"/>
      <c r="F4185"/>
    </row>
    <row r="4186" spans="1:6" x14ac:dyDescent="0.25">
      <c r="A4186" s="364"/>
      <c r="B4186"/>
      <c r="C4186"/>
      <c r="D4186"/>
      <c r="E4186" s="364"/>
      <c r="F4186"/>
    </row>
    <row r="4187" spans="1:6" x14ac:dyDescent="0.25">
      <c r="A4187" s="364"/>
      <c r="B4187"/>
      <c r="C4187"/>
      <c r="D4187"/>
      <c r="E4187" s="364"/>
      <c r="F4187"/>
    </row>
    <row r="4188" spans="1:6" x14ac:dyDescent="0.25">
      <c r="A4188" s="364"/>
      <c r="B4188"/>
      <c r="C4188"/>
      <c r="D4188"/>
      <c r="E4188" s="364"/>
      <c r="F4188"/>
    </row>
    <row r="4189" spans="1:6" x14ac:dyDescent="0.25">
      <c r="A4189" s="364"/>
      <c r="B4189"/>
      <c r="C4189"/>
      <c r="D4189"/>
      <c r="E4189" s="364"/>
      <c r="F4189"/>
    </row>
    <row r="4190" spans="1:6" x14ac:dyDescent="0.25">
      <c r="A4190" s="364"/>
      <c r="B4190"/>
      <c r="C4190"/>
      <c r="D4190"/>
      <c r="E4190" s="364"/>
      <c r="F4190"/>
    </row>
    <row r="4191" spans="1:6" x14ac:dyDescent="0.25">
      <c r="A4191" s="364"/>
      <c r="B4191"/>
      <c r="C4191"/>
      <c r="D4191"/>
      <c r="E4191" s="364"/>
      <c r="F4191"/>
    </row>
    <row r="4192" spans="1:6" x14ac:dyDescent="0.25">
      <c r="A4192" s="364"/>
      <c r="B4192"/>
      <c r="C4192"/>
      <c r="D4192"/>
      <c r="E4192" s="364"/>
      <c r="F4192"/>
    </row>
    <row r="4193" spans="1:6" x14ac:dyDescent="0.25">
      <c r="A4193" s="364"/>
      <c r="B4193"/>
      <c r="C4193"/>
      <c r="D4193"/>
      <c r="E4193" s="364"/>
      <c r="F4193"/>
    </row>
    <row r="4194" spans="1:6" x14ac:dyDescent="0.25">
      <c r="A4194" s="364"/>
      <c r="B4194"/>
      <c r="C4194"/>
      <c r="D4194"/>
      <c r="E4194" s="364"/>
      <c r="F4194"/>
    </row>
    <row r="4195" spans="1:6" x14ac:dyDescent="0.25">
      <c r="A4195" s="364"/>
      <c r="B4195"/>
      <c r="C4195"/>
      <c r="D4195"/>
      <c r="E4195" s="364"/>
      <c r="F4195"/>
    </row>
    <row r="4196" spans="1:6" x14ac:dyDescent="0.25">
      <c r="A4196" s="364"/>
      <c r="B4196"/>
      <c r="C4196"/>
      <c r="D4196"/>
      <c r="E4196" s="364"/>
      <c r="F4196"/>
    </row>
    <row r="4197" spans="1:6" x14ac:dyDescent="0.25">
      <c r="A4197" s="364"/>
      <c r="B4197"/>
      <c r="C4197"/>
      <c r="D4197"/>
      <c r="E4197" s="364"/>
      <c r="F4197"/>
    </row>
    <row r="4198" spans="1:6" x14ac:dyDescent="0.25">
      <c r="A4198" s="364"/>
      <c r="B4198"/>
      <c r="C4198"/>
      <c r="D4198"/>
      <c r="E4198" s="364"/>
      <c r="F4198"/>
    </row>
    <row r="4199" spans="1:6" x14ac:dyDescent="0.25">
      <c r="A4199" s="364"/>
      <c r="B4199"/>
      <c r="C4199"/>
      <c r="D4199"/>
      <c r="E4199" s="364"/>
      <c r="F4199"/>
    </row>
    <row r="4200" spans="1:6" x14ac:dyDescent="0.25">
      <c r="A4200" s="364"/>
      <c r="B4200"/>
      <c r="C4200"/>
      <c r="D4200"/>
      <c r="E4200" s="364"/>
      <c r="F4200"/>
    </row>
    <row r="4201" spans="1:6" x14ac:dyDescent="0.25">
      <c r="A4201" s="364"/>
      <c r="B4201"/>
      <c r="C4201"/>
      <c r="D4201"/>
      <c r="E4201" s="364"/>
      <c r="F4201"/>
    </row>
    <row r="4202" spans="1:6" x14ac:dyDescent="0.25">
      <c r="A4202" s="364"/>
      <c r="B4202"/>
      <c r="C4202"/>
      <c r="D4202"/>
      <c r="E4202" s="364"/>
      <c r="F4202"/>
    </row>
    <row r="4203" spans="1:6" x14ac:dyDescent="0.25">
      <c r="A4203" s="364"/>
      <c r="B4203"/>
      <c r="C4203"/>
      <c r="D4203"/>
      <c r="E4203" s="364"/>
      <c r="F4203"/>
    </row>
    <row r="4204" spans="1:6" x14ac:dyDescent="0.25">
      <c r="A4204" s="364"/>
      <c r="B4204"/>
      <c r="C4204"/>
      <c r="D4204"/>
      <c r="E4204" s="364"/>
      <c r="F4204"/>
    </row>
    <row r="4205" spans="1:6" x14ac:dyDescent="0.25">
      <c r="A4205" s="364"/>
      <c r="B4205"/>
      <c r="C4205"/>
      <c r="D4205"/>
      <c r="E4205" s="364"/>
      <c r="F4205"/>
    </row>
    <row r="4206" spans="1:6" x14ac:dyDescent="0.25">
      <c r="A4206" s="364"/>
      <c r="B4206"/>
      <c r="C4206"/>
      <c r="D4206"/>
      <c r="E4206" s="364"/>
      <c r="F4206"/>
    </row>
    <row r="4207" spans="1:6" x14ac:dyDescent="0.25">
      <c r="A4207" s="364"/>
      <c r="B4207"/>
      <c r="C4207"/>
      <c r="D4207"/>
      <c r="E4207" s="364"/>
      <c r="F4207"/>
    </row>
    <row r="4208" spans="1:6" x14ac:dyDescent="0.25">
      <c r="A4208" s="364"/>
      <c r="B4208"/>
      <c r="C4208"/>
      <c r="D4208"/>
      <c r="E4208" s="364"/>
      <c r="F4208"/>
    </row>
    <row r="4209" spans="1:6" x14ac:dyDescent="0.25">
      <c r="A4209" s="364"/>
      <c r="B4209"/>
      <c r="C4209"/>
      <c r="D4209"/>
      <c r="E4209" s="364"/>
      <c r="F4209"/>
    </row>
    <row r="4210" spans="1:6" x14ac:dyDescent="0.25">
      <c r="A4210" s="364"/>
      <c r="B4210"/>
      <c r="C4210"/>
      <c r="D4210"/>
      <c r="E4210" s="364"/>
      <c r="F4210"/>
    </row>
    <row r="4211" spans="1:6" x14ac:dyDescent="0.25">
      <c r="A4211" s="364"/>
      <c r="B4211"/>
      <c r="C4211"/>
      <c r="D4211"/>
      <c r="E4211" s="364"/>
      <c r="F4211"/>
    </row>
    <row r="4212" spans="1:6" x14ac:dyDescent="0.25">
      <c r="A4212" s="364"/>
      <c r="B4212"/>
      <c r="C4212"/>
      <c r="D4212"/>
      <c r="E4212" s="364"/>
      <c r="F4212"/>
    </row>
    <row r="4213" spans="1:6" x14ac:dyDescent="0.25">
      <c r="A4213" s="364"/>
      <c r="B4213"/>
      <c r="C4213"/>
      <c r="D4213"/>
      <c r="E4213" s="364"/>
      <c r="F4213"/>
    </row>
    <row r="4214" spans="1:6" x14ac:dyDescent="0.25">
      <c r="A4214" s="364"/>
      <c r="B4214"/>
      <c r="C4214"/>
      <c r="D4214"/>
      <c r="E4214" s="364"/>
      <c r="F4214"/>
    </row>
    <row r="4215" spans="1:6" x14ac:dyDescent="0.25">
      <c r="A4215" s="364"/>
      <c r="B4215"/>
      <c r="C4215"/>
      <c r="D4215"/>
      <c r="E4215" s="364"/>
      <c r="F4215"/>
    </row>
    <row r="4216" spans="1:6" x14ac:dyDescent="0.25">
      <c r="A4216" s="364"/>
      <c r="B4216"/>
      <c r="C4216"/>
      <c r="D4216"/>
      <c r="E4216" s="364"/>
      <c r="F4216"/>
    </row>
    <row r="4217" spans="1:6" x14ac:dyDescent="0.25">
      <c r="A4217" s="364"/>
      <c r="B4217"/>
      <c r="C4217"/>
      <c r="D4217"/>
      <c r="E4217" s="364"/>
      <c r="F4217"/>
    </row>
    <row r="4218" spans="1:6" x14ac:dyDescent="0.25">
      <c r="A4218" s="364"/>
      <c r="B4218"/>
      <c r="C4218"/>
      <c r="D4218"/>
      <c r="E4218" s="364"/>
      <c r="F4218"/>
    </row>
    <row r="4219" spans="1:6" x14ac:dyDescent="0.25">
      <c r="A4219" s="364"/>
      <c r="B4219"/>
      <c r="C4219"/>
      <c r="D4219"/>
      <c r="E4219" s="364"/>
      <c r="F4219"/>
    </row>
    <row r="4220" spans="1:6" x14ac:dyDescent="0.25">
      <c r="A4220" s="364"/>
      <c r="B4220"/>
      <c r="C4220"/>
      <c r="D4220"/>
      <c r="E4220" s="364"/>
      <c r="F4220"/>
    </row>
    <row r="4221" spans="1:6" x14ac:dyDescent="0.25">
      <c r="A4221" s="364"/>
      <c r="B4221"/>
      <c r="C4221"/>
      <c r="D4221"/>
      <c r="E4221" s="364"/>
      <c r="F4221"/>
    </row>
    <row r="4222" spans="1:6" x14ac:dyDescent="0.25">
      <c r="A4222" s="364"/>
      <c r="B4222"/>
      <c r="C4222"/>
      <c r="D4222"/>
      <c r="E4222" s="364"/>
      <c r="F4222"/>
    </row>
    <row r="4223" spans="1:6" x14ac:dyDescent="0.25">
      <c r="A4223" s="364"/>
      <c r="B4223"/>
      <c r="C4223"/>
      <c r="D4223"/>
      <c r="E4223" s="364"/>
      <c r="F4223"/>
    </row>
    <row r="4224" spans="1:6" x14ac:dyDescent="0.25">
      <c r="A4224" s="364"/>
      <c r="B4224"/>
      <c r="C4224"/>
      <c r="D4224"/>
      <c r="E4224" s="364"/>
      <c r="F4224"/>
    </row>
    <row r="4225" spans="1:6" x14ac:dyDescent="0.25">
      <c r="A4225" s="364"/>
      <c r="B4225"/>
      <c r="C4225"/>
      <c r="D4225"/>
      <c r="E4225" s="364"/>
      <c r="F4225"/>
    </row>
    <row r="4226" spans="1:6" x14ac:dyDescent="0.25">
      <c r="A4226" s="364"/>
      <c r="B4226"/>
      <c r="C4226"/>
      <c r="D4226"/>
      <c r="E4226" s="364"/>
      <c r="F4226"/>
    </row>
    <row r="4227" spans="1:6" x14ac:dyDescent="0.25">
      <c r="A4227" s="364"/>
      <c r="B4227"/>
      <c r="C4227"/>
      <c r="D4227"/>
      <c r="E4227" s="364"/>
      <c r="F4227"/>
    </row>
    <row r="4228" spans="1:6" x14ac:dyDescent="0.25">
      <c r="A4228" s="364"/>
      <c r="B4228"/>
      <c r="C4228"/>
      <c r="D4228"/>
      <c r="E4228" s="364"/>
      <c r="F4228"/>
    </row>
    <row r="4229" spans="1:6" x14ac:dyDescent="0.25">
      <c r="A4229" s="364"/>
      <c r="B4229"/>
      <c r="C4229"/>
      <c r="D4229"/>
      <c r="E4229" s="364"/>
      <c r="F4229"/>
    </row>
    <row r="4230" spans="1:6" x14ac:dyDescent="0.25">
      <c r="A4230" s="364"/>
      <c r="B4230"/>
      <c r="C4230"/>
      <c r="D4230"/>
      <c r="E4230" s="364"/>
      <c r="F4230"/>
    </row>
    <row r="4231" spans="1:6" x14ac:dyDescent="0.25">
      <c r="A4231" s="364"/>
      <c r="B4231"/>
      <c r="C4231"/>
      <c r="D4231"/>
      <c r="E4231" s="364"/>
      <c r="F4231"/>
    </row>
    <row r="4232" spans="1:6" x14ac:dyDescent="0.25">
      <c r="A4232" s="364"/>
      <c r="B4232"/>
      <c r="C4232"/>
      <c r="D4232"/>
      <c r="E4232" s="364"/>
      <c r="F4232"/>
    </row>
    <row r="4233" spans="1:6" x14ac:dyDescent="0.25">
      <c r="A4233" s="364"/>
      <c r="B4233"/>
      <c r="C4233"/>
      <c r="D4233"/>
      <c r="E4233" s="364"/>
      <c r="F4233"/>
    </row>
    <row r="4234" spans="1:6" x14ac:dyDescent="0.25">
      <c r="A4234" s="364"/>
      <c r="B4234"/>
      <c r="C4234"/>
      <c r="D4234"/>
      <c r="E4234" s="364"/>
      <c r="F4234"/>
    </row>
    <row r="4235" spans="1:6" x14ac:dyDescent="0.25">
      <c r="A4235" s="364"/>
      <c r="B4235"/>
      <c r="C4235"/>
      <c r="D4235"/>
      <c r="E4235" s="364"/>
      <c r="F4235"/>
    </row>
    <row r="4236" spans="1:6" x14ac:dyDescent="0.25">
      <c r="A4236" s="364"/>
      <c r="B4236"/>
      <c r="C4236"/>
      <c r="D4236"/>
      <c r="E4236" s="364"/>
      <c r="F4236"/>
    </row>
    <row r="4237" spans="1:6" x14ac:dyDescent="0.25">
      <c r="A4237" s="364"/>
      <c r="B4237"/>
      <c r="C4237"/>
      <c r="D4237"/>
      <c r="E4237" s="364"/>
      <c r="F4237"/>
    </row>
    <row r="4238" spans="1:6" x14ac:dyDescent="0.25">
      <c r="A4238" s="364"/>
      <c r="B4238"/>
      <c r="C4238"/>
      <c r="D4238"/>
      <c r="E4238" s="364"/>
      <c r="F4238"/>
    </row>
    <row r="4239" spans="1:6" x14ac:dyDescent="0.25">
      <c r="A4239" s="364"/>
      <c r="B4239"/>
      <c r="C4239"/>
      <c r="D4239"/>
      <c r="E4239" s="364"/>
      <c r="F4239"/>
    </row>
    <row r="4240" spans="1:6" x14ac:dyDescent="0.25">
      <c r="A4240" s="364"/>
      <c r="B4240"/>
      <c r="C4240"/>
      <c r="D4240"/>
      <c r="E4240" s="364"/>
      <c r="F4240"/>
    </row>
    <row r="4241" spans="1:6" x14ac:dyDescent="0.25">
      <c r="A4241" s="364"/>
      <c r="B4241"/>
      <c r="C4241"/>
      <c r="D4241"/>
      <c r="E4241" s="364"/>
      <c r="F4241"/>
    </row>
    <row r="4242" spans="1:6" x14ac:dyDescent="0.25">
      <c r="A4242" s="364"/>
      <c r="B4242"/>
      <c r="C4242"/>
      <c r="D4242"/>
      <c r="E4242" s="364"/>
      <c r="F4242"/>
    </row>
    <row r="4243" spans="1:6" x14ac:dyDescent="0.25">
      <c r="A4243" s="364"/>
      <c r="B4243"/>
      <c r="C4243"/>
      <c r="D4243"/>
      <c r="E4243" s="364"/>
      <c r="F4243"/>
    </row>
    <row r="4244" spans="1:6" x14ac:dyDescent="0.25">
      <c r="A4244" s="364"/>
      <c r="B4244"/>
      <c r="C4244"/>
      <c r="D4244"/>
      <c r="E4244" s="364"/>
      <c r="F4244"/>
    </row>
    <row r="4245" spans="1:6" x14ac:dyDescent="0.25">
      <c r="A4245" s="364"/>
      <c r="B4245"/>
      <c r="C4245"/>
      <c r="D4245"/>
      <c r="E4245" s="364"/>
      <c r="F4245"/>
    </row>
    <row r="4246" spans="1:6" x14ac:dyDescent="0.25">
      <c r="A4246" s="364"/>
      <c r="B4246"/>
      <c r="C4246"/>
      <c r="D4246"/>
      <c r="E4246" s="364"/>
      <c r="F4246"/>
    </row>
    <row r="4247" spans="1:6" x14ac:dyDescent="0.25">
      <c r="A4247" s="364"/>
      <c r="B4247"/>
      <c r="C4247"/>
      <c r="D4247"/>
      <c r="E4247" s="364"/>
      <c r="F4247"/>
    </row>
    <row r="4248" spans="1:6" x14ac:dyDescent="0.25">
      <c r="A4248" s="364"/>
      <c r="B4248"/>
      <c r="C4248"/>
      <c r="D4248"/>
      <c r="E4248" s="364"/>
      <c r="F4248"/>
    </row>
    <row r="4249" spans="1:6" x14ac:dyDescent="0.25">
      <c r="A4249" s="364"/>
      <c r="B4249"/>
      <c r="C4249"/>
      <c r="D4249"/>
      <c r="E4249" s="364"/>
      <c r="F4249"/>
    </row>
    <row r="4250" spans="1:6" x14ac:dyDescent="0.25">
      <c r="A4250" s="364"/>
      <c r="B4250"/>
      <c r="C4250"/>
      <c r="D4250"/>
      <c r="E4250" s="364"/>
      <c r="F4250"/>
    </row>
    <row r="4251" spans="1:6" x14ac:dyDescent="0.25">
      <c r="A4251" s="364"/>
      <c r="B4251"/>
      <c r="C4251"/>
      <c r="D4251"/>
      <c r="E4251" s="364"/>
      <c r="F4251"/>
    </row>
    <row r="4252" spans="1:6" x14ac:dyDescent="0.25">
      <c r="A4252" s="364"/>
      <c r="B4252"/>
      <c r="C4252"/>
      <c r="D4252"/>
      <c r="E4252" s="364"/>
      <c r="F4252"/>
    </row>
    <row r="4253" spans="1:6" x14ac:dyDescent="0.25">
      <c r="A4253" s="364"/>
      <c r="B4253"/>
      <c r="C4253"/>
      <c r="D4253"/>
      <c r="E4253" s="364"/>
      <c r="F4253"/>
    </row>
    <row r="4254" spans="1:6" x14ac:dyDescent="0.25">
      <c r="A4254" s="364"/>
      <c r="B4254"/>
      <c r="C4254"/>
      <c r="D4254"/>
      <c r="E4254" s="364"/>
      <c r="F4254"/>
    </row>
    <row r="4255" spans="1:6" x14ac:dyDescent="0.25">
      <c r="A4255" s="364"/>
      <c r="B4255"/>
      <c r="C4255"/>
      <c r="D4255"/>
      <c r="E4255" s="364"/>
      <c r="F4255"/>
    </row>
    <row r="4256" spans="1:6" x14ac:dyDescent="0.25">
      <c r="A4256" s="364"/>
      <c r="B4256"/>
      <c r="C4256"/>
      <c r="D4256"/>
      <c r="E4256" s="364"/>
      <c r="F4256"/>
    </row>
    <row r="4257" spans="1:6" x14ac:dyDescent="0.25">
      <c r="A4257" s="364"/>
      <c r="B4257"/>
      <c r="C4257"/>
      <c r="D4257"/>
      <c r="E4257" s="364"/>
      <c r="F4257"/>
    </row>
    <row r="4258" spans="1:6" x14ac:dyDescent="0.25">
      <c r="A4258" s="364"/>
      <c r="B4258"/>
      <c r="C4258"/>
      <c r="D4258"/>
      <c r="E4258" s="364"/>
      <c r="F4258"/>
    </row>
    <row r="4259" spans="1:6" x14ac:dyDescent="0.25">
      <c r="A4259" s="364"/>
      <c r="B4259"/>
      <c r="C4259"/>
      <c r="D4259"/>
      <c r="E4259" s="364"/>
      <c r="F4259"/>
    </row>
    <row r="4260" spans="1:6" x14ac:dyDescent="0.25">
      <c r="A4260" s="364"/>
      <c r="B4260"/>
      <c r="C4260"/>
      <c r="D4260"/>
      <c r="E4260" s="364"/>
      <c r="F4260"/>
    </row>
    <row r="4261" spans="1:6" x14ac:dyDescent="0.25">
      <c r="A4261" s="364"/>
      <c r="B4261"/>
      <c r="C4261"/>
      <c r="D4261"/>
      <c r="E4261" s="364"/>
      <c r="F4261"/>
    </row>
    <row r="4262" spans="1:6" x14ac:dyDescent="0.25">
      <c r="A4262" s="364"/>
      <c r="B4262"/>
      <c r="C4262"/>
      <c r="D4262"/>
      <c r="E4262" s="364"/>
      <c r="F4262"/>
    </row>
    <row r="4263" spans="1:6" x14ac:dyDescent="0.25">
      <c r="A4263" s="364"/>
      <c r="B4263"/>
      <c r="C4263"/>
      <c r="D4263"/>
      <c r="E4263" s="364"/>
      <c r="F4263"/>
    </row>
    <row r="4264" spans="1:6" x14ac:dyDescent="0.25">
      <c r="A4264" s="364"/>
      <c r="B4264"/>
      <c r="C4264"/>
      <c r="D4264"/>
      <c r="E4264" s="364"/>
      <c r="F4264"/>
    </row>
    <row r="4265" spans="1:6" x14ac:dyDescent="0.25">
      <c r="A4265" s="364"/>
      <c r="B4265"/>
      <c r="C4265"/>
      <c r="D4265"/>
      <c r="E4265" s="364"/>
      <c r="F4265"/>
    </row>
    <row r="4266" spans="1:6" x14ac:dyDescent="0.25">
      <c r="A4266" s="364"/>
      <c r="B4266"/>
      <c r="C4266"/>
      <c r="D4266"/>
      <c r="E4266" s="364"/>
      <c r="F4266"/>
    </row>
    <row r="4267" spans="1:6" x14ac:dyDescent="0.25">
      <c r="A4267" s="364"/>
      <c r="B4267"/>
      <c r="C4267"/>
      <c r="D4267"/>
      <c r="E4267" s="364"/>
      <c r="F4267"/>
    </row>
    <row r="4268" spans="1:6" x14ac:dyDescent="0.25">
      <c r="A4268" s="364"/>
      <c r="B4268"/>
      <c r="C4268"/>
      <c r="D4268"/>
      <c r="E4268" s="364"/>
      <c r="F4268"/>
    </row>
    <row r="4269" spans="1:6" x14ac:dyDescent="0.25">
      <c r="A4269" s="364"/>
      <c r="B4269"/>
      <c r="C4269"/>
      <c r="D4269"/>
      <c r="E4269" s="364"/>
      <c r="F4269"/>
    </row>
    <row r="4270" spans="1:6" x14ac:dyDescent="0.25">
      <c r="A4270" s="364"/>
      <c r="B4270"/>
      <c r="C4270"/>
      <c r="D4270"/>
      <c r="E4270" s="364"/>
      <c r="F4270"/>
    </row>
    <row r="4271" spans="1:6" x14ac:dyDescent="0.25">
      <c r="A4271" s="364"/>
      <c r="B4271"/>
      <c r="C4271"/>
      <c r="D4271"/>
      <c r="E4271" s="364"/>
      <c r="F4271"/>
    </row>
    <row r="4272" spans="1:6" x14ac:dyDescent="0.25">
      <c r="A4272" s="364"/>
      <c r="B4272"/>
      <c r="C4272"/>
      <c r="D4272"/>
      <c r="E4272" s="364"/>
      <c r="F4272"/>
    </row>
    <row r="4273" spans="1:6" x14ac:dyDescent="0.25">
      <c r="A4273" s="364"/>
      <c r="B4273"/>
      <c r="C4273"/>
      <c r="D4273"/>
      <c r="E4273" s="364"/>
      <c r="F4273"/>
    </row>
    <row r="4274" spans="1:6" x14ac:dyDescent="0.25">
      <c r="A4274" s="364"/>
      <c r="B4274"/>
      <c r="C4274"/>
      <c r="D4274"/>
      <c r="E4274" s="364"/>
      <c r="F4274"/>
    </row>
    <row r="4275" spans="1:6" x14ac:dyDescent="0.25">
      <c r="A4275" s="364"/>
      <c r="B4275"/>
      <c r="C4275"/>
      <c r="D4275"/>
      <c r="E4275" s="364"/>
      <c r="F4275"/>
    </row>
    <row r="4276" spans="1:6" x14ac:dyDescent="0.25">
      <c r="A4276" s="364"/>
      <c r="B4276"/>
      <c r="C4276"/>
      <c r="D4276"/>
      <c r="E4276" s="364"/>
      <c r="F4276"/>
    </row>
    <row r="4277" spans="1:6" x14ac:dyDescent="0.25">
      <c r="A4277" s="364"/>
      <c r="B4277"/>
      <c r="C4277"/>
      <c r="D4277"/>
      <c r="E4277" s="364"/>
      <c r="F4277"/>
    </row>
    <row r="4278" spans="1:6" x14ac:dyDescent="0.25">
      <c r="A4278" s="364"/>
      <c r="B4278"/>
      <c r="C4278"/>
      <c r="D4278"/>
      <c r="E4278" s="364"/>
      <c r="F4278"/>
    </row>
    <row r="4279" spans="1:6" x14ac:dyDescent="0.25">
      <c r="A4279" s="364"/>
      <c r="B4279"/>
      <c r="C4279"/>
      <c r="D4279"/>
      <c r="E4279" s="364"/>
      <c r="F4279"/>
    </row>
    <row r="4280" spans="1:6" x14ac:dyDescent="0.25">
      <c r="A4280" s="364"/>
      <c r="B4280"/>
      <c r="C4280"/>
      <c r="D4280"/>
      <c r="E4280" s="364"/>
      <c r="F4280"/>
    </row>
    <row r="4281" spans="1:6" x14ac:dyDescent="0.25">
      <c r="A4281" s="364"/>
      <c r="B4281"/>
      <c r="C4281"/>
      <c r="D4281"/>
      <c r="E4281" s="364"/>
      <c r="F4281"/>
    </row>
    <row r="4282" spans="1:6" x14ac:dyDescent="0.25">
      <c r="A4282" s="364"/>
      <c r="B4282"/>
      <c r="C4282"/>
      <c r="D4282"/>
      <c r="E4282" s="364"/>
      <c r="F4282"/>
    </row>
    <row r="4283" spans="1:6" x14ac:dyDescent="0.25">
      <c r="A4283" s="364"/>
      <c r="B4283"/>
      <c r="C4283"/>
      <c r="D4283"/>
      <c r="E4283" s="364"/>
      <c r="F4283"/>
    </row>
    <row r="4284" spans="1:6" x14ac:dyDescent="0.25">
      <c r="A4284" s="364"/>
      <c r="B4284"/>
      <c r="C4284"/>
      <c r="D4284"/>
      <c r="E4284" s="364"/>
      <c r="F4284"/>
    </row>
    <row r="4285" spans="1:6" x14ac:dyDescent="0.25">
      <c r="A4285" s="364"/>
      <c r="B4285"/>
      <c r="C4285"/>
      <c r="D4285"/>
      <c r="E4285" s="364"/>
      <c r="F4285"/>
    </row>
    <row r="4286" spans="1:6" x14ac:dyDescent="0.25">
      <c r="A4286" s="364"/>
      <c r="B4286"/>
      <c r="C4286"/>
      <c r="D4286"/>
      <c r="E4286" s="364"/>
      <c r="F4286"/>
    </row>
    <row r="4287" spans="1:6" x14ac:dyDescent="0.25">
      <c r="A4287" s="364"/>
      <c r="B4287"/>
      <c r="C4287"/>
      <c r="D4287"/>
      <c r="E4287" s="364"/>
      <c r="F4287"/>
    </row>
    <row r="4288" spans="1:6" x14ac:dyDescent="0.25">
      <c r="A4288" s="364"/>
      <c r="B4288"/>
      <c r="C4288"/>
      <c r="D4288"/>
      <c r="E4288" s="364"/>
      <c r="F4288"/>
    </row>
    <row r="4289" spans="1:6" x14ac:dyDescent="0.25">
      <c r="A4289" s="364"/>
      <c r="B4289"/>
      <c r="C4289"/>
      <c r="D4289"/>
      <c r="E4289" s="364"/>
      <c r="F4289"/>
    </row>
    <row r="4290" spans="1:6" x14ac:dyDescent="0.25">
      <c r="A4290" s="364"/>
      <c r="B4290"/>
      <c r="C4290"/>
      <c r="D4290"/>
      <c r="E4290" s="364"/>
      <c r="F4290"/>
    </row>
    <row r="4291" spans="1:6" x14ac:dyDescent="0.25">
      <c r="A4291" s="364"/>
      <c r="B4291"/>
      <c r="C4291"/>
      <c r="D4291"/>
      <c r="E4291" s="364"/>
      <c r="F4291"/>
    </row>
    <row r="4292" spans="1:6" x14ac:dyDescent="0.25">
      <c r="A4292" s="364"/>
      <c r="B4292"/>
      <c r="C4292"/>
      <c r="D4292"/>
      <c r="E4292" s="364"/>
      <c r="F4292"/>
    </row>
    <row r="4293" spans="1:6" x14ac:dyDescent="0.25">
      <c r="A4293" s="364"/>
      <c r="B4293"/>
      <c r="C4293"/>
      <c r="D4293"/>
      <c r="E4293" s="364"/>
      <c r="F4293"/>
    </row>
    <row r="4294" spans="1:6" x14ac:dyDescent="0.25">
      <c r="A4294" s="364"/>
      <c r="B4294"/>
      <c r="C4294"/>
      <c r="D4294"/>
      <c r="E4294" s="364"/>
      <c r="F4294"/>
    </row>
    <row r="4295" spans="1:6" x14ac:dyDescent="0.25">
      <c r="A4295" s="364"/>
      <c r="B4295"/>
      <c r="C4295"/>
      <c r="D4295"/>
      <c r="E4295" s="364"/>
      <c r="F4295"/>
    </row>
    <row r="4296" spans="1:6" x14ac:dyDescent="0.25">
      <c r="A4296" s="364"/>
      <c r="B4296"/>
      <c r="C4296"/>
      <c r="D4296"/>
      <c r="E4296" s="364"/>
      <c r="F4296"/>
    </row>
    <row r="4297" spans="1:6" x14ac:dyDescent="0.25">
      <c r="A4297" s="364"/>
      <c r="B4297"/>
      <c r="C4297"/>
      <c r="D4297"/>
      <c r="E4297" s="364"/>
      <c r="F4297"/>
    </row>
    <row r="4298" spans="1:6" x14ac:dyDescent="0.25">
      <c r="A4298" s="364"/>
      <c r="B4298"/>
      <c r="C4298"/>
      <c r="D4298"/>
      <c r="E4298" s="364"/>
      <c r="F4298"/>
    </row>
    <row r="4299" spans="1:6" x14ac:dyDescent="0.25">
      <c r="A4299" s="364"/>
      <c r="B4299"/>
      <c r="C4299"/>
      <c r="D4299"/>
      <c r="E4299" s="364"/>
      <c r="F4299"/>
    </row>
    <row r="4300" spans="1:6" x14ac:dyDescent="0.25">
      <c r="A4300" s="364"/>
      <c r="B4300"/>
      <c r="C4300"/>
      <c r="D4300"/>
      <c r="E4300" s="364"/>
      <c r="F4300"/>
    </row>
    <row r="4301" spans="1:6" x14ac:dyDescent="0.25">
      <c r="A4301" s="364"/>
      <c r="B4301"/>
      <c r="C4301"/>
      <c r="D4301"/>
      <c r="E4301" s="364"/>
      <c r="F4301"/>
    </row>
    <row r="4302" spans="1:6" x14ac:dyDescent="0.25">
      <c r="A4302" s="364"/>
      <c r="B4302"/>
      <c r="C4302"/>
      <c r="D4302"/>
      <c r="E4302" s="364"/>
      <c r="F4302"/>
    </row>
    <row r="4303" spans="1:6" x14ac:dyDescent="0.25">
      <c r="A4303" s="364"/>
      <c r="B4303"/>
      <c r="C4303"/>
      <c r="D4303"/>
      <c r="E4303" s="364"/>
      <c r="F4303"/>
    </row>
    <row r="4304" spans="1:6" x14ac:dyDescent="0.25">
      <c r="A4304" s="364"/>
      <c r="B4304"/>
      <c r="C4304"/>
      <c r="D4304"/>
      <c r="E4304" s="364"/>
      <c r="F4304"/>
    </row>
    <row r="4305" spans="1:6" x14ac:dyDescent="0.25">
      <c r="A4305" s="364"/>
      <c r="B4305"/>
      <c r="C4305"/>
      <c r="D4305"/>
      <c r="E4305" s="364"/>
      <c r="F4305"/>
    </row>
    <row r="4306" spans="1:6" x14ac:dyDescent="0.25">
      <c r="A4306" s="364"/>
      <c r="B4306"/>
      <c r="C4306"/>
      <c r="D4306"/>
      <c r="E4306" s="364"/>
      <c r="F4306"/>
    </row>
    <row r="4307" spans="1:6" x14ac:dyDescent="0.25">
      <c r="A4307" s="364"/>
      <c r="B4307"/>
      <c r="C4307"/>
      <c r="D4307"/>
      <c r="E4307" s="364"/>
      <c r="F4307"/>
    </row>
    <row r="4308" spans="1:6" x14ac:dyDescent="0.25">
      <c r="A4308" s="364"/>
      <c r="B4308"/>
      <c r="C4308"/>
      <c r="D4308"/>
      <c r="E4308" s="364"/>
      <c r="F4308"/>
    </row>
    <row r="4309" spans="1:6" x14ac:dyDescent="0.25">
      <c r="A4309" s="364"/>
      <c r="B4309"/>
      <c r="C4309"/>
      <c r="D4309"/>
      <c r="E4309" s="364"/>
      <c r="F4309"/>
    </row>
    <row r="4310" spans="1:6" x14ac:dyDescent="0.25">
      <c r="A4310" s="364"/>
      <c r="B4310"/>
      <c r="C4310"/>
      <c r="D4310"/>
      <c r="E4310" s="364"/>
      <c r="F4310"/>
    </row>
    <row r="4311" spans="1:6" x14ac:dyDescent="0.25">
      <c r="A4311" s="364"/>
      <c r="B4311"/>
      <c r="C4311"/>
      <c r="D4311"/>
      <c r="E4311" s="364"/>
      <c r="F4311"/>
    </row>
    <row r="4312" spans="1:6" x14ac:dyDescent="0.25">
      <c r="A4312" s="364"/>
      <c r="B4312"/>
      <c r="C4312"/>
      <c r="D4312"/>
      <c r="E4312" s="364"/>
      <c r="F4312"/>
    </row>
    <row r="4313" spans="1:6" x14ac:dyDescent="0.25">
      <c r="A4313" s="364"/>
      <c r="B4313"/>
      <c r="C4313"/>
      <c r="D4313"/>
      <c r="E4313" s="364"/>
      <c r="F4313"/>
    </row>
    <row r="4314" spans="1:6" x14ac:dyDescent="0.25">
      <c r="A4314" s="364"/>
      <c r="B4314"/>
      <c r="C4314"/>
      <c r="D4314"/>
      <c r="E4314" s="364"/>
      <c r="F4314"/>
    </row>
    <row r="4315" spans="1:6" x14ac:dyDescent="0.25">
      <c r="A4315" s="364"/>
      <c r="B4315"/>
      <c r="C4315"/>
      <c r="D4315"/>
      <c r="E4315" s="364"/>
      <c r="F4315"/>
    </row>
    <row r="4316" spans="1:6" x14ac:dyDescent="0.25">
      <c r="A4316" s="364"/>
      <c r="B4316"/>
      <c r="C4316"/>
      <c r="D4316"/>
      <c r="E4316" s="364"/>
      <c r="F4316"/>
    </row>
    <row r="4317" spans="1:6" x14ac:dyDescent="0.25">
      <c r="A4317" s="364"/>
      <c r="B4317"/>
      <c r="C4317"/>
      <c r="D4317"/>
      <c r="E4317" s="364"/>
      <c r="F4317"/>
    </row>
    <row r="4318" spans="1:6" x14ac:dyDescent="0.25">
      <c r="A4318" s="364"/>
      <c r="B4318"/>
      <c r="C4318"/>
      <c r="D4318"/>
      <c r="E4318" s="364"/>
      <c r="F4318"/>
    </row>
    <row r="4319" spans="1:6" x14ac:dyDescent="0.25">
      <c r="A4319" s="364"/>
      <c r="B4319"/>
      <c r="C4319"/>
      <c r="D4319"/>
      <c r="E4319" s="364"/>
      <c r="F4319"/>
    </row>
    <row r="4320" spans="1:6" x14ac:dyDescent="0.25">
      <c r="A4320" s="364"/>
      <c r="B4320"/>
      <c r="C4320"/>
      <c r="D4320"/>
      <c r="E4320" s="364"/>
      <c r="F4320"/>
    </row>
    <row r="4321" spans="1:6" x14ac:dyDescent="0.25">
      <c r="A4321" s="364"/>
      <c r="B4321"/>
      <c r="C4321"/>
      <c r="D4321"/>
      <c r="E4321" s="364"/>
      <c r="F4321"/>
    </row>
    <row r="4322" spans="1:6" x14ac:dyDescent="0.25">
      <c r="A4322" s="364"/>
      <c r="B4322"/>
      <c r="C4322"/>
      <c r="D4322"/>
      <c r="E4322" s="364"/>
      <c r="F4322"/>
    </row>
    <row r="4323" spans="1:6" x14ac:dyDescent="0.25">
      <c r="A4323" s="364"/>
      <c r="B4323"/>
      <c r="C4323"/>
      <c r="D4323"/>
      <c r="E4323" s="364"/>
      <c r="F4323"/>
    </row>
    <row r="4324" spans="1:6" x14ac:dyDescent="0.25">
      <c r="A4324" s="364"/>
      <c r="B4324"/>
      <c r="C4324"/>
      <c r="D4324"/>
      <c r="E4324" s="364"/>
      <c r="F4324"/>
    </row>
    <row r="4325" spans="1:6" x14ac:dyDescent="0.25">
      <c r="A4325" s="364"/>
      <c r="B4325"/>
      <c r="C4325"/>
      <c r="D4325"/>
      <c r="E4325" s="364"/>
      <c r="F4325"/>
    </row>
    <row r="4326" spans="1:6" x14ac:dyDescent="0.25">
      <c r="A4326" s="364"/>
      <c r="B4326"/>
      <c r="C4326"/>
      <c r="D4326"/>
      <c r="E4326" s="364"/>
      <c r="F4326"/>
    </row>
    <row r="4327" spans="1:6" x14ac:dyDescent="0.25">
      <c r="A4327" s="364"/>
      <c r="B4327"/>
      <c r="C4327"/>
      <c r="D4327"/>
      <c r="E4327" s="364"/>
      <c r="F4327"/>
    </row>
    <row r="4328" spans="1:6" x14ac:dyDescent="0.25">
      <c r="A4328" s="364"/>
      <c r="B4328"/>
      <c r="C4328"/>
      <c r="D4328"/>
      <c r="E4328" s="364"/>
      <c r="F4328"/>
    </row>
    <row r="4329" spans="1:6" x14ac:dyDescent="0.25">
      <c r="A4329" s="364"/>
      <c r="B4329"/>
      <c r="C4329"/>
      <c r="D4329"/>
      <c r="E4329" s="364"/>
      <c r="F4329"/>
    </row>
    <row r="4330" spans="1:6" x14ac:dyDescent="0.25">
      <c r="A4330" s="364"/>
      <c r="B4330"/>
      <c r="C4330"/>
      <c r="D4330"/>
      <c r="E4330" s="364"/>
      <c r="F4330"/>
    </row>
    <row r="4331" spans="1:6" x14ac:dyDescent="0.25">
      <c r="A4331" s="364"/>
      <c r="B4331"/>
      <c r="C4331"/>
      <c r="D4331"/>
      <c r="E4331" s="364"/>
      <c r="F4331"/>
    </row>
    <row r="4332" spans="1:6" x14ac:dyDescent="0.25">
      <c r="A4332" s="364"/>
      <c r="B4332"/>
      <c r="C4332"/>
      <c r="D4332"/>
      <c r="E4332" s="364"/>
      <c r="F4332"/>
    </row>
    <row r="4333" spans="1:6" x14ac:dyDescent="0.25">
      <c r="A4333" s="364"/>
      <c r="B4333"/>
      <c r="C4333"/>
      <c r="D4333"/>
      <c r="E4333" s="364"/>
      <c r="F4333"/>
    </row>
    <row r="4334" spans="1:6" x14ac:dyDescent="0.25">
      <c r="A4334" s="364"/>
      <c r="B4334"/>
      <c r="C4334"/>
      <c r="D4334"/>
      <c r="E4334" s="364"/>
      <c r="F4334"/>
    </row>
    <row r="4335" spans="1:6" x14ac:dyDescent="0.25">
      <c r="A4335" s="364"/>
      <c r="B4335"/>
      <c r="C4335"/>
      <c r="D4335"/>
      <c r="E4335" s="364"/>
      <c r="F4335"/>
    </row>
    <row r="4336" spans="1:6" x14ac:dyDescent="0.25">
      <c r="A4336" s="364"/>
      <c r="B4336"/>
      <c r="C4336"/>
      <c r="D4336"/>
      <c r="E4336" s="364"/>
      <c r="F4336"/>
    </row>
    <row r="4337" spans="1:6" x14ac:dyDescent="0.25">
      <c r="A4337" s="364"/>
      <c r="B4337"/>
      <c r="C4337"/>
      <c r="D4337"/>
      <c r="E4337" s="364"/>
      <c r="F4337"/>
    </row>
    <row r="4338" spans="1:6" x14ac:dyDescent="0.25">
      <c r="A4338" s="364"/>
      <c r="B4338"/>
      <c r="C4338"/>
      <c r="D4338"/>
      <c r="E4338" s="364"/>
      <c r="F4338"/>
    </row>
    <row r="4339" spans="1:6" x14ac:dyDescent="0.25">
      <c r="A4339" s="364"/>
      <c r="B4339"/>
      <c r="C4339"/>
      <c r="D4339"/>
      <c r="E4339" s="364"/>
      <c r="F4339"/>
    </row>
    <row r="4340" spans="1:6" x14ac:dyDescent="0.25">
      <c r="A4340" s="364"/>
      <c r="B4340"/>
      <c r="C4340"/>
      <c r="D4340"/>
      <c r="E4340" s="364"/>
      <c r="F4340"/>
    </row>
    <row r="4341" spans="1:6" x14ac:dyDescent="0.25">
      <c r="A4341" s="364"/>
      <c r="B4341"/>
      <c r="C4341"/>
      <c r="D4341"/>
      <c r="E4341" s="364"/>
      <c r="F4341"/>
    </row>
    <row r="4342" spans="1:6" x14ac:dyDescent="0.25">
      <c r="A4342" s="364"/>
      <c r="B4342"/>
      <c r="C4342"/>
      <c r="D4342"/>
      <c r="E4342" s="364"/>
      <c r="F4342"/>
    </row>
    <row r="4343" spans="1:6" x14ac:dyDescent="0.25">
      <c r="A4343" s="364"/>
      <c r="B4343"/>
      <c r="C4343"/>
      <c r="D4343"/>
      <c r="E4343" s="364"/>
      <c r="F4343"/>
    </row>
    <row r="4344" spans="1:6" x14ac:dyDescent="0.25">
      <c r="A4344" s="364"/>
      <c r="B4344"/>
      <c r="C4344"/>
      <c r="D4344"/>
      <c r="E4344" s="364"/>
      <c r="F4344"/>
    </row>
    <row r="4345" spans="1:6" x14ac:dyDescent="0.25">
      <c r="A4345" s="364"/>
      <c r="B4345"/>
      <c r="C4345"/>
      <c r="D4345"/>
      <c r="E4345" s="364"/>
      <c r="F4345"/>
    </row>
    <row r="4346" spans="1:6" x14ac:dyDescent="0.25">
      <c r="A4346" s="364"/>
      <c r="B4346"/>
      <c r="C4346"/>
      <c r="D4346"/>
      <c r="E4346" s="364"/>
      <c r="F4346"/>
    </row>
    <row r="4347" spans="1:6" x14ac:dyDescent="0.25">
      <c r="A4347" s="364"/>
      <c r="B4347"/>
      <c r="C4347"/>
      <c r="D4347"/>
      <c r="E4347" s="364"/>
      <c r="F4347"/>
    </row>
    <row r="4348" spans="1:6" x14ac:dyDescent="0.25">
      <c r="A4348" s="364"/>
      <c r="B4348"/>
      <c r="C4348"/>
      <c r="D4348"/>
      <c r="E4348" s="364"/>
      <c r="F4348"/>
    </row>
    <row r="4349" spans="1:6" x14ac:dyDescent="0.25">
      <c r="A4349" s="364"/>
      <c r="B4349"/>
      <c r="C4349"/>
      <c r="D4349"/>
      <c r="E4349" s="364"/>
      <c r="F4349"/>
    </row>
    <row r="4350" spans="1:6" x14ac:dyDescent="0.25">
      <c r="A4350" s="364"/>
      <c r="B4350"/>
      <c r="C4350"/>
      <c r="D4350"/>
      <c r="E4350" s="364"/>
      <c r="F4350"/>
    </row>
    <row r="4351" spans="1:6" x14ac:dyDescent="0.25">
      <c r="A4351" s="364"/>
      <c r="B4351"/>
      <c r="C4351"/>
      <c r="D4351"/>
      <c r="E4351" s="364"/>
      <c r="F4351"/>
    </row>
    <row r="4352" spans="1:6" x14ac:dyDescent="0.25">
      <c r="A4352" s="364"/>
      <c r="B4352"/>
      <c r="C4352"/>
      <c r="D4352"/>
      <c r="E4352" s="364"/>
      <c r="F4352"/>
    </row>
    <row r="4353" spans="1:6" x14ac:dyDescent="0.25">
      <c r="A4353" s="364"/>
      <c r="B4353"/>
      <c r="C4353"/>
      <c r="D4353"/>
      <c r="E4353" s="364"/>
      <c r="F4353"/>
    </row>
    <row r="4354" spans="1:6" x14ac:dyDescent="0.25">
      <c r="A4354" s="364"/>
      <c r="B4354"/>
      <c r="C4354"/>
      <c r="D4354"/>
      <c r="E4354" s="364"/>
      <c r="F4354"/>
    </row>
    <row r="4355" spans="1:6" x14ac:dyDescent="0.25">
      <c r="A4355" s="364"/>
      <c r="B4355"/>
      <c r="C4355"/>
      <c r="D4355"/>
      <c r="E4355" s="364"/>
      <c r="F4355"/>
    </row>
    <row r="4356" spans="1:6" x14ac:dyDescent="0.25">
      <c r="A4356" s="364"/>
      <c r="B4356"/>
      <c r="C4356"/>
      <c r="D4356"/>
      <c r="E4356" s="364"/>
      <c r="F4356"/>
    </row>
    <row r="4357" spans="1:6" x14ac:dyDescent="0.25">
      <c r="A4357" s="364"/>
      <c r="B4357"/>
      <c r="C4357"/>
      <c r="D4357"/>
      <c r="E4357" s="364"/>
      <c r="F4357"/>
    </row>
    <row r="4358" spans="1:6" x14ac:dyDescent="0.25">
      <c r="A4358" s="364"/>
      <c r="B4358"/>
      <c r="C4358"/>
      <c r="D4358"/>
      <c r="E4358" s="364"/>
      <c r="F4358"/>
    </row>
    <row r="4359" spans="1:6" x14ac:dyDescent="0.25">
      <c r="A4359" s="364"/>
      <c r="B4359"/>
      <c r="C4359"/>
      <c r="D4359"/>
      <c r="E4359" s="364"/>
      <c r="F4359"/>
    </row>
    <row r="4360" spans="1:6" x14ac:dyDescent="0.25">
      <c r="A4360" s="364"/>
      <c r="B4360"/>
      <c r="C4360"/>
      <c r="D4360"/>
      <c r="E4360" s="364"/>
      <c r="F4360"/>
    </row>
    <row r="4361" spans="1:6" x14ac:dyDescent="0.25">
      <c r="A4361" s="364"/>
      <c r="B4361"/>
      <c r="C4361"/>
      <c r="D4361"/>
      <c r="E4361" s="364"/>
      <c r="F4361"/>
    </row>
    <row r="4362" spans="1:6" x14ac:dyDescent="0.25">
      <c r="A4362" s="364"/>
      <c r="B4362"/>
      <c r="C4362"/>
      <c r="D4362"/>
      <c r="E4362" s="364"/>
      <c r="F4362"/>
    </row>
    <row r="4363" spans="1:6" x14ac:dyDescent="0.25">
      <c r="A4363" s="364"/>
      <c r="B4363"/>
      <c r="C4363"/>
      <c r="D4363"/>
      <c r="E4363" s="364"/>
      <c r="F4363"/>
    </row>
    <row r="4364" spans="1:6" x14ac:dyDescent="0.25">
      <c r="A4364" s="364"/>
      <c r="B4364"/>
      <c r="C4364"/>
      <c r="D4364"/>
      <c r="E4364" s="364"/>
      <c r="F4364"/>
    </row>
    <row r="4365" spans="1:6" x14ac:dyDescent="0.25">
      <c r="A4365" s="364"/>
      <c r="B4365"/>
      <c r="C4365"/>
      <c r="D4365"/>
      <c r="E4365" s="364"/>
      <c r="F4365"/>
    </row>
    <row r="4366" spans="1:6" x14ac:dyDescent="0.25">
      <c r="A4366" s="364"/>
      <c r="B4366"/>
      <c r="C4366"/>
      <c r="D4366"/>
      <c r="E4366" s="364"/>
      <c r="F4366"/>
    </row>
    <row r="4367" spans="1:6" x14ac:dyDescent="0.25">
      <c r="A4367" s="364"/>
      <c r="B4367"/>
      <c r="C4367"/>
      <c r="D4367"/>
      <c r="E4367" s="364"/>
      <c r="F4367"/>
    </row>
    <row r="4368" spans="1:6" x14ac:dyDescent="0.25">
      <c r="A4368" s="364"/>
      <c r="B4368"/>
      <c r="C4368"/>
      <c r="D4368"/>
      <c r="E4368" s="364"/>
      <c r="F4368"/>
    </row>
    <row r="4369" spans="1:6" x14ac:dyDescent="0.25">
      <c r="A4369" s="364"/>
      <c r="B4369"/>
      <c r="C4369"/>
      <c r="D4369"/>
      <c r="E4369" s="364"/>
      <c r="F4369"/>
    </row>
    <row r="4370" spans="1:6" x14ac:dyDescent="0.25">
      <c r="A4370" s="364"/>
      <c r="B4370"/>
      <c r="C4370"/>
      <c r="D4370"/>
      <c r="E4370" s="364"/>
      <c r="F4370"/>
    </row>
    <row r="4371" spans="1:6" x14ac:dyDescent="0.25">
      <c r="A4371" s="364"/>
      <c r="B4371"/>
      <c r="C4371"/>
      <c r="D4371"/>
      <c r="E4371" s="364"/>
      <c r="F4371"/>
    </row>
    <row r="4372" spans="1:6" x14ac:dyDescent="0.25">
      <c r="A4372" s="364"/>
      <c r="B4372"/>
      <c r="C4372"/>
      <c r="D4372"/>
      <c r="E4372" s="364"/>
      <c r="F4372"/>
    </row>
    <row r="4373" spans="1:6" x14ac:dyDescent="0.25">
      <c r="A4373" s="364"/>
      <c r="B4373"/>
      <c r="C4373"/>
      <c r="D4373"/>
      <c r="E4373" s="364"/>
      <c r="F4373"/>
    </row>
    <row r="4374" spans="1:6" x14ac:dyDescent="0.25">
      <c r="A4374" s="364"/>
      <c r="B4374"/>
      <c r="C4374"/>
      <c r="D4374"/>
      <c r="E4374" s="364"/>
      <c r="F4374"/>
    </row>
    <row r="4375" spans="1:6" x14ac:dyDescent="0.25">
      <c r="A4375" s="364"/>
      <c r="B4375"/>
      <c r="C4375"/>
      <c r="D4375"/>
      <c r="E4375" s="364"/>
      <c r="F4375"/>
    </row>
    <row r="4376" spans="1:6" x14ac:dyDescent="0.25">
      <c r="A4376" s="364"/>
      <c r="B4376"/>
      <c r="C4376"/>
      <c r="D4376"/>
      <c r="E4376" s="364"/>
      <c r="F4376"/>
    </row>
    <row r="4377" spans="1:6" x14ac:dyDescent="0.25">
      <c r="A4377" s="364"/>
      <c r="B4377"/>
      <c r="C4377"/>
      <c r="D4377"/>
      <c r="E4377" s="364"/>
      <c r="F4377"/>
    </row>
    <row r="4378" spans="1:6" x14ac:dyDescent="0.25">
      <c r="A4378" s="364"/>
      <c r="B4378"/>
      <c r="C4378"/>
      <c r="D4378"/>
      <c r="E4378" s="364"/>
      <c r="F4378"/>
    </row>
    <row r="4379" spans="1:6" x14ac:dyDescent="0.25">
      <c r="A4379" s="364"/>
      <c r="B4379"/>
      <c r="C4379"/>
      <c r="D4379"/>
      <c r="E4379" s="364"/>
      <c r="F4379"/>
    </row>
    <row r="4380" spans="1:6" x14ac:dyDescent="0.25">
      <c r="A4380" s="364"/>
      <c r="B4380"/>
      <c r="C4380"/>
      <c r="D4380"/>
      <c r="E4380" s="364"/>
      <c r="F4380"/>
    </row>
    <row r="4381" spans="1:6" x14ac:dyDescent="0.25">
      <c r="A4381" s="364"/>
      <c r="B4381"/>
      <c r="C4381"/>
      <c r="D4381"/>
      <c r="E4381" s="364"/>
      <c r="F4381"/>
    </row>
    <row r="4382" spans="1:6" x14ac:dyDescent="0.25">
      <c r="A4382" s="364"/>
      <c r="B4382"/>
      <c r="C4382"/>
      <c r="D4382"/>
      <c r="E4382" s="364"/>
      <c r="F4382"/>
    </row>
    <row r="4383" spans="1:6" x14ac:dyDescent="0.25">
      <c r="A4383" s="364"/>
      <c r="B4383"/>
      <c r="C4383"/>
      <c r="D4383"/>
      <c r="E4383" s="364"/>
      <c r="F4383"/>
    </row>
    <row r="4384" spans="1:6" x14ac:dyDescent="0.25">
      <c r="A4384" s="364"/>
      <c r="B4384"/>
      <c r="C4384"/>
      <c r="D4384"/>
      <c r="E4384" s="364"/>
      <c r="F4384"/>
    </row>
    <row r="4385" spans="1:6" x14ac:dyDescent="0.25">
      <c r="A4385" s="364"/>
      <c r="B4385"/>
      <c r="C4385"/>
      <c r="D4385"/>
      <c r="E4385" s="364"/>
      <c r="F4385"/>
    </row>
    <row r="4386" spans="1:6" x14ac:dyDescent="0.25">
      <c r="A4386" s="364"/>
      <c r="B4386"/>
      <c r="C4386"/>
      <c r="D4386"/>
      <c r="E4386" s="364"/>
      <c r="F4386"/>
    </row>
    <row r="4387" spans="1:6" x14ac:dyDescent="0.25">
      <c r="A4387" s="364"/>
      <c r="B4387"/>
      <c r="C4387"/>
      <c r="D4387"/>
      <c r="E4387" s="364"/>
      <c r="F4387"/>
    </row>
    <row r="4388" spans="1:6" x14ac:dyDescent="0.25">
      <c r="A4388" s="364"/>
      <c r="B4388"/>
      <c r="C4388"/>
      <c r="D4388"/>
      <c r="E4388" s="364"/>
      <c r="F4388"/>
    </row>
    <row r="4389" spans="1:6" x14ac:dyDescent="0.25">
      <c r="A4389" s="364"/>
      <c r="B4389"/>
      <c r="C4389"/>
      <c r="D4389"/>
      <c r="E4389" s="364"/>
      <c r="F4389"/>
    </row>
    <row r="4390" spans="1:6" x14ac:dyDescent="0.25">
      <c r="A4390" s="364"/>
      <c r="B4390"/>
      <c r="C4390"/>
      <c r="D4390"/>
      <c r="E4390" s="364"/>
      <c r="F4390"/>
    </row>
    <row r="4391" spans="1:6" x14ac:dyDescent="0.25">
      <c r="A4391" s="364"/>
      <c r="B4391"/>
      <c r="C4391"/>
      <c r="D4391"/>
      <c r="E4391" s="364"/>
      <c r="F4391"/>
    </row>
    <row r="4392" spans="1:6" x14ac:dyDescent="0.25">
      <c r="A4392" s="364"/>
      <c r="B4392"/>
      <c r="C4392"/>
      <c r="D4392"/>
      <c r="E4392" s="364"/>
      <c r="F4392"/>
    </row>
    <row r="4393" spans="1:6" x14ac:dyDescent="0.25">
      <c r="A4393" s="364"/>
      <c r="B4393"/>
      <c r="C4393"/>
      <c r="D4393"/>
      <c r="E4393" s="364"/>
      <c r="F4393"/>
    </row>
    <row r="4394" spans="1:6" x14ac:dyDescent="0.25">
      <c r="A4394" s="364"/>
      <c r="B4394"/>
      <c r="C4394"/>
      <c r="D4394"/>
      <c r="E4394" s="364"/>
      <c r="F4394"/>
    </row>
    <row r="4395" spans="1:6" x14ac:dyDescent="0.25">
      <c r="A4395" s="364"/>
      <c r="B4395"/>
      <c r="C4395"/>
      <c r="D4395"/>
      <c r="E4395" s="364"/>
      <c r="F4395"/>
    </row>
    <row r="4396" spans="1:6" x14ac:dyDescent="0.25">
      <c r="A4396" s="364"/>
      <c r="B4396"/>
      <c r="C4396"/>
      <c r="D4396"/>
      <c r="E4396" s="364"/>
      <c r="F4396"/>
    </row>
    <row r="4397" spans="1:6" x14ac:dyDescent="0.25">
      <c r="A4397" s="364"/>
      <c r="B4397"/>
      <c r="C4397"/>
      <c r="D4397"/>
      <c r="E4397" s="364"/>
      <c r="F4397"/>
    </row>
    <row r="4398" spans="1:6" x14ac:dyDescent="0.25">
      <c r="A4398" s="364"/>
      <c r="B4398"/>
      <c r="C4398"/>
      <c r="D4398"/>
      <c r="E4398" s="364"/>
      <c r="F4398"/>
    </row>
    <row r="4399" spans="1:6" x14ac:dyDescent="0.25">
      <c r="A4399" s="364"/>
      <c r="B4399"/>
      <c r="C4399"/>
      <c r="D4399"/>
      <c r="E4399" s="364"/>
      <c r="F4399"/>
    </row>
    <row r="4400" spans="1:6" x14ac:dyDescent="0.25">
      <c r="A4400" s="364"/>
      <c r="B4400"/>
      <c r="C4400"/>
      <c r="D4400"/>
      <c r="E4400" s="364"/>
      <c r="F4400"/>
    </row>
    <row r="4401" spans="1:6" x14ac:dyDescent="0.25">
      <c r="A4401" s="364"/>
      <c r="B4401"/>
      <c r="C4401"/>
      <c r="D4401"/>
      <c r="E4401" s="364"/>
      <c r="F4401"/>
    </row>
    <row r="4402" spans="1:6" x14ac:dyDescent="0.25">
      <c r="A4402" s="364"/>
      <c r="B4402"/>
      <c r="C4402"/>
      <c r="D4402"/>
      <c r="E4402" s="364"/>
      <c r="F4402"/>
    </row>
    <row r="4403" spans="1:6" x14ac:dyDescent="0.25">
      <c r="A4403" s="364"/>
      <c r="B4403"/>
      <c r="C4403"/>
      <c r="D4403"/>
      <c r="E4403" s="364"/>
      <c r="F4403"/>
    </row>
    <row r="4404" spans="1:6" x14ac:dyDescent="0.25">
      <c r="A4404" s="364"/>
      <c r="B4404"/>
      <c r="C4404"/>
      <c r="D4404"/>
      <c r="E4404" s="364"/>
      <c r="F4404"/>
    </row>
    <row r="4405" spans="1:6" x14ac:dyDescent="0.25">
      <c r="A4405" s="364"/>
      <c r="B4405"/>
      <c r="C4405"/>
      <c r="D4405"/>
      <c r="E4405" s="364"/>
      <c r="F4405"/>
    </row>
    <row r="4406" spans="1:6" x14ac:dyDescent="0.25">
      <c r="A4406" s="364"/>
      <c r="B4406"/>
      <c r="C4406"/>
      <c r="D4406"/>
      <c r="E4406" s="364"/>
      <c r="F4406"/>
    </row>
    <row r="4407" spans="1:6" x14ac:dyDescent="0.25">
      <c r="A4407" s="364"/>
      <c r="B4407"/>
      <c r="C4407"/>
      <c r="D4407"/>
      <c r="E4407" s="364"/>
      <c r="F4407"/>
    </row>
    <row r="4408" spans="1:6" x14ac:dyDescent="0.25">
      <c r="A4408" s="364"/>
      <c r="B4408"/>
      <c r="C4408"/>
      <c r="D4408"/>
      <c r="E4408" s="364"/>
      <c r="F4408"/>
    </row>
    <row r="4409" spans="1:6" x14ac:dyDescent="0.25">
      <c r="A4409" s="364"/>
      <c r="B4409"/>
      <c r="C4409"/>
      <c r="D4409"/>
      <c r="E4409" s="364"/>
      <c r="F4409"/>
    </row>
    <row r="4410" spans="1:6" x14ac:dyDescent="0.25">
      <c r="A4410" s="364"/>
      <c r="B4410"/>
      <c r="C4410"/>
      <c r="D4410"/>
      <c r="E4410" s="364"/>
      <c r="F4410"/>
    </row>
    <row r="4411" spans="1:6" x14ac:dyDescent="0.25">
      <c r="A4411" s="364"/>
      <c r="B4411"/>
      <c r="C4411"/>
      <c r="D4411"/>
      <c r="E4411" s="364"/>
      <c r="F4411"/>
    </row>
    <row r="4412" spans="1:6" x14ac:dyDescent="0.25">
      <c r="A4412" s="364"/>
      <c r="B4412"/>
      <c r="C4412"/>
      <c r="D4412"/>
      <c r="E4412" s="364"/>
      <c r="F4412"/>
    </row>
    <row r="4413" spans="1:6" x14ac:dyDescent="0.25">
      <c r="A4413" s="364"/>
      <c r="B4413"/>
      <c r="C4413"/>
      <c r="D4413"/>
      <c r="E4413" s="364"/>
      <c r="F4413"/>
    </row>
    <row r="4414" spans="1:6" x14ac:dyDescent="0.25">
      <c r="A4414" s="364"/>
      <c r="B4414"/>
      <c r="C4414"/>
      <c r="D4414"/>
      <c r="E4414" s="364"/>
      <c r="F4414"/>
    </row>
    <row r="4415" spans="1:6" x14ac:dyDescent="0.25">
      <c r="A4415" s="364"/>
      <c r="B4415"/>
      <c r="C4415"/>
      <c r="D4415"/>
      <c r="E4415" s="364"/>
      <c r="F4415"/>
    </row>
    <row r="4416" spans="1:6" x14ac:dyDescent="0.25">
      <c r="A4416" s="364"/>
      <c r="B4416"/>
      <c r="C4416"/>
      <c r="D4416"/>
      <c r="E4416" s="364"/>
      <c r="F4416"/>
    </row>
    <row r="4417" spans="1:6" x14ac:dyDescent="0.25">
      <c r="A4417" s="364"/>
      <c r="B4417"/>
      <c r="C4417"/>
      <c r="D4417"/>
      <c r="E4417" s="364"/>
      <c r="F4417"/>
    </row>
    <row r="4418" spans="1:6" x14ac:dyDescent="0.25">
      <c r="A4418" s="364"/>
      <c r="B4418"/>
      <c r="C4418"/>
      <c r="D4418"/>
      <c r="E4418" s="364"/>
      <c r="F4418"/>
    </row>
    <row r="4419" spans="1:6" x14ac:dyDescent="0.25">
      <c r="A4419" s="364"/>
      <c r="B4419"/>
      <c r="C4419"/>
      <c r="D4419"/>
      <c r="E4419" s="364"/>
      <c r="F4419"/>
    </row>
    <row r="4420" spans="1:6" x14ac:dyDescent="0.25">
      <c r="A4420" s="364"/>
      <c r="B4420"/>
      <c r="C4420"/>
      <c r="D4420"/>
      <c r="E4420" s="364"/>
      <c r="F4420"/>
    </row>
    <row r="4421" spans="1:6" x14ac:dyDescent="0.25">
      <c r="A4421" s="364"/>
      <c r="B4421"/>
      <c r="C4421"/>
      <c r="D4421"/>
      <c r="E4421" s="364"/>
      <c r="F4421"/>
    </row>
    <row r="4422" spans="1:6" x14ac:dyDescent="0.25">
      <c r="A4422" s="364"/>
      <c r="B4422"/>
      <c r="C4422"/>
      <c r="D4422"/>
      <c r="E4422" s="364"/>
      <c r="F4422"/>
    </row>
    <row r="4423" spans="1:6" x14ac:dyDescent="0.25">
      <c r="A4423" s="364"/>
      <c r="B4423"/>
      <c r="C4423"/>
      <c r="D4423"/>
      <c r="E4423" s="364"/>
      <c r="F4423"/>
    </row>
    <row r="4424" spans="1:6" x14ac:dyDescent="0.25">
      <c r="A4424" s="364"/>
      <c r="B4424"/>
      <c r="C4424"/>
      <c r="D4424"/>
      <c r="E4424" s="364"/>
      <c r="F4424"/>
    </row>
    <row r="4425" spans="1:6" x14ac:dyDescent="0.25">
      <c r="A4425" s="364"/>
      <c r="B4425"/>
      <c r="C4425"/>
      <c r="D4425"/>
      <c r="E4425" s="364"/>
      <c r="F4425"/>
    </row>
    <row r="4426" spans="1:6" x14ac:dyDescent="0.25">
      <c r="A4426" s="364"/>
      <c r="B4426"/>
      <c r="C4426"/>
      <c r="D4426"/>
      <c r="E4426" s="364"/>
      <c r="F4426"/>
    </row>
    <row r="4427" spans="1:6" x14ac:dyDescent="0.25">
      <c r="A4427" s="364"/>
      <c r="B4427"/>
      <c r="C4427"/>
      <c r="D4427"/>
      <c r="E4427" s="364"/>
      <c r="F4427"/>
    </row>
    <row r="4428" spans="1:6" x14ac:dyDescent="0.25">
      <c r="A4428" s="364"/>
      <c r="B4428"/>
      <c r="C4428"/>
      <c r="D4428"/>
      <c r="E4428" s="364"/>
      <c r="F4428"/>
    </row>
    <row r="4429" spans="1:6" x14ac:dyDescent="0.25">
      <c r="A4429" s="364"/>
      <c r="B4429"/>
      <c r="C4429"/>
      <c r="D4429"/>
      <c r="E4429" s="364"/>
      <c r="F4429"/>
    </row>
    <row r="4430" spans="1:6" x14ac:dyDescent="0.25">
      <c r="A4430" s="364"/>
      <c r="B4430"/>
      <c r="C4430"/>
      <c r="D4430"/>
      <c r="E4430" s="364"/>
      <c r="F4430"/>
    </row>
    <row r="4431" spans="1:6" x14ac:dyDescent="0.25">
      <c r="A4431" s="364"/>
      <c r="B4431"/>
      <c r="C4431"/>
      <c r="D4431"/>
      <c r="E4431" s="364"/>
      <c r="F4431"/>
    </row>
    <row r="4432" spans="1:6" x14ac:dyDescent="0.25">
      <c r="A4432" s="364"/>
      <c r="B4432"/>
      <c r="C4432"/>
      <c r="D4432"/>
      <c r="E4432" s="364"/>
      <c r="F4432"/>
    </row>
    <row r="4433" spans="1:6" x14ac:dyDescent="0.25">
      <c r="A4433" s="364"/>
      <c r="B4433"/>
      <c r="C4433"/>
      <c r="D4433"/>
      <c r="E4433" s="364"/>
      <c r="F4433"/>
    </row>
    <row r="4434" spans="1:6" x14ac:dyDescent="0.25">
      <c r="A4434" s="364"/>
      <c r="B4434"/>
      <c r="C4434"/>
      <c r="D4434"/>
      <c r="E4434" s="364"/>
      <c r="F4434"/>
    </row>
    <row r="4435" spans="1:6" x14ac:dyDescent="0.25">
      <c r="A4435" s="364"/>
      <c r="B4435"/>
      <c r="C4435"/>
      <c r="D4435"/>
      <c r="E4435" s="364"/>
      <c r="F4435"/>
    </row>
    <row r="4436" spans="1:6" x14ac:dyDescent="0.25">
      <c r="A4436" s="364"/>
      <c r="B4436"/>
      <c r="C4436"/>
      <c r="D4436"/>
      <c r="E4436" s="364"/>
      <c r="F4436"/>
    </row>
    <row r="4437" spans="1:6" x14ac:dyDescent="0.25">
      <c r="A4437" s="364"/>
      <c r="B4437"/>
      <c r="C4437"/>
      <c r="D4437"/>
      <c r="E4437" s="364"/>
      <c r="F4437"/>
    </row>
    <row r="4438" spans="1:6" x14ac:dyDescent="0.25">
      <c r="A4438" s="364"/>
      <c r="B4438"/>
      <c r="C4438"/>
      <c r="D4438"/>
      <c r="E4438" s="364"/>
      <c r="F4438"/>
    </row>
    <row r="4439" spans="1:6" x14ac:dyDescent="0.25">
      <c r="A4439" s="364"/>
      <c r="B4439"/>
      <c r="C4439"/>
      <c r="D4439"/>
      <c r="E4439" s="364"/>
      <c r="F4439"/>
    </row>
    <row r="4440" spans="1:6" x14ac:dyDescent="0.25">
      <c r="A4440" s="364"/>
      <c r="B4440"/>
      <c r="C4440"/>
      <c r="D4440"/>
      <c r="E4440" s="364"/>
      <c r="F4440"/>
    </row>
    <row r="4441" spans="1:6" x14ac:dyDescent="0.25">
      <c r="A4441" s="364"/>
      <c r="B4441"/>
      <c r="C4441"/>
      <c r="D4441"/>
      <c r="E4441" s="364"/>
      <c r="F4441"/>
    </row>
    <row r="4442" spans="1:6" x14ac:dyDescent="0.25">
      <c r="A4442" s="364"/>
      <c r="B4442"/>
      <c r="C4442"/>
      <c r="D4442"/>
      <c r="E4442" s="364"/>
      <c r="F4442"/>
    </row>
    <row r="4443" spans="1:6" x14ac:dyDescent="0.25">
      <c r="A4443" s="364"/>
      <c r="B4443"/>
      <c r="C4443"/>
      <c r="D4443"/>
      <c r="E4443" s="364"/>
      <c r="F4443"/>
    </row>
    <row r="4444" spans="1:6" x14ac:dyDescent="0.25">
      <c r="A4444" s="364"/>
      <c r="B4444"/>
      <c r="C4444"/>
      <c r="D4444"/>
      <c r="E4444" s="364"/>
      <c r="F4444"/>
    </row>
    <row r="4445" spans="1:6" x14ac:dyDescent="0.25">
      <c r="A4445" s="364"/>
      <c r="B4445"/>
      <c r="C4445"/>
      <c r="D4445"/>
      <c r="E4445" s="364"/>
      <c r="F4445"/>
    </row>
    <row r="4446" spans="1:6" x14ac:dyDescent="0.25">
      <c r="A4446" s="364"/>
      <c r="B4446"/>
      <c r="C4446"/>
      <c r="D4446"/>
      <c r="E4446" s="364"/>
      <c r="F4446"/>
    </row>
    <row r="4447" spans="1:6" x14ac:dyDescent="0.25">
      <c r="A4447" s="364"/>
      <c r="B4447"/>
      <c r="C4447"/>
      <c r="D4447"/>
      <c r="E4447" s="364"/>
      <c r="F4447"/>
    </row>
    <row r="4448" spans="1:6" x14ac:dyDescent="0.25">
      <c r="A4448" s="364"/>
      <c r="B4448"/>
      <c r="C4448"/>
      <c r="D4448"/>
      <c r="E4448" s="364"/>
      <c r="F4448"/>
    </row>
    <row r="4449" spans="1:6" x14ac:dyDescent="0.25">
      <c r="A4449" s="364"/>
      <c r="B4449"/>
      <c r="C4449"/>
      <c r="D4449"/>
      <c r="E4449" s="364"/>
      <c r="F4449"/>
    </row>
    <row r="4450" spans="1:6" x14ac:dyDescent="0.25">
      <c r="A4450" s="364"/>
      <c r="B4450"/>
      <c r="C4450"/>
      <c r="D4450"/>
      <c r="E4450" s="364"/>
      <c r="F4450"/>
    </row>
    <row r="4451" spans="1:6" x14ac:dyDescent="0.25">
      <c r="A4451" s="364"/>
      <c r="B4451"/>
      <c r="C4451"/>
      <c r="D4451"/>
      <c r="E4451" s="364"/>
      <c r="F4451"/>
    </row>
    <row r="4452" spans="1:6" x14ac:dyDescent="0.25">
      <c r="A4452" s="364"/>
      <c r="B4452"/>
      <c r="C4452"/>
      <c r="D4452"/>
      <c r="E4452" s="364"/>
      <c r="F4452"/>
    </row>
    <row r="4453" spans="1:6" x14ac:dyDescent="0.25">
      <c r="A4453" s="364"/>
      <c r="B4453"/>
      <c r="C4453"/>
      <c r="D4453"/>
      <c r="E4453" s="364"/>
      <c r="F4453"/>
    </row>
    <row r="4454" spans="1:6" x14ac:dyDescent="0.25">
      <c r="A4454" s="364"/>
      <c r="B4454"/>
      <c r="C4454"/>
      <c r="D4454"/>
      <c r="E4454" s="364"/>
      <c r="F4454"/>
    </row>
    <row r="4455" spans="1:6" x14ac:dyDescent="0.25">
      <c r="A4455" s="364"/>
      <c r="B4455"/>
      <c r="C4455"/>
      <c r="D4455"/>
      <c r="E4455" s="364"/>
      <c r="F4455"/>
    </row>
    <row r="4456" spans="1:6" x14ac:dyDescent="0.25">
      <c r="A4456" s="364"/>
      <c r="B4456"/>
      <c r="C4456"/>
      <c r="D4456"/>
      <c r="E4456" s="364"/>
      <c r="F4456"/>
    </row>
    <row r="4457" spans="1:6" x14ac:dyDescent="0.25">
      <c r="A4457" s="364"/>
      <c r="B4457"/>
      <c r="C4457"/>
      <c r="D4457"/>
      <c r="E4457" s="364"/>
      <c r="F4457"/>
    </row>
    <row r="4458" spans="1:6" x14ac:dyDescent="0.25">
      <c r="A4458" s="364"/>
      <c r="B4458"/>
      <c r="C4458"/>
      <c r="D4458"/>
      <c r="E4458" s="364"/>
      <c r="F4458"/>
    </row>
    <row r="4459" spans="1:6" x14ac:dyDescent="0.25">
      <c r="A4459" s="364"/>
      <c r="B4459"/>
      <c r="C4459"/>
      <c r="D4459"/>
      <c r="E4459" s="364"/>
      <c r="F4459"/>
    </row>
    <row r="4460" spans="1:6" x14ac:dyDescent="0.25">
      <c r="A4460" s="364"/>
      <c r="B4460"/>
      <c r="C4460"/>
      <c r="D4460"/>
      <c r="E4460" s="364"/>
      <c r="F4460"/>
    </row>
    <row r="4461" spans="1:6" x14ac:dyDescent="0.25">
      <c r="A4461" s="364"/>
      <c r="B4461"/>
      <c r="C4461"/>
      <c r="D4461"/>
      <c r="E4461" s="364"/>
      <c r="F4461"/>
    </row>
    <row r="4462" spans="1:6" x14ac:dyDescent="0.25">
      <c r="A4462" s="364"/>
      <c r="B4462"/>
      <c r="C4462"/>
      <c r="D4462"/>
      <c r="E4462" s="364"/>
      <c r="F4462"/>
    </row>
    <row r="4463" spans="1:6" x14ac:dyDescent="0.25">
      <c r="A4463" s="364"/>
      <c r="B4463"/>
      <c r="C4463"/>
      <c r="D4463"/>
      <c r="E4463" s="364"/>
      <c r="F4463"/>
    </row>
    <row r="4464" spans="1:6" x14ac:dyDescent="0.25">
      <c r="A4464" s="364"/>
      <c r="B4464"/>
      <c r="C4464"/>
      <c r="D4464"/>
      <c r="E4464" s="364"/>
      <c r="F4464"/>
    </row>
    <row r="4465" spans="1:6" x14ac:dyDescent="0.25">
      <c r="A4465" s="364"/>
      <c r="B4465"/>
      <c r="C4465"/>
      <c r="D4465"/>
      <c r="E4465" s="364"/>
      <c r="F4465"/>
    </row>
    <row r="4466" spans="1:6" x14ac:dyDescent="0.25">
      <c r="A4466" s="364"/>
      <c r="B4466"/>
      <c r="C4466"/>
      <c r="D4466"/>
      <c r="E4466" s="364"/>
      <c r="F4466"/>
    </row>
    <row r="4467" spans="1:6" x14ac:dyDescent="0.25">
      <c r="A4467" s="364"/>
      <c r="B4467"/>
      <c r="C4467"/>
      <c r="D4467"/>
      <c r="E4467" s="364"/>
      <c r="F4467"/>
    </row>
    <row r="4468" spans="1:6" x14ac:dyDescent="0.25">
      <c r="A4468" s="364"/>
      <c r="B4468"/>
      <c r="C4468"/>
      <c r="D4468"/>
      <c r="E4468" s="364"/>
      <c r="F4468"/>
    </row>
    <row r="4469" spans="1:6" x14ac:dyDescent="0.25">
      <c r="A4469" s="364"/>
      <c r="B4469"/>
      <c r="C4469"/>
      <c r="D4469"/>
      <c r="E4469" s="364"/>
      <c r="F4469"/>
    </row>
    <row r="4470" spans="1:6" x14ac:dyDescent="0.25">
      <c r="A4470" s="364"/>
      <c r="B4470"/>
      <c r="C4470"/>
      <c r="D4470"/>
      <c r="E4470" s="364"/>
      <c r="F4470"/>
    </row>
    <row r="4471" spans="1:6" x14ac:dyDescent="0.25">
      <c r="A4471" s="364"/>
      <c r="B4471"/>
      <c r="C4471"/>
      <c r="D4471"/>
      <c r="E4471" s="364"/>
      <c r="F4471"/>
    </row>
    <row r="4472" spans="1:6" x14ac:dyDescent="0.25">
      <c r="A4472" s="364"/>
      <c r="B4472"/>
      <c r="C4472"/>
      <c r="D4472"/>
      <c r="E4472" s="364"/>
      <c r="F4472"/>
    </row>
    <row r="4473" spans="1:6" x14ac:dyDescent="0.25">
      <c r="A4473" s="364"/>
      <c r="B4473"/>
      <c r="C4473"/>
      <c r="D4473"/>
      <c r="E4473" s="364"/>
      <c r="F4473"/>
    </row>
    <row r="4474" spans="1:6" x14ac:dyDescent="0.25">
      <c r="A4474" s="364"/>
      <c r="B4474"/>
      <c r="C4474"/>
      <c r="D4474"/>
      <c r="E4474" s="364"/>
      <c r="F4474"/>
    </row>
    <row r="4475" spans="1:6" x14ac:dyDescent="0.25">
      <c r="A4475" s="364"/>
      <c r="B4475"/>
      <c r="C4475"/>
      <c r="D4475"/>
      <c r="E4475" s="364"/>
      <c r="F4475"/>
    </row>
    <row r="4476" spans="1:6" x14ac:dyDescent="0.25">
      <c r="A4476" s="364"/>
      <c r="B4476"/>
      <c r="C4476"/>
      <c r="D4476"/>
      <c r="E4476" s="364"/>
      <c r="F4476"/>
    </row>
    <row r="4477" spans="1:6" x14ac:dyDescent="0.25">
      <c r="A4477" s="364"/>
      <c r="B4477"/>
      <c r="C4477"/>
      <c r="D4477"/>
      <c r="E4477" s="364"/>
      <c r="F4477"/>
    </row>
    <row r="4478" spans="1:6" x14ac:dyDescent="0.25">
      <c r="A4478" s="364"/>
      <c r="B4478"/>
      <c r="C4478"/>
      <c r="D4478"/>
      <c r="E4478" s="364"/>
      <c r="F4478"/>
    </row>
    <row r="4479" spans="1:6" x14ac:dyDescent="0.25">
      <c r="A4479" s="364"/>
      <c r="B4479"/>
      <c r="C4479"/>
      <c r="D4479"/>
      <c r="E4479" s="364"/>
      <c r="F4479"/>
    </row>
    <row r="4480" spans="1:6" x14ac:dyDescent="0.25">
      <c r="A4480" s="364"/>
      <c r="B4480"/>
      <c r="C4480"/>
      <c r="D4480"/>
      <c r="E4480" s="364"/>
      <c r="F4480"/>
    </row>
    <row r="4481" spans="1:6" x14ac:dyDescent="0.25">
      <c r="A4481" s="364"/>
      <c r="B4481"/>
      <c r="C4481"/>
      <c r="D4481"/>
      <c r="E4481" s="364"/>
      <c r="F4481"/>
    </row>
    <row r="4482" spans="1:6" x14ac:dyDescent="0.25">
      <c r="A4482" s="364"/>
      <c r="B4482"/>
      <c r="C4482"/>
      <c r="D4482"/>
      <c r="E4482" s="364"/>
      <c r="F4482"/>
    </row>
    <row r="4483" spans="1:6" x14ac:dyDescent="0.25">
      <c r="A4483" s="364"/>
      <c r="B4483"/>
      <c r="C4483"/>
      <c r="D4483"/>
      <c r="E4483" s="364"/>
      <c r="F4483"/>
    </row>
    <row r="4484" spans="1:6" x14ac:dyDescent="0.25">
      <c r="A4484" s="364"/>
      <c r="B4484"/>
      <c r="C4484"/>
      <c r="D4484"/>
      <c r="E4484" s="364"/>
      <c r="F4484"/>
    </row>
    <row r="4485" spans="1:6" x14ac:dyDescent="0.25">
      <c r="A4485" s="364"/>
      <c r="B4485"/>
      <c r="C4485"/>
      <c r="D4485"/>
      <c r="E4485" s="364"/>
      <c r="F4485"/>
    </row>
    <row r="4486" spans="1:6" x14ac:dyDescent="0.25">
      <c r="A4486" s="364"/>
      <c r="B4486"/>
      <c r="C4486"/>
      <c r="D4486"/>
      <c r="E4486" s="364"/>
      <c r="F4486"/>
    </row>
    <row r="4487" spans="1:6" x14ac:dyDescent="0.25">
      <c r="A4487" s="364"/>
      <c r="B4487"/>
      <c r="C4487"/>
      <c r="D4487"/>
      <c r="E4487" s="364"/>
      <c r="F4487"/>
    </row>
    <row r="4488" spans="1:6" x14ac:dyDescent="0.25">
      <c r="A4488" s="364"/>
      <c r="B4488"/>
      <c r="C4488"/>
      <c r="D4488"/>
      <c r="E4488" s="364"/>
      <c r="F4488"/>
    </row>
    <row r="4489" spans="1:6" x14ac:dyDescent="0.25">
      <c r="A4489" s="364"/>
      <c r="B4489"/>
      <c r="C4489"/>
      <c r="D4489"/>
      <c r="E4489" s="364"/>
      <c r="F4489"/>
    </row>
    <row r="4490" spans="1:6" x14ac:dyDescent="0.25">
      <c r="A4490" s="364"/>
      <c r="B4490"/>
      <c r="C4490"/>
      <c r="D4490"/>
      <c r="E4490" s="364"/>
      <c r="F4490"/>
    </row>
    <row r="4491" spans="1:6" x14ac:dyDescent="0.25">
      <c r="A4491" s="364"/>
      <c r="B4491"/>
      <c r="C4491"/>
      <c r="D4491"/>
      <c r="E4491" s="364"/>
      <c r="F4491"/>
    </row>
    <row r="4492" spans="1:6" x14ac:dyDescent="0.25">
      <c r="A4492" s="364"/>
      <c r="B4492"/>
      <c r="C4492"/>
      <c r="D4492"/>
      <c r="E4492" s="364"/>
      <c r="F4492"/>
    </row>
    <row r="4493" spans="1:6" x14ac:dyDescent="0.25">
      <c r="A4493" s="364"/>
      <c r="B4493"/>
      <c r="C4493"/>
      <c r="D4493"/>
      <c r="E4493" s="364"/>
      <c r="F4493"/>
    </row>
    <row r="4494" spans="1:6" x14ac:dyDescent="0.25">
      <c r="A4494" s="364"/>
      <c r="B4494"/>
      <c r="C4494"/>
      <c r="D4494"/>
      <c r="E4494" s="364"/>
      <c r="F4494"/>
    </row>
    <row r="4495" spans="1:6" x14ac:dyDescent="0.25">
      <c r="A4495" s="364"/>
      <c r="B4495"/>
      <c r="C4495"/>
      <c r="D4495"/>
      <c r="E4495" s="364"/>
      <c r="F4495"/>
    </row>
    <row r="4496" spans="1:6" x14ac:dyDescent="0.25">
      <c r="A4496" s="364"/>
      <c r="B4496"/>
      <c r="C4496"/>
      <c r="D4496"/>
      <c r="E4496" s="364"/>
      <c r="F4496"/>
    </row>
    <row r="4497" spans="1:6" x14ac:dyDescent="0.25">
      <c r="A4497" s="364"/>
      <c r="B4497"/>
      <c r="C4497"/>
      <c r="D4497"/>
      <c r="E4497" s="364"/>
      <c r="F4497"/>
    </row>
    <row r="4498" spans="1:6" x14ac:dyDescent="0.25">
      <c r="A4498" s="364"/>
      <c r="B4498"/>
      <c r="C4498"/>
      <c r="D4498"/>
      <c r="E4498" s="364"/>
      <c r="F4498"/>
    </row>
    <row r="4499" spans="1:6" x14ac:dyDescent="0.25">
      <c r="A4499" s="364"/>
      <c r="B4499"/>
      <c r="C4499"/>
      <c r="D4499"/>
      <c r="E4499" s="364"/>
      <c r="F4499"/>
    </row>
    <row r="4500" spans="1:6" x14ac:dyDescent="0.25">
      <c r="A4500" s="364"/>
      <c r="B4500"/>
      <c r="C4500"/>
      <c r="D4500"/>
      <c r="E4500" s="364"/>
      <c r="F4500"/>
    </row>
    <row r="4501" spans="1:6" x14ac:dyDescent="0.25">
      <c r="A4501" s="364"/>
      <c r="B4501"/>
      <c r="C4501"/>
      <c r="D4501"/>
      <c r="E4501" s="364"/>
      <c r="F4501"/>
    </row>
    <row r="4502" spans="1:6" x14ac:dyDescent="0.25">
      <c r="A4502" s="364"/>
      <c r="B4502"/>
      <c r="C4502"/>
      <c r="D4502"/>
      <c r="E4502" s="364"/>
      <c r="F4502"/>
    </row>
    <row r="4503" spans="1:6" x14ac:dyDescent="0.25">
      <c r="A4503" s="364"/>
      <c r="B4503"/>
      <c r="C4503"/>
      <c r="D4503"/>
      <c r="E4503" s="364"/>
      <c r="F4503"/>
    </row>
    <row r="4504" spans="1:6" x14ac:dyDescent="0.25">
      <c r="A4504" s="364"/>
      <c r="B4504"/>
      <c r="C4504"/>
      <c r="D4504"/>
      <c r="E4504" s="364"/>
      <c r="F4504"/>
    </row>
    <row r="4505" spans="1:6" x14ac:dyDescent="0.25">
      <c r="A4505" s="364"/>
      <c r="B4505"/>
      <c r="C4505"/>
      <c r="D4505"/>
      <c r="E4505" s="364"/>
      <c r="F4505"/>
    </row>
    <row r="4506" spans="1:6" x14ac:dyDescent="0.25">
      <c r="A4506" s="364"/>
      <c r="B4506"/>
      <c r="C4506"/>
      <c r="D4506"/>
      <c r="E4506" s="364"/>
      <c r="F4506"/>
    </row>
    <row r="4507" spans="1:6" x14ac:dyDescent="0.25">
      <c r="A4507" s="364"/>
      <c r="B4507"/>
      <c r="C4507"/>
      <c r="D4507"/>
      <c r="E4507" s="364"/>
      <c r="F4507"/>
    </row>
    <row r="4508" spans="1:6" x14ac:dyDescent="0.25">
      <c r="A4508" s="364"/>
      <c r="B4508"/>
      <c r="C4508"/>
      <c r="D4508"/>
      <c r="E4508" s="364"/>
      <c r="F4508"/>
    </row>
    <row r="4509" spans="1:6" x14ac:dyDescent="0.25">
      <c r="A4509" s="364"/>
      <c r="B4509"/>
      <c r="C4509"/>
      <c r="D4509"/>
      <c r="E4509" s="364"/>
      <c r="F4509"/>
    </row>
    <row r="4510" spans="1:6" x14ac:dyDescent="0.25">
      <c r="A4510" s="364"/>
      <c r="B4510"/>
      <c r="C4510"/>
      <c r="D4510"/>
      <c r="E4510" s="364"/>
      <c r="F4510"/>
    </row>
    <row r="4511" spans="1:6" x14ac:dyDescent="0.25">
      <c r="A4511" s="364"/>
      <c r="B4511"/>
      <c r="C4511"/>
      <c r="D4511"/>
      <c r="E4511" s="364"/>
      <c r="F4511"/>
    </row>
    <row r="4512" spans="1:6" x14ac:dyDescent="0.25">
      <c r="A4512" s="364"/>
      <c r="B4512"/>
      <c r="C4512"/>
      <c r="D4512"/>
      <c r="E4512" s="364"/>
      <c r="F4512"/>
    </row>
    <row r="4513" spans="1:6" x14ac:dyDescent="0.25">
      <c r="A4513" s="364"/>
      <c r="B4513"/>
      <c r="C4513"/>
      <c r="D4513"/>
      <c r="E4513" s="364"/>
      <c r="F4513"/>
    </row>
    <row r="4514" spans="1:6" x14ac:dyDescent="0.25">
      <c r="A4514" s="364"/>
      <c r="B4514"/>
      <c r="C4514"/>
      <c r="D4514"/>
      <c r="E4514" s="364"/>
      <c r="F4514"/>
    </row>
    <row r="4515" spans="1:6" x14ac:dyDescent="0.25">
      <c r="A4515" s="364"/>
      <c r="B4515"/>
      <c r="C4515"/>
      <c r="D4515"/>
      <c r="E4515" s="364"/>
      <c r="F4515"/>
    </row>
    <row r="4516" spans="1:6" x14ac:dyDescent="0.25">
      <c r="A4516" s="364"/>
      <c r="B4516"/>
      <c r="C4516"/>
      <c r="D4516"/>
      <c r="E4516" s="364"/>
      <c r="F4516"/>
    </row>
    <row r="4517" spans="1:6" x14ac:dyDescent="0.25">
      <c r="A4517" s="364"/>
      <c r="B4517"/>
      <c r="C4517"/>
      <c r="D4517"/>
      <c r="E4517" s="364"/>
      <c r="F4517"/>
    </row>
    <row r="4518" spans="1:6" x14ac:dyDescent="0.25">
      <c r="A4518" s="364"/>
      <c r="B4518"/>
      <c r="C4518"/>
      <c r="D4518"/>
      <c r="E4518" s="364"/>
      <c r="F4518"/>
    </row>
    <row r="4519" spans="1:6" x14ac:dyDescent="0.25">
      <c r="A4519" s="364"/>
      <c r="B4519"/>
      <c r="C4519"/>
      <c r="D4519"/>
      <c r="E4519" s="364"/>
      <c r="F4519"/>
    </row>
    <row r="4520" spans="1:6" x14ac:dyDescent="0.25">
      <c r="A4520" s="364"/>
      <c r="B4520"/>
      <c r="C4520"/>
      <c r="D4520"/>
      <c r="E4520" s="364"/>
      <c r="F4520"/>
    </row>
    <row r="4521" spans="1:6" x14ac:dyDescent="0.25">
      <c r="A4521" s="364"/>
      <c r="B4521"/>
      <c r="C4521"/>
      <c r="D4521"/>
      <c r="E4521" s="364"/>
      <c r="F4521"/>
    </row>
    <row r="4522" spans="1:6" x14ac:dyDescent="0.25">
      <c r="A4522" s="364"/>
      <c r="B4522"/>
      <c r="C4522"/>
      <c r="D4522"/>
      <c r="E4522" s="364"/>
      <c r="F4522"/>
    </row>
    <row r="4523" spans="1:6" x14ac:dyDescent="0.25">
      <c r="A4523" s="364"/>
      <c r="B4523"/>
      <c r="C4523"/>
      <c r="D4523"/>
      <c r="E4523" s="364"/>
      <c r="F4523"/>
    </row>
    <row r="4524" spans="1:6" x14ac:dyDescent="0.25">
      <c r="A4524" s="364"/>
      <c r="B4524"/>
      <c r="C4524"/>
      <c r="D4524"/>
      <c r="E4524" s="364"/>
      <c r="F4524"/>
    </row>
    <row r="4525" spans="1:6" x14ac:dyDescent="0.25">
      <c r="A4525" s="364"/>
      <c r="B4525"/>
      <c r="C4525"/>
      <c r="D4525"/>
      <c r="E4525" s="364"/>
      <c r="F4525"/>
    </row>
    <row r="4526" spans="1:6" x14ac:dyDescent="0.25">
      <c r="A4526" s="364"/>
      <c r="B4526"/>
      <c r="C4526"/>
      <c r="D4526"/>
      <c r="E4526" s="364"/>
      <c r="F4526"/>
    </row>
    <row r="4527" spans="1:6" x14ac:dyDescent="0.25">
      <c r="A4527" s="364"/>
      <c r="B4527"/>
      <c r="C4527"/>
      <c r="D4527"/>
      <c r="E4527" s="364"/>
      <c r="F4527"/>
    </row>
    <row r="4528" spans="1:6" x14ac:dyDescent="0.25">
      <c r="A4528" s="364"/>
      <c r="B4528"/>
      <c r="C4528"/>
      <c r="D4528"/>
      <c r="E4528" s="364"/>
      <c r="F4528"/>
    </row>
    <row r="4529" spans="1:6" x14ac:dyDescent="0.25">
      <c r="A4529" s="364"/>
      <c r="B4529"/>
      <c r="C4529"/>
      <c r="D4529"/>
      <c r="E4529" s="364"/>
      <c r="F4529"/>
    </row>
    <row r="4530" spans="1:6" x14ac:dyDescent="0.25">
      <c r="A4530" s="364"/>
      <c r="B4530"/>
      <c r="C4530"/>
      <c r="D4530"/>
      <c r="E4530" s="364"/>
      <c r="F4530"/>
    </row>
    <row r="4531" spans="1:6" x14ac:dyDescent="0.25">
      <c r="A4531" s="364"/>
      <c r="B4531"/>
      <c r="C4531"/>
      <c r="D4531"/>
      <c r="E4531" s="364"/>
      <c r="F4531"/>
    </row>
    <row r="4532" spans="1:6" x14ac:dyDescent="0.25">
      <c r="A4532" s="364"/>
      <c r="B4532"/>
      <c r="C4532"/>
      <c r="D4532"/>
      <c r="E4532" s="364"/>
      <c r="F4532"/>
    </row>
    <row r="4533" spans="1:6" x14ac:dyDescent="0.25">
      <c r="A4533" s="364"/>
      <c r="B4533"/>
      <c r="C4533"/>
      <c r="D4533"/>
      <c r="E4533" s="364"/>
      <c r="F4533"/>
    </row>
    <row r="4534" spans="1:6" x14ac:dyDescent="0.25">
      <c r="A4534" s="364"/>
      <c r="B4534"/>
      <c r="C4534"/>
      <c r="D4534"/>
      <c r="E4534" s="364"/>
      <c r="F4534"/>
    </row>
    <row r="4535" spans="1:6" x14ac:dyDescent="0.25">
      <c r="A4535" s="364"/>
      <c r="B4535"/>
      <c r="C4535"/>
      <c r="D4535"/>
      <c r="E4535" s="364"/>
      <c r="F4535"/>
    </row>
    <row r="4536" spans="1:6" x14ac:dyDescent="0.25">
      <c r="A4536" s="364"/>
      <c r="B4536"/>
      <c r="C4536"/>
      <c r="D4536"/>
      <c r="E4536" s="364"/>
      <c r="F4536"/>
    </row>
    <row r="4537" spans="1:6" x14ac:dyDescent="0.25">
      <c r="A4537" s="364"/>
      <c r="B4537"/>
      <c r="C4537"/>
      <c r="D4537"/>
      <c r="E4537" s="364"/>
      <c r="F4537"/>
    </row>
    <row r="4538" spans="1:6" x14ac:dyDescent="0.25">
      <c r="A4538" s="364"/>
      <c r="B4538"/>
      <c r="C4538"/>
      <c r="D4538"/>
      <c r="E4538" s="364"/>
      <c r="F4538"/>
    </row>
    <row r="4539" spans="1:6" x14ac:dyDescent="0.25">
      <c r="A4539" s="364"/>
      <c r="B4539"/>
      <c r="C4539"/>
      <c r="D4539"/>
      <c r="E4539" s="364"/>
      <c r="F4539"/>
    </row>
    <row r="4540" spans="1:6" x14ac:dyDescent="0.25">
      <c r="A4540" s="364"/>
      <c r="B4540"/>
      <c r="C4540"/>
      <c r="D4540"/>
      <c r="E4540" s="364"/>
      <c r="F4540"/>
    </row>
    <row r="4541" spans="1:6" x14ac:dyDescent="0.25">
      <c r="A4541" s="364"/>
      <c r="B4541"/>
      <c r="C4541"/>
      <c r="D4541"/>
      <c r="E4541" s="364"/>
      <c r="F4541"/>
    </row>
    <row r="4542" spans="1:6" x14ac:dyDescent="0.25">
      <c r="A4542" s="364"/>
      <c r="B4542"/>
      <c r="C4542"/>
      <c r="D4542"/>
      <c r="E4542" s="364"/>
      <c r="F4542"/>
    </row>
    <row r="4543" spans="1:6" x14ac:dyDescent="0.25">
      <c r="A4543" s="364"/>
      <c r="B4543"/>
      <c r="C4543"/>
      <c r="D4543"/>
      <c r="E4543" s="364"/>
      <c r="F4543"/>
    </row>
    <row r="4544" spans="1:6" x14ac:dyDescent="0.25">
      <c r="A4544" s="364"/>
      <c r="B4544"/>
      <c r="C4544"/>
      <c r="D4544"/>
      <c r="E4544" s="364"/>
      <c r="F4544"/>
    </row>
    <row r="4545" spans="1:6" x14ac:dyDescent="0.25">
      <c r="A4545" s="364"/>
      <c r="B4545"/>
      <c r="C4545"/>
      <c r="D4545"/>
      <c r="E4545" s="364"/>
      <c r="F4545"/>
    </row>
    <row r="4546" spans="1:6" x14ac:dyDescent="0.25">
      <c r="A4546" s="364"/>
      <c r="B4546"/>
      <c r="C4546"/>
      <c r="D4546"/>
      <c r="E4546" s="364"/>
      <c r="F4546"/>
    </row>
    <row r="4547" spans="1:6" x14ac:dyDescent="0.25">
      <c r="A4547" s="364"/>
      <c r="B4547"/>
      <c r="C4547"/>
      <c r="D4547"/>
      <c r="E4547" s="364"/>
      <c r="F4547"/>
    </row>
    <row r="4548" spans="1:6" x14ac:dyDescent="0.25">
      <c r="A4548" s="364"/>
      <c r="B4548"/>
      <c r="C4548"/>
      <c r="D4548"/>
      <c r="E4548" s="364"/>
      <c r="F4548"/>
    </row>
    <row r="4549" spans="1:6" x14ac:dyDescent="0.25">
      <c r="A4549" s="364"/>
      <c r="B4549"/>
      <c r="C4549"/>
      <c r="D4549"/>
      <c r="E4549" s="364"/>
      <c r="F4549"/>
    </row>
    <row r="4550" spans="1:6" x14ac:dyDescent="0.25">
      <c r="A4550" s="364"/>
      <c r="B4550"/>
      <c r="C4550"/>
      <c r="D4550"/>
      <c r="E4550" s="364"/>
      <c r="F4550"/>
    </row>
    <row r="4551" spans="1:6" x14ac:dyDescent="0.25">
      <c r="A4551" s="364"/>
      <c r="B4551"/>
      <c r="C4551"/>
      <c r="D4551"/>
      <c r="E4551" s="364"/>
      <c r="F4551"/>
    </row>
    <row r="4552" spans="1:6" x14ac:dyDescent="0.25">
      <c r="A4552" s="364"/>
      <c r="B4552"/>
      <c r="C4552"/>
      <c r="D4552"/>
      <c r="E4552" s="364"/>
      <c r="F4552"/>
    </row>
    <row r="4553" spans="1:6" x14ac:dyDescent="0.25">
      <c r="A4553" s="364"/>
      <c r="B4553"/>
      <c r="C4553"/>
      <c r="D4553"/>
      <c r="E4553" s="364"/>
      <c r="F4553"/>
    </row>
    <row r="4554" spans="1:6" x14ac:dyDescent="0.25">
      <c r="A4554" s="364"/>
      <c r="B4554"/>
      <c r="C4554"/>
      <c r="D4554"/>
      <c r="E4554" s="364"/>
      <c r="F4554"/>
    </row>
    <row r="4555" spans="1:6" x14ac:dyDescent="0.25">
      <c r="A4555" s="364"/>
      <c r="B4555"/>
      <c r="C4555"/>
      <c r="D4555"/>
      <c r="E4555" s="364"/>
      <c r="F4555"/>
    </row>
    <row r="4556" spans="1:6" x14ac:dyDescent="0.25">
      <c r="A4556" s="364"/>
      <c r="B4556"/>
      <c r="C4556"/>
      <c r="D4556"/>
      <c r="E4556" s="364"/>
      <c r="F4556"/>
    </row>
    <row r="4557" spans="1:6" x14ac:dyDescent="0.25">
      <c r="A4557" s="364"/>
      <c r="B4557"/>
      <c r="C4557"/>
      <c r="D4557"/>
      <c r="E4557" s="364"/>
      <c r="F4557"/>
    </row>
    <row r="4558" spans="1:6" x14ac:dyDescent="0.25">
      <c r="A4558" s="364"/>
      <c r="B4558"/>
      <c r="C4558"/>
      <c r="D4558"/>
      <c r="E4558" s="364"/>
      <c r="F4558"/>
    </row>
    <row r="4559" spans="1:6" x14ac:dyDescent="0.25">
      <c r="A4559" s="364"/>
      <c r="B4559"/>
      <c r="C4559"/>
      <c r="D4559"/>
      <c r="E4559" s="364"/>
      <c r="F4559"/>
    </row>
    <row r="4560" spans="1:6" x14ac:dyDescent="0.25">
      <c r="A4560" s="364"/>
      <c r="B4560"/>
      <c r="C4560"/>
      <c r="D4560"/>
      <c r="E4560" s="364"/>
      <c r="F4560"/>
    </row>
    <row r="4561" spans="1:6" x14ac:dyDescent="0.25">
      <c r="A4561" s="364"/>
      <c r="B4561"/>
      <c r="C4561"/>
      <c r="D4561"/>
      <c r="E4561" s="364"/>
      <c r="F4561"/>
    </row>
    <row r="4562" spans="1:6" x14ac:dyDescent="0.25">
      <c r="A4562" s="364"/>
      <c r="B4562"/>
      <c r="C4562"/>
      <c r="D4562"/>
      <c r="E4562" s="364"/>
      <c r="F4562"/>
    </row>
    <row r="4563" spans="1:6" x14ac:dyDescent="0.25">
      <c r="A4563" s="364"/>
      <c r="B4563"/>
      <c r="C4563"/>
      <c r="D4563"/>
      <c r="E4563" s="364"/>
      <c r="F4563"/>
    </row>
    <row r="4564" spans="1:6" x14ac:dyDescent="0.25">
      <c r="A4564" s="364"/>
      <c r="B4564"/>
      <c r="C4564"/>
      <c r="D4564"/>
      <c r="E4564" s="364"/>
      <c r="F4564"/>
    </row>
    <row r="4565" spans="1:6" x14ac:dyDescent="0.25">
      <c r="A4565" s="364"/>
      <c r="B4565"/>
      <c r="C4565"/>
      <c r="D4565"/>
      <c r="E4565" s="364"/>
      <c r="F4565"/>
    </row>
    <row r="4566" spans="1:6" x14ac:dyDescent="0.25">
      <c r="A4566" s="364"/>
      <c r="B4566"/>
      <c r="C4566"/>
      <c r="D4566"/>
      <c r="E4566" s="364"/>
      <c r="F4566"/>
    </row>
    <row r="4567" spans="1:6" x14ac:dyDescent="0.25">
      <c r="A4567" s="364"/>
      <c r="B4567"/>
      <c r="C4567"/>
      <c r="D4567"/>
      <c r="E4567" s="364"/>
      <c r="F4567"/>
    </row>
    <row r="4568" spans="1:6" x14ac:dyDescent="0.25">
      <c r="A4568" s="364"/>
      <c r="B4568"/>
      <c r="C4568"/>
      <c r="D4568"/>
      <c r="E4568" s="364"/>
      <c r="F4568"/>
    </row>
    <row r="4569" spans="1:6" x14ac:dyDescent="0.25">
      <c r="A4569" s="364"/>
      <c r="B4569"/>
      <c r="C4569"/>
      <c r="D4569"/>
      <c r="E4569" s="364"/>
      <c r="F4569"/>
    </row>
    <row r="4570" spans="1:6" x14ac:dyDescent="0.25">
      <c r="A4570" s="364"/>
      <c r="B4570"/>
      <c r="C4570"/>
      <c r="D4570"/>
      <c r="E4570" s="364"/>
      <c r="F4570"/>
    </row>
    <row r="4571" spans="1:6" x14ac:dyDescent="0.25">
      <c r="A4571" s="364"/>
      <c r="B4571"/>
      <c r="C4571"/>
      <c r="D4571"/>
      <c r="E4571" s="364"/>
      <c r="F4571"/>
    </row>
    <row r="4572" spans="1:6" x14ac:dyDescent="0.25">
      <c r="A4572" s="364"/>
      <c r="B4572"/>
      <c r="C4572"/>
      <c r="D4572"/>
      <c r="E4572" s="364"/>
      <c r="F4572"/>
    </row>
    <row r="4573" spans="1:6" x14ac:dyDescent="0.25">
      <c r="A4573" s="364"/>
      <c r="B4573"/>
      <c r="C4573"/>
      <c r="D4573"/>
      <c r="E4573" s="364"/>
      <c r="F4573"/>
    </row>
    <row r="4574" spans="1:6" x14ac:dyDescent="0.25">
      <c r="A4574" s="364"/>
      <c r="B4574"/>
      <c r="C4574"/>
      <c r="D4574"/>
      <c r="E4574" s="364"/>
      <c r="F4574"/>
    </row>
    <row r="4575" spans="1:6" x14ac:dyDescent="0.25">
      <c r="A4575" s="364"/>
      <c r="B4575"/>
      <c r="C4575"/>
      <c r="D4575"/>
      <c r="E4575" s="364"/>
      <c r="F4575"/>
    </row>
    <row r="4576" spans="1:6" x14ac:dyDescent="0.25">
      <c r="A4576" s="364"/>
      <c r="B4576"/>
      <c r="C4576"/>
      <c r="D4576"/>
      <c r="E4576" s="364"/>
      <c r="F4576"/>
    </row>
    <row r="4577" spans="1:6" x14ac:dyDescent="0.25">
      <c r="A4577" s="364"/>
      <c r="B4577"/>
      <c r="C4577"/>
      <c r="D4577"/>
      <c r="E4577" s="364"/>
      <c r="F4577"/>
    </row>
    <row r="4578" spans="1:6" x14ac:dyDescent="0.25">
      <c r="A4578" s="364"/>
      <c r="B4578"/>
      <c r="C4578"/>
      <c r="D4578"/>
      <c r="E4578" s="364"/>
      <c r="F4578"/>
    </row>
    <row r="4579" spans="1:6" x14ac:dyDescent="0.25">
      <c r="A4579" s="364"/>
      <c r="B4579"/>
      <c r="C4579"/>
      <c r="D4579"/>
      <c r="E4579" s="364"/>
      <c r="F4579"/>
    </row>
    <row r="4580" spans="1:6" x14ac:dyDescent="0.25">
      <c r="A4580" s="364"/>
      <c r="B4580"/>
      <c r="C4580"/>
      <c r="D4580"/>
      <c r="E4580" s="364"/>
      <c r="F4580"/>
    </row>
    <row r="4581" spans="1:6" x14ac:dyDescent="0.25">
      <c r="A4581" s="364"/>
      <c r="B4581"/>
      <c r="C4581"/>
      <c r="D4581"/>
      <c r="E4581" s="364"/>
      <c r="F4581"/>
    </row>
    <row r="4582" spans="1:6" x14ac:dyDescent="0.25">
      <c r="A4582" s="364"/>
      <c r="B4582"/>
      <c r="C4582"/>
      <c r="D4582"/>
      <c r="E4582" s="364"/>
      <c r="F4582"/>
    </row>
    <row r="4583" spans="1:6" x14ac:dyDescent="0.25">
      <c r="A4583" s="364"/>
      <c r="B4583"/>
      <c r="C4583"/>
      <c r="D4583"/>
      <c r="E4583" s="364"/>
      <c r="F4583"/>
    </row>
    <row r="4584" spans="1:6" x14ac:dyDescent="0.25">
      <c r="A4584" s="364"/>
      <c r="B4584"/>
      <c r="C4584"/>
      <c r="D4584"/>
      <c r="E4584" s="364"/>
      <c r="F4584"/>
    </row>
    <row r="4585" spans="1:6" x14ac:dyDescent="0.25">
      <c r="A4585" s="364"/>
      <c r="B4585"/>
      <c r="C4585"/>
      <c r="D4585"/>
      <c r="E4585" s="364"/>
      <c r="F4585"/>
    </row>
    <row r="4586" spans="1:6" x14ac:dyDescent="0.25">
      <c r="A4586" s="364"/>
      <c r="B4586"/>
      <c r="C4586"/>
      <c r="D4586"/>
      <c r="E4586" s="364"/>
      <c r="F4586"/>
    </row>
    <row r="4587" spans="1:6" x14ac:dyDescent="0.25">
      <c r="A4587" s="364"/>
      <c r="B4587"/>
      <c r="C4587"/>
      <c r="D4587"/>
      <c r="E4587" s="364"/>
      <c r="F4587"/>
    </row>
    <row r="4588" spans="1:6" x14ac:dyDescent="0.25">
      <c r="A4588" s="364"/>
      <c r="B4588"/>
      <c r="C4588"/>
      <c r="D4588"/>
      <c r="E4588" s="364"/>
      <c r="F4588"/>
    </row>
    <row r="4589" spans="1:6" x14ac:dyDescent="0.25">
      <c r="A4589" s="364"/>
      <c r="B4589"/>
      <c r="C4589"/>
      <c r="D4589"/>
      <c r="E4589" s="364"/>
      <c r="F4589"/>
    </row>
    <row r="4590" spans="1:6" x14ac:dyDescent="0.25">
      <c r="A4590" s="364"/>
      <c r="B4590"/>
      <c r="C4590"/>
      <c r="D4590"/>
      <c r="E4590" s="364"/>
      <c r="F4590"/>
    </row>
    <row r="4591" spans="1:6" x14ac:dyDescent="0.25">
      <c r="A4591" s="364"/>
      <c r="B4591"/>
      <c r="C4591"/>
      <c r="D4591"/>
      <c r="E4591" s="364"/>
      <c r="F4591"/>
    </row>
    <row r="4592" spans="1:6" x14ac:dyDescent="0.25">
      <c r="A4592" s="364"/>
      <c r="B4592"/>
      <c r="C4592"/>
      <c r="D4592"/>
      <c r="E4592" s="364"/>
      <c r="F4592"/>
    </row>
    <row r="4593" spans="1:6" x14ac:dyDescent="0.25">
      <c r="A4593" s="364"/>
      <c r="B4593"/>
      <c r="C4593"/>
      <c r="D4593"/>
      <c r="E4593" s="364"/>
      <c r="F4593"/>
    </row>
    <row r="4594" spans="1:6" x14ac:dyDescent="0.25">
      <c r="A4594" s="364"/>
      <c r="B4594"/>
      <c r="C4594"/>
      <c r="D4594"/>
      <c r="E4594" s="364"/>
      <c r="F4594"/>
    </row>
    <row r="4595" spans="1:6" x14ac:dyDescent="0.25">
      <c r="A4595" s="364"/>
      <c r="B4595"/>
      <c r="C4595"/>
      <c r="D4595"/>
      <c r="E4595" s="364"/>
      <c r="F4595"/>
    </row>
    <row r="4596" spans="1:6" x14ac:dyDescent="0.25">
      <c r="A4596" s="364"/>
      <c r="B4596"/>
      <c r="C4596"/>
      <c r="D4596"/>
      <c r="E4596" s="364"/>
      <c r="F4596"/>
    </row>
    <row r="4597" spans="1:6" x14ac:dyDescent="0.25">
      <c r="A4597" s="364"/>
      <c r="B4597"/>
      <c r="C4597"/>
      <c r="D4597"/>
      <c r="E4597" s="364"/>
      <c r="F4597"/>
    </row>
    <row r="4598" spans="1:6" x14ac:dyDescent="0.25">
      <c r="A4598" s="364"/>
      <c r="B4598"/>
      <c r="C4598"/>
      <c r="D4598"/>
      <c r="E4598" s="364"/>
      <c r="F4598"/>
    </row>
    <row r="4599" spans="1:6" x14ac:dyDescent="0.25">
      <c r="A4599" s="364"/>
      <c r="B4599"/>
      <c r="C4599"/>
      <c r="D4599"/>
      <c r="E4599" s="364"/>
      <c r="F4599"/>
    </row>
    <row r="4600" spans="1:6" x14ac:dyDescent="0.25">
      <c r="A4600" s="364"/>
      <c r="B4600"/>
      <c r="C4600"/>
      <c r="D4600"/>
      <c r="E4600" s="364"/>
      <c r="F4600"/>
    </row>
    <row r="4601" spans="1:6" x14ac:dyDescent="0.25">
      <c r="A4601" s="364"/>
      <c r="B4601"/>
      <c r="C4601"/>
      <c r="D4601"/>
      <c r="E4601" s="364"/>
      <c r="F4601"/>
    </row>
    <row r="4602" spans="1:6" x14ac:dyDescent="0.25">
      <c r="A4602" s="364"/>
      <c r="B4602"/>
      <c r="C4602"/>
      <c r="D4602"/>
      <c r="E4602" s="364"/>
      <c r="F4602"/>
    </row>
    <row r="4603" spans="1:6" x14ac:dyDescent="0.25">
      <c r="A4603" s="364"/>
      <c r="B4603"/>
      <c r="C4603"/>
      <c r="D4603"/>
      <c r="E4603" s="364"/>
      <c r="F4603"/>
    </row>
    <row r="4604" spans="1:6" x14ac:dyDescent="0.25">
      <c r="A4604" s="364"/>
      <c r="B4604"/>
      <c r="C4604"/>
      <c r="D4604"/>
      <c r="E4604" s="364"/>
      <c r="F4604"/>
    </row>
    <row r="4605" spans="1:6" x14ac:dyDescent="0.25">
      <c r="A4605" s="364"/>
      <c r="B4605"/>
      <c r="C4605"/>
      <c r="D4605"/>
      <c r="E4605" s="364"/>
      <c r="F4605"/>
    </row>
    <row r="4606" spans="1:6" x14ac:dyDescent="0.25">
      <c r="A4606" s="364"/>
      <c r="B4606"/>
      <c r="C4606"/>
      <c r="D4606"/>
      <c r="E4606" s="364"/>
      <c r="F4606"/>
    </row>
    <row r="4607" spans="1:6" x14ac:dyDescent="0.25">
      <c r="A4607" s="364"/>
      <c r="B4607"/>
      <c r="C4607"/>
      <c r="D4607"/>
      <c r="E4607" s="364"/>
      <c r="F4607"/>
    </row>
    <row r="4608" spans="1:6" x14ac:dyDescent="0.25">
      <c r="A4608" s="364"/>
      <c r="B4608"/>
      <c r="C4608"/>
      <c r="D4608"/>
      <c r="E4608" s="364"/>
      <c r="F4608"/>
    </row>
    <row r="4609" spans="1:6" x14ac:dyDescent="0.25">
      <c r="A4609" s="364"/>
      <c r="B4609"/>
      <c r="C4609"/>
      <c r="D4609"/>
      <c r="E4609" s="364"/>
      <c r="F4609"/>
    </row>
    <row r="4610" spans="1:6" x14ac:dyDescent="0.25">
      <c r="A4610" s="364"/>
      <c r="B4610"/>
      <c r="C4610"/>
      <c r="D4610"/>
      <c r="E4610" s="364"/>
      <c r="F4610"/>
    </row>
    <row r="4611" spans="1:6" x14ac:dyDescent="0.25">
      <c r="A4611" s="364"/>
      <c r="B4611"/>
      <c r="C4611"/>
      <c r="D4611"/>
      <c r="E4611" s="364"/>
      <c r="F4611"/>
    </row>
    <row r="4612" spans="1:6" x14ac:dyDescent="0.25">
      <c r="A4612" s="364"/>
      <c r="B4612"/>
      <c r="C4612"/>
      <c r="D4612"/>
      <c r="E4612" s="364"/>
      <c r="F4612"/>
    </row>
    <row r="4613" spans="1:6" x14ac:dyDescent="0.25">
      <c r="A4613" s="364"/>
      <c r="B4613"/>
      <c r="C4613"/>
      <c r="D4613"/>
      <c r="E4613" s="364"/>
      <c r="F4613"/>
    </row>
    <row r="4614" spans="1:6" x14ac:dyDescent="0.25">
      <c r="A4614" s="364"/>
      <c r="B4614"/>
      <c r="C4614"/>
      <c r="D4614"/>
      <c r="E4614" s="364"/>
      <c r="F4614"/>
    </row>
    <row r="4615" spans="1:6" x14ac:dyDescent="0.25">
      <c r="A4615" s="364"/>
      <c r="B4615"/>
      <c r="C4615"/>
      <c r="D4615"/>
      <c r="E4615" s="364"/>
      <c r="F4615"/>
    </row>
    <row r="4616" spans="1:6" x14ac:dyDescent="0.25">
      <c r="A4616" s="364"/>
      <c r="B4616"/>
      <c r="C4616"/>
      <c r="D4616"/>
      <c r="E4616" s="364"/>
      <c r="F4616"/>
    </row>
    <row r="4617" spans="1:6" x14ac:dyDescent="0.25">
      <c r="A4617" s="364"/>
      <c r="B4617"/>
      <c r="C4617"/>
      <c r="D4617"/>
      <c r="E4617" s="364"/>
      <c r="F4617"/>
    </row>
    <row r="4618" spans="1:6" x14ac:dyDescent="0.25">
      <c r="A4618" s="364"/>
      <c r="B4618"/>
      <c r="C4618"/>
      <c r="D4618"/>
      <c r="E4618" s="364"/>
      <c r="F4618"/>
    </row>
    <row r="4619" spans="1:6" x14ac:dyDescent="0.25">
      <c r="A4619" s="364"/>
      <c r="B4619"/>
      <c r="C4619"/>
      <c r="D4619"/>
      <c r="E4619" s="364"/>
      <c r="F4619"/>
    </row>
    <row r="4620" spans="1:6" x14ac:dyDescent="0.25">
      <c r="A4620" s="364"/>
      <c r="B4620"/>
      <c r="C4620"/>
      <c r="D4620"/>
      <c r="E4620" s="364"/>
      <c r="F4620"/>
    </row>
    <row r="4621" spans="1:6" x14ac:dyDescent="0.25">
      <c r="A4621" s="364"/>
      <c r="B4621"/>
      <c r="C4621"/>
      <c r="D4621"/>
      <c r="E4621" s="364"/>
      <c r="F4621"/>
    </row>
    <row r="4622" spans="1:6" x14ac:dyDescent="0.25">
      <c r="A4622" s="364"/>
      <c r="B4622"/>
      <c r="C4622"/>
      <c r="D4622"/>
      <c r="E4622" s="364"/>
      <c r="F4622"/>
    </row>
    <row r="4623" spans="1:6" x14ac:dyDescent="0.25">
      <c r="A4623" s="364"/>
      <c r="B4623"/>
      <c r="C4623"/>
      <c r="D4623"/>
      <c r="E4623" s="364"/>
      <c r="F4623"/>
    </row>
    <row r="4624" spans="1:6" x14ac:dyDescent="0.25">
      <c r="A4624" s="364"/>
      <c r="B4624"/>
      <c r="C4624"/>
      <c r="D4624"/>
      <c r="E4624" s="364"/>
      <c r="F4624"/>
    </row>
    <row r="4625" spans="1:6" x14ac:dyDescent="0.25">
      <c r="A4625" s="364"/>
      <c r="B4625"/>
      <c r="C4625"/>
      <c r="D4625"/>
      <c r="E4625" s="364"/>
      <c r="F4625"/>
    </row>
    <row r="4626" spans="1:6" x14ac:dyDescent="0.25">
      <c r="A4626" s="364"/>
      <c r="B4626"/>
      <c r="C4626"/>
      <c r="D4626"/>
      <c r="E4626" s="364"/>
      <c r="F4626"/>
    </row>
    <row r="4627" spans="1:6" x14ac:dyDescent="0.25">
      <c r="A4627" s="364"/>
      <c r="B4627"/>
      <c r="C4627"/>
      <c r="D4627"/>
      <c r="E4627" s="364"/>
      <c r="F4627"/>
    </row>
    <row r="4628" spans="1:6" x14ac:dyDescent="0.25">
      <c r="A4628" s="364"/>
      <c r="B4628"/>
      <c r="C4628"/>
      <c r="D4628"/>
      <c r="E4628" s="364"/>
      <c r="F4628"/>
    </row>
    <row r="4629" spans="1:6" x14ac:dyDescent="0.25">
      <c r="A4629" s="364"/>
      <c r="B4629"/>
      <c r="C4629"/>
      <c r="D4629"/>
      <c r="E4629" s="364"/>
      <c r="F4629"/>
    </row>
    <row r="4630" spans="1:6" x14ac:dyDescent="0.25">
      <c r="A4630" s="364"/>
      <c r="B4630"/>
      <c r="C4630"/>
      <c r="D4630"/>
      <c r="E4630" s="364"/>
      <c r="F4630"/>
    </row>
    <row r="4631" spans="1:6" x14ac:dyDescent="0.25">
      <c r="A4631" s="364"/>
      <c r="B4631"/>
      <c r="C4631"/>
      <c r="D4631"/>
      <c r="E4631" s="364"/>
      <c r="F4631"/>
    </row>
    <row r="4632" spans="1:6" x14ac:dyDescent="0.25">
      <c r="A4632" s="364"/>
      <c r="B4632"/>
      <c r="C4632"/>
      <c r="D4632"/>
      <c r="E4632" s="364"/>
      <c r="F4632"/>
    </row>
    <row r="4633" spans="1:6" x14ac:dyDescent="0.25">
      <c r="A4633" s="364"/>
      <c r="B4633"/>
      <c r="C4633"/>
      <c r="D4633"/>
      <c r="E4633" s="364"/>
      <c r="F4633"/>
    </row>
    <row r="4634" spans="1:6" x14ac:dyDescent="0.25">
      <c r="A4634" s="364"/>
      <c r="B4634"/>
      <c r="C4634"/>
      <c r="D4634"/>
      <c r="E4634" s="364"/>
      <c r="F4634"/>
    </row>
    <row r="4635" spans="1:6" x14ac:dyDescent="0.25">
      <c r="A4635" s="364"/>
      <c r="B4635"/>
      <c r="C4635"/>
      <c r="D4635"/>
      <c r="E4635" s="364"/>
      <c r="F4635"/>
    </row>
    <row r="4636" spans="1:6" x14ac:dyDescent="0.25">
      <c r="A4636" s="364"/>
      <c r="B4636"/>
      <c r="C4636"/>
      <c r="D4636"/>
      <c r="E4636" s="364"/>
      <c r="F4636"/>
    </row>
    <row r="4637" spans="1:6" x14ac:dyDescent="0.25">
      <c r="A4637" s="364"/>
      <c r="B4637"/>
      <c r="C4637"/>
      <c r="D4637"/>
      <c r="E4637" s="364"/>
      <c r="F4637"/>
    </row>
    <row r="4638" spans="1:6" x14ac:dyDescent="0.25">
      <c r="A4638" s="364"/>
      <c r="B4638"/>
      <c r="C4638"/>
      <c r="D4638"/>
      <c r="E4638" s="364"/>
      <c r="F4638"/>
    </row>
    <row r="4639" spans="1:6" x14ac:dyDescent="0.25">
      <c r="A4639" s="364"/>
      <c r="B4639"/>
      <c r="C4639"/>
      <c r="D4639"/>
      <c r="E4639" s="364"/>
      <c r="F4639"/>
    </row>
    <row r="4640" spans="1:6" x14ac:dyDescent="0.25">
      <c r="A4640" s="364"/>
      <c r="B4640"/>
      <c r="C4640"/>
      <c r="D4640"/>
      <c r="E4640" s="364"/>
      <c r="F4640"/>
    </row>
    <row r="4641" spans="1:6" x14ac:dyDescent="0.25">
      <c r="A4641" s="364"/>
      <c r="B4641"/>
      <c r="C4641"/>
      <c r="D4641"/>
      <c r="E4641" s="364"/>
      <c r="F4641"/>
    </row>
    <row r="4642" spans="1:6" x14ac:dyDescent="0.25">
      <c r="A4642" s="364"/>
      <c r="B4642"/>
      <c r="C4642"/>
      <c r="D4642"/>
      <c r="E4642" s="364"/>
      <c r="F4642"/>
    </row>
    <row r="4643" spans="1:6" x14ac:dyDescent="0.25">
      <c r="A4643" s="364"/>
      <c r="B4643"/>
      <c r="C4643"/>
      <c r="D4643"/>
      <c r="E4643" s="364"/>
      <c r="F4643"/>
    </row>
    <row r="4644" spans="1:6" x14ac:dyDescent="0.25">
      <c r="A4644" s="364"/>
      <c r="B4644"/>
      <c r="C4644"/>
      <c r="D4644"/>
      <c r="E4644" s="364"/>
      <c r="F4644"/>
    </row>
    <row r="4645" spans="1:6" x14ac:dyDescent="0.25">
      <c r="A4645" s="364"/>
      <c r="B4645"/>
      <c r="C4645"/>
      <c r="D4645"/>
      <c r="E4645" s="364"/>
      <c r="F4645"/>
    </row>
    <row r="4646" spans="1:6" x14ac:dyDescent="0.25">
      <c r="A4646" s="364"/>
      <c r="B4646"/>
      <c r="C4646"/>
      <c r="D4646"/>
      <c r="E4646" s="364"/>
      <c r="F4646"/>
    </row>
    <row r="4647" spans="1:6" x14ac:dyDescent="0.25">
      <c r="A4647" s="364"/>
      <c r="B4647"/>
      <c r="C4647"/>
      <c r="D4647"/>
      <c r="E4647" s="364"/>
      <c r="F4647"/>
    </row>
    <row r="4648" spans="1:6" x14ac:dyDescent="0.25">
      <c r="A4648" s="364"/>
      <c r="B4648"/>
      <c r="C4648"/>
      <c r="D4648"/>
      <c r="E4648" s="364"/>
      <c r="F4648"/>
    </row>
    <row r="4649" spans="1:6" x14ac:dyDescent="0.25">
      <c r="A4649" s="364"/>
      <c r="B4649"/>
      <c r="C4649"/>
      <c r="D4649"/>
      <c r="E4649" s="364"/>
      <c r="F4649"/>
    </row>
    <row r="4650" spans="1:6" x14ac:dyDescent="0.25">
      <c r="A4650" s="364"/>
      <c r="B4650"/>
      <c r="C4650"/>
      <c r="D4650"/>
      <c r="E4650" s="364"/>
      <c r="F4650"/>
    </row>
    <row r="4651" spans="1:6" x14ac:dyDescent="0.25">
      <c r="A4651" s="364"/>
      <c r="B4651"/>
      <c r="C4651"/>
      <c r="D4651"/>
      <c r="E4651" s="364"/>
      <c r="F4651"/>
    </row>
    <row r="4652" spans="1:6" x14ac:dyDescent="0.25">
      <c r="A4652" s="364"/>
      <c r="B4652"/>
      <c r="C4652"/>
      <c r="D4652"/>
      <c r="E4652" s="364"/>
      <c r="F4652"/>
    </row>
    <row r="4653" spans="1:6" x14ac:dyDescent="0.25">
      <c r="A4653" s="364"/>
      <c r="B4653"/>
      <c r="C4653"/>
      <c r="D4653"/>
      <c r="E4653" s="364"/>
      <c r="F4653"/>
    </row>
    <row r="4654" spans="1:6" x14ac:dyDescent="0.25">
      <c r="A4654" s="364"/>
      <c r="B4654"/>
      <c r="C4654"/>
      <c r="D4654"/>
      <c r="E4654" s="364"/>
      <c r="F4654"/>
    </row>
    <row r="4655" spans="1:6" x14ac:dyDescent="0.25">
      <c r="A4655" s="364"/>
      <c r="B4655"/>
      <c r="C4655"/>
      <c r="D4655"/>
      <c r="E4655" s="364"/>
      <c r="F4655"/>
    </row>
    <row r="4656" spans="1:6" x14ac:dyDescent="0.25">
      <c r="A4656" s="364"/>
      <c r="B4656"/>
      <c r="C4656"/>
      <c r="D4656"/>
      <c r="E4656" s="364"/>
      <c r="F4656"/>
    </row>
    <row r="4657" spans="1:6" x14ac:dyDescent="0.25">
      <c r="A4657" s="364"/>
      <c r="B4657"/>
      <c r="C4657"/>
      <c r="D4657"/>
      <c r="E4657" s="364"/>
      <c r="F4657"/>
    </row>
    <row r="4658" spans="1:6" x14ac:dyDescent="0.25">
      <c r="A4658" s="364"/>
      <c r="B4658"/>
      <c r="C4658"/>
      <c r="D4658"/>
      <c r="E4658" s="364"/>
      <c r="F4658"/>
    </row>
    <row r="4659" spans="1:6" x14ac:dyDescent="0.25">
      <c r="A4659" s="364"/>
      <c r="B4659"/>
      <c r="C4659"/>
      <c r="D4659"/>
      <c r="E4659" s="364"/>
      <c r="F4659"/>
    </row>
    <row r="4660" spans="1:6" x14ac:dyDescent="0.25">
      <c r="A4660" s="364"/>
      <c r="B4660"/>
      <c r="C4660"/>
      <c r="D4660"/>
      <c r="E4660" s="364"/>
      <c r="F4660"/>
    </row>
    <row r="4661" spans="1:6" x14ac:dyDescent="0.25">
      <c r="A4661" s="364"/>
      <c r="B4661"/>
      <c r="C4661"/>
      <c r="D4661"/>
      <c r="E4661" s="364"/>
      <c r="F4661"/>
    </row>
    <row r="4662" spans="1:6" x14ac:dyDescent="0.25">
      <c r="A4662" s="364"/>
      <c r="B4662"/>
      <c r="C4662"/>
      <c r="D4662"/>
      <c r="E4662" s="364"/>
      <c r="F4662"/>
    </row>
    <row r="4663" spans="1:6" x14ac:dyDescent="0.25">
      <c r="A4663" s="364"/>
      <c r="B4663"/>
      <c r="C4663"/>
      <c r="D4663"/>
      <c r="E4663" s="364"/>
      <c r="F4663"/>
    </row>
    <row r="4664" spans="1:6" x14ac:dyDescent="0.25">
      <c r="A4664" s="364"/>
      <c r="B4664"/>
      <c r="C4664"/>
      <c r="D4664"/>
      <c r="E4664" s="364"/>
      <c r="F4664"/>
    </row>
    <row r="4665" spans="1:6" x14ac:dyDescent="0.25">
      <c r="A4665" s="364"/>
      <c r="B4665"/>
      <c r="C4665"/>
      <c r="D4665"/>
      <c r="E4665" s="364"/>
      <c r="F4665"/>
    </row>
    <row r="4666" spans="1:6" x14ac:dyDescent="0.25">
      <c r="A4666" s="364"/>
      <c r="B4666"/>
      <c r="C4666"/>
      <c r="D4666"/>
      <c r="E4666" s="364"/>
      <c r="F4666"/>
    </row>
    <row r="4667" spans="1:6" x14ac:dyDescent="0.25">
      <c r="A4667" s="364"/>
      <c r="B4667"/>
      <c r="C4667"/>
      <c r="D4667"/>
      <c r="E4667" s="364"/>
      <c r="F4667"/>
    </row>
    <row r="4668" spans="1:6" x14ac:dyDescent="0.25">
      <c r="A4668" s="364"/>
      <c r="B4668"/>
      <c r="C4668"/>
      <c r="D4668"/>
      <c r="E4668" s="364"/>
      <c r="F4668"/>
    </row>
    <row r="4669" spans="1:6" x14ac:dyDescent="0.25">
      <c r="A4669" s="364"/>
      <c r="B4669"/>
      <c r="C4669"/>
      <c r="D4669"/>
      <c r="E4669" s="364"/>
      <c r="F4669"/>
    </row>
    <row r="4670" spans="1:6" x14ac:dyDescent="0.25">
      <c r="A4670" s="364"/>
      <c r="B4670"/>
      <c r="C4670"/>
      <c r="D4670"/>
      <c r="E4670" s="364"/>
      <c r="F4670"/>
    </row>
    <row r="4671" spans="1:6" x14ac:dyDescent="0.25">
      <c r="A4671" s="364"/>
      <c r="B4671"/>
      <c r="C4671"/>
      <c r="D4671"/>
      <c r="E4671" s="364"/>
      <c r="F4671"/>
    </row>
    <row r="4672" spans="1:6" x14ac:dyDescent="0.25">
      <c r="A4672" s="364"/>
      <c r="B4672"/>
      <c r="C4672"/>
      <c r="D4672"/>
      <c r="E4672" s="364"/>
      <c r="F4672"/>
    </row>
    <row r="4673" spans="1:6" x14ac:dyDescent="0.25">
      <c r="A4673" s="364"/>
      <c r="B4673"/>
      <c r="C4673"/>
      <c r="D4673"/>
      <c r="E4673" s="364"/>
      <c r="F4673"/>
    </row>
    <row r="4674" spans="1:6" x14ac:dyDescent="0.25">
      <c r="A4674" s="364"/>
      <c r="B4674"/>
      <c r="C4674"/>
      <c r="D4674"/>
      <c r="E4674" s="364"/>
      <c r="F4674"/>
    </row>
    <row r="4675" spans="1:6" x14ac:dyDescent="0.25">
      <c r="A4675" s="364"/>
      <c r="B4675"/>
      <c r="C4675"/>
      <c r="D4675"/>
      <c r="E4675" s="364"/>
      <c r="F4675"/>
    </row>
    <row r="4676" spans="1:6" x14ac:dyDescent="0.25">
      <c r="A4676" s="364"/>
      <c r="B4676"/>
      <c r="C4676"/>
      <c r="D4676"/>
      <c r="E4676" s="364"/>
      <c r="F4676"/>
    </row>
    <row r="4677" spans="1:6" x14ac:dyDescent="0.25">
      <c r="A4677" s="364"/>
      <c r="B4677"/>
      <c r="C4677"/>
      <c r="D4677"/>
      <c r="E4677" s="364"/>
      <c r="F4677"/>
    </row>
    <row r="4678" spans="1:6" x14ac:dyDescent="0.25">
      <c r="A4678" s="364"/>
      <c r="B4678"/>
      <c r="C4678"/>
      <c r="D4678"/>
      <c r="E4678" s="364"/>
      <c r="F4678"/>
    </row>
    <row r="4679" spans="1:6" x14ac:dyDescent="0.25">
      <c r="A4679" s="364"/>
      <c r="B4679"/>
      <c r="C4679"/>
      <c r="D4679"/>
      <c r="E4679" s="364"/>
      <c r="F4679"/>
    </row>
    <row r="4680" spans="1:6" x14ac:dyDescent="0.25">
      <c r="A4680" s="364"/>
      <c r="B4680"/>
      <c r="C4680"/>
      <c r="D4680"/>
      <c r="E4680" s="364"/>
      <c r="F4680"/>
    </row>
    <row r="4681" spans="1:6" x14ac:dyDescent="0.25">
      <c r="A4681" s="364"/>
      <c r="B4681"/>
      <c r="C4681"/>
      <c r="D4681"/>
      <c r="E4681" s="364"/>
      <c r="F4681"/>
    </row>
    <row r="4682" spans="1:6" x14ac:dyDescent="0.25">
      <c r="A4682" s="364"/>
      <c r="B4682"/>
      <c r="C4682"/>
      <c r="D4682"/>
      <c r="E4682" s="364"/>
      <c r="F4682"/>
    </row>
    <row r="4683" spans="1:6" x14ac:dyDescent="0.25">
      <c r="A4683" s="364"/>
      <c r="B4683"/>
      <c r="C4683"/>
      <c r="D4683"/>
      <c r="E4683" s="364"/>
      <c r="F4683"/>
    </row>
    <row r="4684" spans="1:6" x14ac:dyDescent="0.25">
      <c r="A4684" s="364"/>
      <c r="B4684"/>
      <c r="C4684"/>
      <c r="D4684"/>
      <c r="E4684" s="364"/>
      <c r="F4684"/>
    </row>
    <row r="4685" spans="1:6" x14ac:dyDescent="0.25">
      <c r="A4685" s="364"/>
      <c r="B4685"/>
      <c r="C4685"/>
      <c r="D4685"/>
      <c r="E4685" s="364"/>
      <c r="F4685"/>
    </row>
    <row r="4686" spans="1:6" x14ac:dyDescent="0.25">
      <c r="A4686" s="364"/>
      <c r="B4686"/>
      <c r="C4686"/>
      <c r="D4686"/>
      <c r="E4686" s="364"/>
      <c r="F4686"/>
    </row>
    <row r="4687" spans="1:6" x14ac:dyDescent="0.25">
      <c r="A4687" s="364"/>
      <c r="B4687"/>
      <c r="C4687"/>
      <c r="D4687"/>
      <c r="E4687" s="364"/>
      <c r="F4687"/>
    </row>
    <row r="4688" spans="1:6" x14ac:dyDescent="0.25">
      <c r="A4688" s="364"/>
      <c r="B4688"/>
      <c r="C4688"/>
      <c r="D4688"/>
      <c r="E4688" s="364"/>
      <c r="F4688"/>
    </row>
    <row r="4689" spans="1:6" x14ac:dyDescent="0.25">
      <c r="A4689" s="364"/>
      <c r="B4689"/>
      <c r="C4689"/>
      <c r="D4689"/>
      <c r="E4689" s="364"/>
      <c r="F4689"/>
    </row>
    <row r="4690" spans="1:6" x14ac:dyDescent="0.25">
      <c r="A4690" s="364"/>
      <c r="B4690"/>
      <c r="C4690"/>
      <c r="D4690"/>
      <c r="E4690" s="364"/>
      <c r="F4690"/>
    </row>
    <row r="4691" spans="1:6" x14ac:dyDescent="0.25">
      <c r="A4691" s="364"/>
      <c r="B4691"/>
      <c r="C4691"/>
      <c r="D4691"/>
      <c r="E4691" s="364"/>
      <c r="F4691"/>
    </row>
    <row r="4692" spans="1:6" x14ac:dyDescent="0.25">
      <c r="A4692" s="364"/>
      <c r="B4692"/>
      <c r="C4692"/>
      <c r="D4692"/>
      <c r="E4692" s="364"/>
      <c r="F4692"/>
    </row>
    <row r="4693" spans="1:6" x14ac:dyDescent="0.25">
      <c r="A4693" s="364"/>
      <c r="B4693"/>
      <c r="C4693"/>
      <c r="D4693"/>
      <c r="E4693" s="364"/>
      <c r="F4693"/>
    </row>
    <row r="4694" spans="1:6" x14ac:dyDescent="0.25">
      <c r="A4694" s="364"/>
      <c r="B4694"/>
      <c r="C4694"/>
      <c r="D4694"/>
      <c r="E4694" s="364"/>
      <c r="F4694"/>
    </row>
    <row r="4695" spans="1:6" x14ac:dyDescent="0.25">
      <c r="A4695" s="364"/>
      <c r="B4695"/>
      <c r="C4695"/>
      <c r="D4695"/>
      <c r="E4695" s="364"/>
      <c r="F4695"/>
    </row>
    <row r="4696" spans="1:6" x14ac:dyDescent="0.25">
      <c r="A4696" s="364"/>
      <c r="B4696"/>
      <c r="C4696"/>
      <c r="D4696"/>
      <c r="E4696" s="364"/>
      <c r="F4696"/>
    </row>
    <row r="4697" spans="1:6" x14ac:dyDescent="0.25">
      <c r="A4697" s="364"/>
      <c r="B4697"/>
      <c r="C4697"/>
      <c r="D4697"/>
      <c r="E4697" s="364"/>
      <c r="F4697"/>
    </row>
    <row r="4698" spans="1:6" x14ac:dyDescent="0.25">
      <c r="A4698" s="364"/>
      <c r="B4698"/>
      <c r="C4698"/>
      <c r="D4698"/>
      <c r="E4698" s="364"/>
      <c r="F4698"/>
    </row>
    <row r="4699" spans="1:6" x14ac:dyDescent="0.25">
      <c r="A4699" s="364"/>
      <c r="B4699"/>
      <c r="C4699"/>
      <c r="D4699"/>
      <c r="E4699" s="364"/>
      <c r="F4699"/>
    </row>
    <row r="4700" spans="1:6" x14ac:dyDescent="0.25">
      <c r="A4700" s="364"/>
      <c r="B4700"/>
      <c r="C4700"/>
      <c r="D4700"/>
      <c r="E4700" s="364"/>
      <c r="F4700"/>
    </row>
    <row r="4701" spans="1:6" x14ac:dyDescent="0.25">
      <c r="A4701" s="364"/>
      <c r="B4701"/>
      <c r="C4701"/>
      <c r="D4701"/>
      <c r="E4701" s="364"/>
      <c r="F4701"/>
    </row>
    <row r="4702" spans="1:6" x14ac:dyDescent="0.25">
      <c r="A4702" s="364"/>
      <c r="B4702"/>
      <c r="C4702"/>
      <c r="D4702"/>
      <c r="E4702" s="364"/>
      <c r="F4702"/>
    </row>
    <row r="4703" spans="1:6" x14ac:dyDescent="0.25">
      <c r="A4703" s="364"/>
      <c r="B4703"/>
      <c r="C4703"/>
      <c r="D4703"/>
      <c r="E4703" s="364"/>
      <c r="F4703"/>
    </row>
    <row r="4704" spans="1:6" x14ac:dyDescent="0.25">
      <c r="A4704" s="364"/>
      <c r="B4704"/>
      <c r="C4704"/>
      <c r="D4704"/>
      <c r="E4704" s="364"/>
      <c r="F4704"/>
    </row>
    <row r="4705" spans="1:6" x14ac:dyDescent="0.25">
      <c r="A4705" s="364"/>
      <c r="B4705"/>
      <c r="C4705"/>
      <c r="D4705"/>
      <c r="E4705" s="364"/>
      <c r="F4705"/>
    </row>
    <row r="4706" spans="1:6" x14ac:dyDescent="0.25">
      <c r="A4706" s="364"/>
      <c r="B4706"/>
      <c r="C4706"/>
      <c r="D4706"/>
      <c r="E4706" s="364"/>
      <c r="F4706"/>
    </row>
    <row r="4707" spans="1:6" x14ac:dyDescent="0.25">
      <c r="A4707" s="364"/>
      <c r="B4707"/>
      <c r="C4707"/>
      <c r="D4707"/>
      <c r="E4707" s="364"/>
      <c r="F4707"/>
    </row>
    <row r="4708" spans="1:6" x14ac:dyDescent="0.25">
      <c r="A4708" s="364"/>
      <c r="B4708"/>
      <c r="C4708"/>
      <c r="D4708"/>
      <c r="E4708" s="364"/>
      <c r="F4708"/>
    </row>
    <row r="4709" spans="1:6" x14ac:dyDescent="0.25">
      <c r="A4709" s="364"/>
      <c r="B4709"/>
      <c r="C4709"/>
      <c r="D4709"/>
      <c r="E4709" s="364"/>
      <c r="F4709"/>
    </row>
    <row r="4710" spans="1:6" x14ac:dyDescent="0.25">
      <c r="A4710" s="364"/>
      <c r="B4710"/>
      <c r="C4710"/>
      <c r="D4710"/>
      <c r="E4710" s="364"/>
      <c r="F4710"/>
    </row>
    <row r="4711" spans="1:6" x14ac:dyDescent="0.25">
      <c r="A4711" s="364"/>
      <c r="B4711"/>
      <c r="C4711"/>
      <c r="D4711"/>
      <c r="E4711" s="364"/>
      <c r="F4711"/>
    </row>
    <row r="4712" spans="1:6" x14ac:dyDescent="0.25">
      <c r="A4712" s="364"/>
      <c r="B4712"/>
      <c r="C4712"/>
      <c r="D4712"/>
      <c r="E4712" s="364"/>
      <c r="F4712"/>
    </row>
    <row r="4713" spans="1:6" x14ac:dyDescent="0.25">
      <c r="A4713" s="364"/>
      <c r="B4713"/>
      <c r="C4713"/>
      <c r="D4713"/>
      <c r="E4713" s="364"/>
      <c r="F4713"/>
    </row>
    <row r="4714" spans="1:6" x14ac:dyDescent="0.25">
      <c r="A4714" s="364"/>
      <c r="B4714"/>
      <c r="C4714"/>
      <c r="D4714"/>
      <c r="E4714" s="364"/>
      <c r="F4714"/>
    </row>
    <row r="4715" spans="1:6" x14ac:dyDescent="0.25">
      <c r="A4715" s="364"/>
      <c r="B4715"/>
      <c r="C4715"/>
      <c r="D4715"/>
      <c r="E4715" s="364"/>
      <c r="F4715"/>
    </row>
    <row r="4716" spans="1:6" x14ac:dyDescent="0.25">
      <c r="A4716" s="364"/>
      <c r="B4716"/>
      <c r="C4716"/>
      <c r="D4716"/>
      <c r="E4716" s="364"/>
      <c r="F4716"/>
    </row>
    <row r="4717" spans="1:6" x14ac:dyDescent="0.25">
      <c r="A4717" s="364"/>
      <c r="B4717"/>
      <c r="C4717"/>
      <c r="D4717"/>
      <c r="E4717" s="364"/>
      <c r="F4717"/>
    </row>
    <row r="4718" spans="1:6" x14ac:dyDescent="0.25">
      <c r="A4718" s="364"/>
      <c r="B4718"/>
      <c r="C4718"/>
      <c r="D4718"/>
      <c r="E4718" s="364"/>
      <c r="F4718"/>
    </row>
    <row r="4719" spans="1:6" x14ac:dyDescent="0.25">
      <c r="A4719" s="364"/>
      <c r="B4719"/>
      <c r="C4719"/>
      <c r="D4719"/>
      <c r="E4719" s="364"/>
      <c r="F4719"/>
    </row>
    <row r="4720" spans="1:6" x14ac:dyDescent="0.25">
      <c r="A4720" s="364"/>
      <c r="B4720"/>
      <c r="C4720"/>
      <c r="D4720"/>
      <c r="E4720" s="364"/>
      <c r="F4720"/>
    </row>
    <row r="4721" spans="1:6" x14ac:dyDescent="0.25">
      <c r="A4721" s="364"/>
      <c r="B4721"/>
      <c r="C4721"/>
      <c r="D4721"/>
      <c r="E4721" s="364"/>
      <c r="F4721"/>
    </row>
    <row r="4722" spans="1:6" x14ac:dyDescent="0.25">
      <c r="A4722" s="364"/>
      <c r="B4722"/>
      <c r="C4722"/>
      <c r="D4722"/>
      <c r="E4722" s="364"/>
      <c r="F4722"/>
    </row>
    <row r="4723" spans="1:6" x14ac:dyDescent="0.25">
      <c r="A4723" s="364"/>
      <c r="B4723"/>
      <c r="C4723"/>
      <c r="D4723"/>
      <c r="E4723" s="364"/>
      <c r="F4723"/>
    </row>
    <row r="4724" spans="1:6" x14ac:dyDescent="0.25">
      <c r="A4724" s="364"/>
      <c r="B4724"/>
      <c r="C4724"/>
      <c r="D4724"/>
      <c r="E4724" s="364"/>
      <c r="F4724"/>
    </row>
    <row r="4725" spans="1:6" x14ac:dyDescent="0.25">
      <c r="A4725" s="364"/>
      <c r="B4725"/>
      <c r="C4725"/>
      <c r="D4725"/>
      <c r="E4725" s="364"/>
      <c r="F4725"/>
    </row>
    <row r="4726" spans="1:6" x14ac:dyDescent="0.25">
      <c r="A4726" s="364"/>
      <c r="B4726"/>
      <c r="C4726"/>
      <c r="D4726"/>
      <c r="E4726" s="364"/>
      <c r="F4726"/>
    </row>
    <row r="4727" spans="1:6" x14ac:dyDescent="0.25">
      <c r="A4727" s="364"/>
      <c r="B4727"/>
      <c r="C4727"/>
      <c r="D4727"/>
      <c r="E4727" s="364"/>
      <c r="F4727"/>
    </row>
    <row r="4728" spans="1:6" x14ac:dyDescent="0.25">
      <c r="A4728" s="364"/>
      <c r="B4728"/>
      <c r="C4728"/>
      <c r="D4728"/>
      <c r="E4728" s="364"/>
      <c r="F4728"/>
    </row>
    <row r="4729" spans="1:6" x14ac:dyDescent="0.25">
      <c r="A4729" s="364"/>
      <c r="B4729"/>
      <c r="C4729"/>
      <c r="D4729"/>
      <c r="E4729" s="364"/>
      <c r="F4729"/>
    </row>
    <row r="4730" spans="1:6" x14ac:dyDescent="0.25">
      <c r="A4730" s="364"/>
      <c r="B4730"/>
      <c r="C4730"/>
      <c r="D4730"/>
      <c r="E4730" s="364"/>
      <c r="F4730"/>
    </row>
    <row r="4731" spans="1:6" x14ac:dyDescent="0.25">
      <c r="A4731" s="364"/>
      <c r="B4731"/>
      <c r="C4731"/>
      <c r="D4731"/>
      <c r="E4731" s="364"/>
      <c r="F4731"/>
    </row>
    <row r="4732" spans="1:6" x14ac:dyDescent="0.25">
      <c r="A4732" s="364"/>
      <c r="B4732"/>
      <c r="C4732"/>
      <c r="D4732"/>
      <c r="E4732" s="364"/>
      <c r="F4732"/>
    </row>
    <row r="4733" spans="1:6" x14ac:dyDescent="0.25">
      <c r="A4733" s="364"/>
      <c r="B4733"/>
      <c r="C4733"/>
      <c r="D4733"/>
      <c r="E4733" s="364"/>
      <c r="F4733"/>
    </row>
    <row r="4734" spans="1:6" x14ac:dyDescent="0.25">
      <c r="A4734" s="364"/>
      <c r="B4734"/>
      <c r="C4734"/>
      <c r="D4734"/>
      <c r="E4734" s="364"/>
      <c r="F4734"/>
    </row>
    <row r="4735" spans="1:6" x14ac:dyDescent="0.25">
      <c r="A4735" s="364"/>
      <c r="B4735"/>
      <c r="C4735"/>
      <c r="D4735"/>
      <c r="E4735" s="364"/>
      <c r="F4735"/>
    </row>
    <row r="4736" spans="1:6" x14ac:dyDescent="0.25">
      <c r="A4736" s="364"/>
      <c r="B4736"/>
      <c r="C4736"/>
      <c r="D4736"/>
      <c r="E4736" s="364"/>
      <c r="F4736"/>
    </row>
    <row r="4737" spans="1:6" x14ac:dyDescent="0.25">
      <c r="A4737" s="364"/>
      <c r="B4737"/>
      <c r="C4737"/>
      <c r="D4737"/>
      <c r="E4737" s="364"/>
      <c r="F4737"/>
    </row>
    <row r="4738" spans="1:6" x14ac:dyDescent="0.25">
      <c r="A4738" s="364"/>
      <c r="B4738"/>
      <c r="C4738"/>
      <c r="D4738"/>
      <c r="E4738" s="364"/>
      <c r="F4738"/>
    </row>
    <row r="4739" spans="1:6" x14ac:dyDescent="0.25">
      <c r="A4739" s="364"/>
      <c r="B4739"/>
      <c r="C4739"/>
      <c r="D4739"/>
      <c r="E4739" s="364"/>
      <c r="F4739"/>
    </row>
    <row r="4740" spans="1:6" x14ac:dyDescent="0.25">
      <c r="A4740" s="364"/>
      <c r="B4740"/>
      <c r="C4740"/>
      <c r="D4740"/>
      <c r="E4740" s="364"/>
      <c r="F4740"/>
    </row>
    <row r="4741" spans="1:6" x14ac:dyDescent="0.25">
      <c r="A4741" s="364"/>
      <c r="B4741"/>
      <c r="C4741"/>
      <c r="D4741"/>
      <c r="E4741" s="364"/>
      <c r="F4741"/>
    </row>
    <row r="4742" spans="1:6" x14ac:dyDescent="0.25">
      <c r="A4742" s="364"/>
      <c r="B4742"/>
      <c r="C4742"/>
      <c r="D4742"/>
      <c r="E4742" s="364"/>
      <c r="F4742"/>
    </row>
    <row r="4743" spans="1:6" x14ac:dyDescent="0.25">
      <c r="A4743" s="364"/>
      <c r="B4743"/>
      <c r="C4743"/>
      <c r="D4743"/>
      <c r="E4743" s="364"/>
      <c r="F4743"/>
    </row>
    <row r="4744" spans="1:6" x14ac:dyDescent="0.25">
      <c r="A4744" s="364"/>
      <c r="B4744"/>
      <c r="C4744"/>
      <c r="D4744"/>
      <c r="E4744" s="364"/>
      <c r="F4744"/>
    </row>
    <row r="4745" spans="1:6" x14ac:dyDescent="0.25">
      <c r="A4745" s="364"/>
      <c r="B4745"/>
      <c r="C4745"/>
      <c r="D4745"/>
      <c r="E4745" s="364"/>
      <c r="F4745"/>
    </row>
    <row r="4746" spans="1:6" x14ac:dyDescent="0.25">
      <c r="A4746" s="364"/>
      <c r="B4746"/>
      <c r="C4746"/>
      <c r="D4746"/>
      <c r="E4746" s="364"/>
      <c r="F4746"/>
    </row>
    <row r="4747" spans="1:6" x14ac:dyDescent="0.25">
      <c r="A4747" s="364"/>
      <c r="B4747"/>
      <c r="C4747"/>
      <c r="D4747"/>
      <c r="E4747" s="364"/>
      <c r="F4747"/>
    </row>
    <row r="4748" spans="1:6" x14ac:dyDescent="0.25">
      <c r="A4748" s="364"/>
      <c r="B4748"/>
      <c r="C4748"/>
      <c r="D4748"/>
      <c r="E4748" s="364"/>
      <c r="F4748"/>
    </row>
    <row r="4749" spans="1:6" x14ac:dyDescent="0.25">
      <c r="A4749" s="364"/>
      <c r="B4749"/>
      <c r="C4749"/>
      <c r="D4749"/>
      <c r="E4749" s="364"/>
      <c r="F4749"/>
    </row>
    <row r="4750" spans="1:6" x14ac:dyDescent="0.25">
      <c r="A4750" s="364"/>
      <c r="B4750"/>
      <c r="C4750"/>
      <c r="D4750"/>
      <c r="E4750" s="364"/>
      <c r="F4750"/>
    </row>
    <row r="4751" spans="1:6" x14ac:dyDescent="0.25">
      <c r="A4751" s="364"/>
      <c r="B4751"/>
      <c r="C4751"/>
      <c r="D4751"/>
      <c r="E4751" s="364"/>
      <c r="F4751"/>
    </row>
    <row r="4752" spans="1:6" x14ac:dyDescent="0.25">
      <c r="A4752" s="364"/>
      <c r="B4752"/>
      <c r="C4752"/>
      <c r="D4752"/>
      <c r="E4752" s="364"/>
      <c r="F4752"/>
    </row>
    <row r="4753" spans="1:6" x14ac:dyDescent="0.25">
      <c r="A4753" s="364"/>
      <c r="B4753"/>
      <c r="C4753"/>
      <c r="D4753"/>
      <c r="E4753" s="364"/>
      <c r="F4753"/>
    </row>
    <row r="4754" spans="1:6" x14ac:dyDescent="0.25">
      <c r="A4754" s="364"/>
      <c r="B4754"/>
      <c r="C4754"/>
      <c r="D4754"/>
      <c r="E4754" s="364"/>
      <c r="F4754"/>
    </row>
    <row r="4755" spans="1:6" x14ac:dyDescent="0.25">
      <c r="A4755" s="364"/>
      <c r="B4755"/>
      <c r="C4755"/>
      <c r="D4755"/>
      <c r="E4755" s="364"/>
      <c r="F4755"/>
    </row>
    <row r="4756" spans="1:6" x14ac:dyDescent="0.25">
      <c r="A4756" s="364"/>
      <c r="B4756"/>
      <c r="C4756"/>
      <c r="D4756"/>
      <c r="E4756" s="364"/>
      <c r="F4756"/>
    </row>
    <row r="4757" spans="1:6" x14ac:dyDescent="0.25">
      <c r="A4757" s="364"/>
      <c r="B4757"/>
      <c r="C4757"/>
      <c r="D4757"/>
      <c r="E4757" s="364"/>
      <c r="F4757"/>
    </row>
    <row r="4758" spans="1:6" x14ac:dyDescent="0.25">
      <c r="A4758" s="364"/>
      <c r="B4758"/>
      <c r="C4758"/>
      <c r="D4758"/>
      <c r="E4758" s="364"/>
      <c r="F4758"/>
    </row>
    <row r="4759" spans="1:6" x14ac:dyDescent="0.25">
      <c r="A4759" s="364"/>
      <c r="B4759"/>
      <c r="C4759"/>
      <c r="D4759"/>
      <c r="E4759" s="364"/>
      <c r="F4759"/>
    </row>
    <row r="4760" spans="1:6" x14ac:dyDescent="0.25">
      <c r="A4760" s="364"/>
      <c r="B4760"/>
      <c r="C4760"/>
      <c r="D4760"/>
      <c r="E4760" s="364"/>
      <c r="F4760"/>
    </row>
    <row r="4761" spans="1:6" x14ac:dyDescent="0.25">
      <c r="A4761" s="364"/>
      <c r="B4761"/>
      <c r="C4761"/>
      <c r="D4761"/>
      <c r="E4761" s="364"/>
      <c r="F4761"/>
    </row>
    <row r="4762" spans="1:6" x14ac:dyDescent="0.25">
      <c r="A4762" s="364"/>
      <c r="B4762"/>
      <c r="C4762"/>
      <c r="D4762"/>
      <c r="E4762" s="364"/>
      <c r="F4762"/>
    </row>
    <row r="4763" spans="1:6" x14ac:dyDescent="0.25">
      <c r="A4763" s="364"/>
      <c r="B4763"/>
      <c r="C4763"/>
      <c r="D4763"/>
      <c r="E4763" s="364"/>
      <c r="F4763"/>
    </row>
    <row r="4764" spans="1:6" x14ac:dyDescent="0.25">
      <c r="A4764" s="364"/>
      <c r="B4764"/>
      <c r="C4764"/>
      <c r="D4764"/>
      <c r="E4764" s="364"/>
      <c r="F4764"/>
    </row>
    <row r="4765" spans="1:6" x14ac:dyDescent="0.25">
      <c r="A4765" s="364"/>
      <c r="B4765"/>
      <c r="C4765"/>
      <c r="D4765"/>
      <c r="E4765" s="364"/>
      <c r="F4765"/>
    </row>
    <row r="4766" spans="1:6" x14ac:dyDescent="0.25">
      <c r="A4766" s="364"/>
      <c r="B4766"/>
      <c r="C4766"/>
      <c r="D4766"/>
      <c r="E4766" s="364"/>
      <c r="F4766"/>
    </row>
    <row r="4767" spans="1:6" x14ac:dyDescent="0.25">
      <c r="A4767" s="364"/>
      <c r="B4767"/>
      <c r="C4767"/>
      <c r="D4767"/>
      <c r="E4767" s="364"/>
      <c r="F4767"/>
    </row>
    <row r="4768" spans="1:6" x14ac:dyDescent="0.25">
      <c r="A4768" s="364"/>
      <c r="B4768"/>
      <c r="C4768"/>
      <c r="D4768"/>
      <c r="E4768" s="364"/>
      <c r="F4768"/>
    </row>
    <row r="4769" spans="1:6" x14ac:dyDescent="0.25">
      <c r="A4769" s="364"/>
      <c r="B4769"/>
      <c r="C4769"/>
      <c r="D4769"/>
      <c r="E4769" s="364"/>
      <c r="F4769"/>
    </row>
    <row r="4770" spans="1:6" x14ac:dyDescent="0.25">
      <c r="A4770" s="364"/>
      <c r="B4770"/>
      <c r="C4770"/>
      <c r="D4770"/>
      <c r="E4770" s="364"/>
      <c r="F4770"/>
    </row>
    <row r="4771" spans="1:6" x14ac:dyDescent="0.25">
      <c r="A4771" s="364"/>
      <c r="B4771"/>
      <c r="C4771"/>
      <c r="D4771"/>
      <c r="E4771" s="364"/>
      <c r="F4771"/>
    </row>
    <row r="4772" spans="1:6" x14ac:dyDescent="0.25">
      <c r="A4772" s="364"/>
      <c r="B4772"/>
      <c r="C4772"/>
      <c r="D4772"/>
      <c r="E4772" s="364"/>
      <c r="F4772"/>
    </row>
    <row r="4773" spans="1:6" x14ac:dyDescent="0.25">
      <c r="A4773" s="364"/>
      <c r="B4773"/>
      <c r="C4773"/>
      <c r="D4773"/>
      <c r="E4773" s="364"/>
      <c r="F4773"/>
    </row>
    <row r="4774" spans="1:6" x14ac:dyDescent="0.25">
      <c r="A4774" s="364"/>
      <c r="B4774"/>
      <c r="C4774"/>
      <c r="D4774"/>
      <c r="E4774" s="364"/>
      <c r="F4774"/>
    </row>
    <row r="4775" spans="1:6" x14ac:dyDescent="0.25">
      <c r="A4775" s="364"/>
      <c r="B4775"/>
      <c r="C4775"/>
      <c r="D4775"/>
      <c r="E4775" s="364"/>
      <c r="F4775"/>
    </row>
    <row r="4776" spans="1:6" x14ac:dyDescent="0.25">
      <c r="A4776" s="364"/>
      <c r="B4776"/>
      <c r="C4776"/>
      <c r="D4776"/>
      <c r="E4776" s="364"/>
      <c r="F4776"/>
    </row>
    <row r="4777" spans="1:6" x14ac:dyDescent="0.25">
      <c r="A4777" s="364"/>
      <c r="B4777"/>
      <c r="C4777"/>
      <c r="D4777"/>
      <c r="E4777" s="364"/>
      <c r="F4777"/>
    </row>
    <row r="4778" spans="1:6" x14ac:dyDescent="0.25">
      <c r="A4778" s="364"/>
      <c r="B4778"/>
      <c r="C4778"/>
      <c r="D4778"/>
      <c r="E4778" s="364"/>
      <c r="F4778"/>
    </row>
    <row r="4779" spans="1:6" x14ac:dyDescent="0.25">
      <c r="A4779" s="364"/>
      <c r="B4779"/>
      <c r="C4779"/>
      <c r="D4779"/>
      <c r="E4779" s="364"/>
      <c r="F4779"/>
    </row>
    <row r="4780" spans="1:6" x14ac:dyDescent="0.25">
      <c r="A4780" s="364"/>
      <c r="B4780"/>
      <c r="C4780"/>
      <c r="D4780"/>
      <c r="E4780" s="364"/>
      <c r="F4780"/>
    </row>
    <row r="4781" spans="1:6" x14ac:dyDescent="0.25">
      <c r="A4781" s="364"/>
      <c r="B4781"/>
      <c r="C4781"/>
      <c r="D4781"/>
      <c r="E4781" s="364"/>
      <c r="F4781"/>
    </row>
    <row r="4782" spans="1:6" x14ac:dyDescent="0.25">
      <c r="A4782" s="364"/>
      <c r="B4782"/>
      <c r="C4782"/>
      <c r="D4782"/>
      <c r="E4782" s="364"/>
      <c r="F4782"/>
    </row>
    <row r="4783" spans="1:6" x14ac:dyDescent="0.25">
      <c r="A4783" s="364"/>
      <c r="B4783"/>
      <c r="C4783"/>
      <c r="D4783"/>
      <c r="E4783" s="364"/>
      <c r="F4783"/>
    </row>
    <row r="4784" spans="1:6" x14ac:dyDescent="0.25">
      <c r="A4784" s="364"/>
      <c r="B4784"/>
      <c r="C4784"/>
      <c r="D4784"/>
      <c r="E4784" s="364"/>
      <c r="F4784"/>
    </row>
    <row r="4785" spans="1:6" x14ac:dyDescent="0.25">
      <c r="A4785" s="364"/>
      <c r="B4785"/>
      <c r="C4785"/>
      <c r="D4785"/>
      <c r="E4785" s="364"/>
      <c r="F4785"/>
    </row>
    <row r="4786" spans="1:6" x14ac:dyDescent="0.25">
      <c r="A4786" s="364"/>
      <c r="B4786"/>
      <c r="C4786"/>
      <c r="D4786"/>
      <c r="E4786" s="364"/>
      <c r="F4786"/>
    </row>
    <row r="4787" spans="1:6" x14ac:dyDescent="0.25">
      <c r="A4787" s="364"/>
      <c r="B4787"/>
      <c r="C4787"/>
      <c r="D4787"/>
      <c r="E4787" s="364"/>
      <c r="F4787"/>
    </row>
    <row r="4788" spans="1:6" x14ac:dyDescent="0.25">
      <c r="A4788" s="364"/>
      <c r="B4788"/>
      <c r="C4788"/>
      <c r="D4788"/>
      <c r="E4788" s="364"/>
      <c r="F4788"/>
    </row>
    <row r="4789" spans="1:6" x14ac:dyDescent="0.25">
      <c r="A4789" s="364"/>
      <c r="B4789"/>
      <c r="C4789"/>
      <c r="D4789"/>
      <c r="E4789" s="364"/>
      <c r="F4789"/>
    </row>
    <row r="4790" spans="1:6" x14ac:dyDescent="0.25">
      <c r="A4790" s="364"/>
      <c r="B4790"/>
      <c r="C4790"/>
      <c r="D4790"/>
      <c r="E4790" s="364"/>
      <c r="F4790"/>
    </row>
    <row r="4791" spans="1:6" x14ac:dyDescent="0.25">
      <c r="A4791" s="364"/>
      <c r="B4791"/>
      <c r="C4791"/>
      <c r="D4791"/>
      <c r="E4791" s="364"/>
      <c r="F4791"/>
    </row>
    <row r="4792" spans="1:6" x14ac:dyDescent="0.25">
      <c r="A4792" s="364"/>
      <c r="B4792"/>
      <c r="C4792"/>
      <c r="D4792"/>
      <c r="E4792" s="364"/>
      <c r="F4792"/>
    </row>
    <row r="4793" spans="1:6" x14ac:dyDescent="0.25">
      <c r="A4793" s="364"/>
      <c r="B4793"/>
      <c r="C4793"/>
      <c r="D4793"/>
      <c r="E4793" s="364"/>
      <c r="F4793"/>
    </row>
    <row r="4794" spans="1:6" x14ac:dyDescent="0.25">
      <c r="A4794" s="364"/>
      <c r="B4794"/>
      <c r="C4794"/>
      <c r="D4794"/>
      <c r="E4794" s="364"/>
      <c r="F4794"/>
    </row>
    <row r="4795" spans="1:6" x14ac:dyDescent="0.25">
      <c r="A4795" s="364"/>
      <c r="B4795"/>
      <c r="C4795"/>
      <c r="D4795"/>
      <c r="E4795" s="364"/>
      <c r="F4795"/>
    </row>
    <row r="4796" spans="1:6" x14ac:dyDescent="0.25">
      <c r="A4796" s="364"/>
      <c r="B4796"/>
      <c r="C4796"/>
      <c r="D4796"/>
      <c r="E4796" s="364"/>
      <c r="F4796"/>
    </row>
    <row r="4797" spans="1:6" x14ac:dyDescent="0.25">
      <c r="A4797" s="364"/>
      <c r="B4797"/>
      <c r="C4797"/>
      <c r="D4797"/>
      <c r="E4797" s="364"/>
      <c r="F4797"/>
    </row>
    <row r="4798" spans="1:6" x14ac:dyDescent="0.25">
      <c r="A4798" s="364"/>
      <c r="B4798"/>
      <c r="C4798"/>
      <c r="D4798"/>
      <c r="E4798" s="364"/>
      <c r="F4798"/>
    </row>
    <row r="4799" spans="1:6" x14ac:dyDescent="0.25">
      <c r="A4799" s="364"/>
      <c r="B4799"/>
      <c r="C4799"/>
      <c r="D4799"/>
      <c r="E4799" s="364"/>
      <c r="F4799"/>
    </row>
    <row r="4800" spans="1:6" x14ac:dyDescent="0.25">
      <c r="A4800" s="364"/>
      <c r="B4800"/>
      <c r="C4800"/>
      <c r="D4800"/>
      <c r="E4800" s="364"/>
      <c r="F4800"/>
    </row>
    <row r="4801" spans="1:6" x14ac:dyDescent="0.25">
      <c r="A4801" s="364"/>
      <c r="B4801"/>
      <c r="C4801"/>
      <c r="D4801"/>
      <c r="E4801" s="364"/>
      <c r="F4801"/>
    </row>
    <row r="4802" spans="1:6" x14ac:dyDescent="0.25">
      <c r="A4802" s="364"/>
      <c r="B4802"/>
      <c r="C4802"/>
      <c r="D4802"/>
      <c r="E4802" s="364"/>
      <c r="F4802"/>
    </row>
    <row r="4803" spans="1:6" x14ac:dyDescent="0.25">
      <c r="A4803" s="364"/>
      <c r="B4803"/>
      <c r="C4803"/>
      <c r="D4803"/>
      <c r="E4803" s="364"/>
      <c r="F4803"/>
    </row>
    <row r="4804" spans="1:6" x14ac:dyDescent="0.25">
      <c r="A4804" s="364"/>
      <c r="B4804"/>
      <c r="C4804"/>
      <c r="D4804"/>
      <c r="E4804" s="364"/>
      <c r="F4804"/>
    </row>
    <row r="4805" spans="1:6" x14ac:dyDescent="0.25">
      <c r="A4805" s="364"/>
      <c r="B4805"/>
      <c r="C4805"/>
      <c r="D4805"/>
      <c r="E4805" s="364"/>
      <c r="F4805"/>
    </row>
    <row r="4806" spans="1:6" x14ac:dyDescent="0.25">
      <c r="A4806" s="364"/>
      <c r="B4806"/>
      <c r="C4806"/>
      <c r="D4806"/>
      <c r="E4806" s="364"/>
      <c r="F4806"/>
    </row>
    <row r="4807" spans="1:6" x14ac:dyDescent="0.25">
      <c r="A4807" s="364"/>
      <c r="B4807"/>
      <c r="C4807"/>
      <c r="D4807"/>
      <c r="E4807" s="364"/>
      <c r="F4807"/>
    </row>
    <row r="4808" spans="1:6" x14ac:dyDescent="0.25">
      <c r="A4808" s="364"/>
      <c r="B4808"/>
      <c r="C4808"/>
      <c r="D4808"/>
      <c r="E4808" s="364"/>
      <c r="F4808"/>
    </row>
    <row r="4809" spans="1:6" x14ac:dyDescent="0.25">
      <c r="A4809" s="364"/>
      <c r="B4809"/>
      <c r="C4809"/>
      <c r="D4809"/>
      <c r="E4809" s="364"/>
      <c r="F4809"/>
    </row>
    <row r="4810" spans="1:6" x14ac:dyDescent="0.25">
      <c r="A4810" s="364"/>
      <c r="B4810"/>
      <c r="C4810"/>
      <c r="D4810"/>
      <c r="E4810" s="364"/>
      <c r="F4810"/>
    </row>
    <row r="4811" spans="1:6" x14ac:dyDescent="0.25">
      <c r="A4811" s="364"/>
      <c r="B4811"/>
      <c r="C4811"/>
      <c r="D4811"/>
      <c r="E4811" s="364"/>
      <c r="F4811"/>
    </row>
    <row r="4812" spans="1:6" x14ac:dyDescent="0.25">
      <c r="A4812" s="364"/>
      <c r="B4812"/>
      <c r="C4812"/>
      <c r="D4812"/>
      <c r="E4812" s="364"/>
      <c r="F4812"/>
    </row>
    <row r="4813" spans="1:6" x14ac:dyDescent="0.25">
      <c r="A4813" s="364"/>
      <c r="B4813"/>
      <c r="C4813"/>
      <c r="D4813"/>
      <c r="E4813" s="364"/>
      <c r="F4813"/>
    </row>
    <row r="4814" spans="1:6" x14ac:dyDescent="0.25">
      <c r="A4814" s="364"/>
      <c r="B4814"/>
      <c r="C4814"/>
      <c r="D4814"/>
      <c r="E4814" s="364"/>
      <c r="F4814"/>
    </row>
    <row r="4815" spans="1:6" x14ac:dyDescent="0.25">
      <c r="A4815" s="364"/>
      <c r="B4815"/>
      <c r="C4815"/>
      <c r="D4815"/>
      <c r="E4815" s="364"/>
      <c r="F4815"/>
    </row>
    <row r="4816" spans="1:6" x14ac:dyDescent="0.25">
      <c r="A4816" s="364"/>
      <c r="B4816"/>
      <c r="C4816"/>
      <c r="D4816"/>
      <c r="E4816" s="364"/>
      <c r="F4816"/>
    </row>
    <row r="4817" spans="1:6" x14ac:dyDescent="0.25">
      <c r="A4817" s="364"/>
      <c r="B4817"/>
      <c r="C4817"/>
      <c r="D4817"/>
      <c r="E4817" s="364"/>
      <c r="F4817"/>
    </row>
    <row r="4818" spans="1:6" x14ac:dyDescent="0.25">
      <c r="A4818" s="364"/>
      <c r="B4818"/>
      <c r="C4818"/>
      <c r="D4818"/>
      <c r="E4818" s="364"/>
      <c r="F4818"/>
    </row>
    <row r="4819" spans="1:6" x14ac:dyDescent="0.25">
      <c r="A4819" s="364"/>
      <c r="B4819"/>
      <c r="C4819"/>
      <c r="D4819"/>
      <c r="E4819" s="364"/>
      <c r="F4819"/>
    </row>
    <row r="4820" spans="1:6" x14ac:dyDescent="0.25">
      <c r="A4820" s="364"/>
      <c r="B4820"/>
      <c r="C4820"/>
      <c r="D4820"/>
      <c r="E4820" s="364"/>
      <c r="F4820"/>
    </row>
    <row r="4821" spans="1:6" x14ac:dyDescent="0.25">
      <c r="A4821" s="364"/>
      <c r="B4821"/>
      <c r="C4821"/>
      <c r="D4821"/>
      <c r="E4821" s="364"/>
      <c r="F4821"/>
    </row>
    <row r="4822" spans="1:6" x14ac:dyDescent="0.25">
      <c r="A4822" s="364"/>
      <c r="B4822"/>
      <c r="C4822"/>
      <c r="D4822"/>
      <c r="E4822" s="364"/>
      <c r="F4822"/>
    </row>
    <row r="4823" spans="1:6" x14ac:dyDescent="0.25">
      <c r="A4823" s="364"/>
      <c r="B4823"/>
      <c r="C4823"/>
      <c r="D4823"/>
      <c r="E4823" s="364"/>
      <c r="F4823"/>
    </row>
    <row r="4824" spans="1:6" x14ac:dyDescent="0.25">
      <c r="A4824" s="364"/>
      <c r="B4824"/>
      <c r="C4824"/>
      <c r="D4824"/>
      <c r="E4824" s="364"/>
      <c r="F4824"/>
    </row>
    <row r="4825" spans="1:6" x14ac:dyDescent="0.25">
      <c r="A4825" s="364"/>
      <c r="B4825"/>
      <c r="C4825"/>
      <c r="D4825"/>
      <c r="E4825" s="364"/>
      <c r="F4825"/>
    </row>
    <row r="4826" spans="1:6" x14ac:dyDescent="0.25">
      <c r="A4826" s="364"/>
      <c r="B4826"/>
      <c r="C4826"/>
      <c r="D4826"/>
      <c r="E4826" s="364"/>
      <c r="F4826"/>
    </row>
    <row r="4827" spans="1:6" x14ac:dyDescent="0.25">
      <c r="A4827" s="364"/>
      <c r="B4827"/>
      <c r="C4827"/>
      <c r="D4827"/>
      <c r="E4827" s="364"/>
      <c r="F4827"/>
    </row>
    <row r="4828" spans="1:6" x14ac:dyDescent="0.25">
      <c r="A4828" s="364"/>
      <c r="B4828"/>
      <c r="C4828"/>
      <c r="D4828"/>
      <c r="E4828" s="364"/>
      <c r="F4828"/>
    </row>
    <row r="4829" spans="1:6" x14ac:dyDescent="0.25">
      <c r="A4829" s="364"/>
      <c r="B4829"/>
      <c r="C4829"/>
      <c r="D4829"/>
      <c r="E4829" s="364"/>
      <c r="F4829"/>
    </row>
    <row r="4830" spans="1:6" x14ac:dyDescent="0.25">
      <c r="A4830" s="364"/>
      <c r="B4830"/>
      <c r="C4830"/>
      <c r="D4830"/>
      <c r="E4830" s="364"/>
      <c r="F4830"/>
    </row>
    <row r="4831" spans="1:6" x14ac:dyDescent="0.25">
      <c r="A4831" s="364"/>
      <c r="B4831"/>
      <c r="C4831"/>
      <c r="D4831"/>
      <c r="E4831" s="364"/>
      <c r="F4831"/>
    </row>
    <row r="4832" spans="1:6" x14ac:dyDescent="0.25">
      <c r="A4832" s="364"/>
      <c r="B4832"/>
      <c r="C4832"/>
      <c r="D4832"/>
      <c r="E4832" s="364"/>
      <c r="F4832"/>
    </row>
    <row r="4833" spans="1:6" x14ac:dyDescent="0.25">
      <c r="A4833" s="364"/>
      <c r="B4833"/>
      <c r="C4833"/>
      <c r="D4833"/>
      <c r="E4833" s="364"/>
      <c r="F4833"/>
    </row>
    <row r="4834" spans="1:6" x14ac:dyDescent="0.25">
      <c r="A4834" s="364"/>
      <c r="B4834"/>
      <c r="C4834"/>
      <c r="D4834"/>
      <c r="E4834" s="364"/>
      <c r="F4834"/>
    </row>
    <row r="4835" spans="1:6" x14ac:dyDescent="0.25">
      <c r="A4835" s="364"/>
      <c r="B4835"/>
      <c r="C4835"/>
      <c r="D4835"/>
      <c r="E4835" s="364"/>
      <c r="F4835"/>
    </row>
    <row r="4836" spans="1:6" x14ac:dyDescent="0.25">
      <c r="A4836" s="364"/>
      <c r="B4836"/>
      <c r="C4836"/>
      <c r="D4836"/>
      <c r="E4836" s="364"/>
      <c r="F4836"/>
    </row>
    <row r="4837" spans="1:6" x14ac:dyDescent="0.25">
      <c r="A4837" s="364"/>
      <c r="B4837"/>
      <c r="C4837"/>
      <c r="D4837"/>
      <c r="E4837" s="364"/>
      <c r="F4837"/>
    </row>
    <row r="4838" spans="1:6" x14ac:dyDescent="0.25">
      <c r="A4838" s="364"/>
      <c r="B4838"/>
      <c r="C4838"/>
      <c r="D4838"/>
      <c r="E4838" s="364"/>
      <c r="F4838"/>
    </row>
    <row r="4839" spans="1:6" x14ac:dyDescent="0.25">
      <c r="A4839" s="364"/>
      <c r="B4839"/>
      <c r="C4839"/>
      <c r="D4839"/>
      <c r="E4839" s="364"/>
      <c r="F4839"/>
    </row>
    <row r="4840" spans="1:6" x14ac:dyDescent="0.25">
      <c r="A4840" s="364"/>
      <c r="B4840"/>
      <c r="C4840"/>
      <c r="D4840"/>
      <c r="E4840" s="364"/>
      <c r="F4840"/>
    </row>
    <row r="4841" spans="1:6" x14ac:dyDescent="0.25">
      <c r="A4841" s="364"/>
      <c r="B4841"/>
      <c r="C4841"/>
      <c r="D4841"/>
      <c r="E4841" s="364"/>
      <c r="F4841"/>
    </row>
    <row r="4842" spans="1:6" x14ac:dyDescent="0.25">
      <c r="A4842" s="364"/>
      <c r="B4842"/>
      <c r="C4842"/>
      <c r="D4842"/>
      <c r="E4842" s="364"/>
      <c r="F4842"/>
    </row>
    <row r="4843" spans="1:6" x14ac:dyDescent="0.25">
      <c r="A4843" s="364"/>
      <c r="B4843"/>
      <c r="C4843"/>
      <c r="D4843"/>
      <c r="E4843" s="364"/>
      <c r="F4843"/>
    </row>
    <row r="4844" spans="1:6" x14ac:dyDescent="0.25">
      <c r="A4844" s="364"/>
      <c r="B4844"/>
      <c r="C4844"/>
      <c r="D4844"/>
      <c r="E4844" s="364"/>
      <c r="F4844"/>
    </row>
    <row r="4845" spans="1:6" x14ac:dyDescent="0.25">
      <c r="A4845" s="364"/>
      <c r="B4845"/>
      <c r="C4845"/>
      <c r="D4845"/>
      <c r="E4845" s="364"/>
      <c r="F4845"/>
    </row>
    <row r="4846" spans="1:6" x14ac:dyDescent="0.25">
      <c r="A4846" s="364"/>
      <c r="B4846"/>
      <c r="C4846"/>
      <c r="D4846"/>
      <c r="E4846" s="364"/>
      <c r="F4846"/>
    </row>
    <row r="4847" spans="1:6" x14ac:dyDescent="0.25">
      <c r="A4847" s="364"/>
      <c r="B4847"/>
      <c r="C4847"/>
      <c r="D4847"/>
      <c r="E4847" s="364"/>
      <c r="F4847"/>
    </row>
    <row r="4848" spans="1:6" x14ac:dyDescent="0.25">
      <c r="A4848" s="364"/>
      <c r="B4848"/>
      <c r="C4848"/>
      <c r="D4848"/>
      <c r="E4848" s="364"/>
      <c r="F4848"/>
    </row>
    <row r="4849" spans="1:6" x14ac:dyDescent="0.25">
      <c r="A4849" s="364"/>
      <c r="B4849"/>
      <c r="C4849"/>
      <c r="D4849"/>
      <c r="E4849" s="364"/>
      <c r="F4849"/>
    </row>
    <row r="4850" spans="1:6" x14ac:dyDescent="0.25">
      <c r="A4850" s="364"/>
      <c r="B4850"/>
      <c r="C4850"/>
      <c r="D4850"/>
      <c r="E4850" s="364"/>
      <c r="F4850"/>
    </row>
    <row r="4851" spans="1:6" x14ac:dyDescent="0.25">
      <c r="A4851" s="364"/>
      <c r="B4851"/>
      <c r="C4851"/>
      <c r="D4851"/>
      <c r="E4851" s="364"/>
      <c r="F4851"/>
    </row>
    <row r="4852" spans="1:6" x14ac:dyDescent="0.25">
      <c r="A4852" s="364"/>
      <c r="B4852"/>
      <c r="C4852"/>
      <c r="D4852"/>
      <c r="E4852" s="364"/>
      <c r="F4852"/>
    </row>
    <row r="4853" spans="1:6" x14ac:dyDescent="0.25">
      <c r="A4853" s="364"/>
      <c r="B4853"/>
      <c r="C4853"/>
      <c r="D4853"/>
      <c r="E4853" s="364"/>
      <c r="F4853"/>
    </row>
    <row r="4854" spans="1:6" x14ac:dyDescent="0.25">
      <c r="A4854" s="364"/>
      <c r="B4854"/>
      <c r="C4854"/>
      <c r="D4854"/>
      <c r="E4854" s="364"/>
      <c r="F4854"/>
    </row>
    <row r="4855" spans="1:6" x14ac:dyDescent="0.25">
      <c r="A4855" s="364"/>
      <c r="B4855"/>
      <c r="C4855"/>
      <c r="D4855"/>
      <c r="E4855" s="364"/>
      <c r="F4855"/>
    </row>
    <row r="4856" spans="1:6" x14ac:dyDescent="0.25">
      <c r="A4856" s="364"/>
      <c r="B4856"/>
      <c r="C4856"/>
      <c r="D4856"/>
      <c r="E4856" s="364"/>
      <c r="F4856"/>
    </row>
    <row r="4857" spans="1:6" x14ac:dyDescent="0.25">
      <c r="A4857" s="364"/>
      <c r="B4857"/>
      <c r="C4857"/>
      <c r="D4857"/>
      <c r="E4857" s="364"/>
      <c r="F4857"/>
    </row>
    <row r="4858" spans="1:6" x14ac:dyDescent="0.25">
      <c r="A4858" s="364"/>
      <c r="B4858"/>
      <c r="C4858"/>
      <c r="D4858"/>
      <c r="E4858" s="364"/>
      <c r="F4858"/>
    </row>
    <row r="4859" spans="1:6" x14ac:dyDescent="0.25">
      <c r="A4859" s="364"/>
      <c r="B4859"/>
      <c r="C4859"/>
      <c r="D4859"/>
      <c r="E4859" s="364"/>
      <c r="F4859"/>
    </row>
    <row r="4860" spans="1:6" x14ac:dyDescent="0.25">
      <c r="A4860" s="364"/>
      <c r="B4860"/>
      <c r="C4860"/>
      <c r="D4860"/>
      <c r="E4860" s="364"/>
      <c r="F4860"/>
    </row>
    <row r="4861" spans="1:6" x14ac:dyDescent="0.25">
      <c r="A4861" s="364"/>
      <c r="B4861"/>
      <c r="C4861"/>
      <c r="D4861"/>
      <c r="E4861" s="364"/>
      <c r="F4861"/>
    </row>
    <row r="4862" spans="1:6" x14ac:dyDescent="0.25">
      <c r="A4862" s="364"/>
      <c r="B4862"/>
      <c r="C4862"/>
      <c r="D4862"/>
      <c r="E4862" s="364"/>
      <c r="F4862"/>
    </row>
    <row r="4863" spans="1:6" x14ac:dyDescent="0.25">
      <c r="A4863" s="364"/>
      <c r="B4863"/>
      <c r="C4863"/>
      <c r="D4863"/>
      <c r="E4863" s="364"/>
      <c r="F4863"/>
    </row>
    <row r="4864" spans="1:6" x14ac:dyDescent="0.25">
      <c r="A4864" s="364"/>
      <c r="B4864"/>
      <c r="C4864"/>
      <c r="D4864"/>
      <c r="E4864" s="364"/>
      <c r="F4864"/>
    </row>
    <row r="4865" spans="1:6" x14ac:dyDescent="0.25">
      <c r="A4865" s="364"/>
      <c r="B4865"/>
      <c r="C4865"/>
      <c r="D4865"/>
      <c r="E4865" s="364"/>
      <c r="F4865"/>
    </row>
    <row r="4866" spans="1:6" x14ac:dyDescent="0.25">
      <c r="A4866" s="364"/>
      <c r="B4866"/>
      <c r="C4866"/>
      <c r="D4866"/>
      <c r="E4866" s="364"/>
      <c r="F4866"/>
    </row>
    <row r="4867" spans="1:6" x14ac:dyDescent="0.25">
      <c r="A4867" s="364"/>
      <c r="B4867"/>
      <c r="C4867"/>
      <c r="D4867"/>
      <c r="E4867" s="364"/>
      <c r="F4867"/>
    </row>
    <row r="4868" spans="1:6" x14ac:dyDescent="0.25">
      <c r="A4868" s="364"/>
      <c r="B4868"/>
      <c r="C4868"/>
      <c r="D4868"/>
      <c r="E4868" s="364"/>
      <c r="F4868"/>
    </row>
    <row r="4869" spans="1:6" x14ac:dyDescent="0.25">
      <c r="A4869" s="364"/>
      <c r="B4869"/>
      <c r="C4869"/>
      <c r="D4869"/>
      <c r="E4869" s="364"/>
      <c r="F4869"/>
    </row>
    <row r="4870" spans="1:6" x14ac:dyDescent="0.25">
      <c r="A4870" s="364"/>
      <c r="B4870"/>
      <c r="C4870"/>
      <c r="D4870"/>
      <c r="E4870" s="364"/>
      <c r="F4870"/>
    </row>
    <row r="4871" spans="1:6" x14ac:dyDescent="0.25">
      <c r="A4871" s="364"/>
      <c r="B4871"/>
      <c r="C4871"/>
      <c r="D4871"/>
      <c r="E4871" s="364"/>
      <c r="F4871"/>
    </row>
    <row r="4872" spans="1:6" x14ac:dyDescent="0.25">
      <c r="A4872" s="364"/>
      <c r="B4872"/>
      <c r="C4872"/>
      <c r="D4872"/>
      <c r="E4872" s="364"/>
      <c r="F4872"/>
    </row>
    <row r="4873" spans="1:6" x14ac:dyDescent="0.25">
      <c r="A4873" s="364"/>
      <c r="B4873"/>
      <c r="C4873"/>
      <c r="D4873"/>
      <c r="E4873" s="364"/>
      <c r="F4873"/>
    </row>
    <row r="4874" spans="1:6" x14ac:dyDescent="0.25">
      <c r="A4874" s="364"/>
      <c r="B4874"/>
      <c r="C4874"/>
      <c r="D4874"/>
      <c r="E4874" s="364"/>
      <c r="F4874"/>
    </row>
    <row r="4875" spans="1:6" x14ac:dyDescent="0.25">
      <c r="A4875" s="364"/>
      <c r="B4875"/>
      <c r="C4875"/>
      <c r="D4875"/>
      <c r="E4875" s="364"/>
      <c r="F4875"/>
    </row>
    <row r="4876" spans="1:6" x14ac:dyDescent="0.25">
      <c r="A4876" s="364"/>
      <c r="B4876"/>
      <c r="C4876"/>
      <c r="D4876"/>
      <c r="E4876" s="364"/>
      <c r="F4876"/>
    </row>
    <row r="4877" spans="1:6" x14ac:dyDescent="0.25">
      <c r="A4877" s="364"/>
      <c r="B4877"/>
      <c r="C4877"/>
      <c r="D4877"/>
      <c r="E4877" s="364"/>
      <c r="F4877"/>
    </row>
    <row r="4878" spans="1:6" x14ac:dyDescent="0.25">
      <c r="A4878" s="364"/>
      <c r="B4878"/>
      <c r="C4878"/>
      <c r="D4878"/>
      <c r="E4878" s="364"/>
      <c r="F4878"/>
    </row>
    <row r="4879" spans="1:6" x14ac:dyDescent="0.25">
      <c r="A4879" s="364"/>
      <c r="B4879"/>
      <c r="C4879"/>
      <c r="D4879"/>
      <c r="E4879" s="364"/>
      <c r="F4879"/>
    </row>
    <row r="4880" spans="1:6" x14ac:dyDescent="0.25">
      <c r="A4880" s="364"/>
      <c r="B4880"/>
      <c r="C4880"/>
      <c r="D4880"/>
      <c r="E4880" s="364"/>
      <c r="F4880"/>
    </row>
    <row r="4881" spans="1:6" x14ac:dyDescent="0.25">
      <c r="A4881" s="364"/>
      <c r="B4881"/>
      <c r="C4881"/>
      <c r="D4881"/>
      <c r="E4881" s="364"/>
      <c r="F4881"/>
    </row>
    <row r="4882" spans="1:6" x14ac:dyDescent="0.25">
      <c r="A4882" s="364"/>
      <c r="B4882"/>
      <c r="C4882"/>
      <c r="D4882"/>
      <c r="E4882" s="364"/>
      <c r="F4882"/>
    </row>
    <row r="4883" spans="1:6" x14ac:dyDescent="0.25">
      <c r="A4883" s="364"/>
      <c r="B4883"/>
      <c r="C4883"/>
      <c r="D4883"/>
      <c r="E4883" s="364"/>
      <c r="F4883"/>
    </row>
    <row r="4884" spans="1:6" x14ac:dyDescent="0.25">
      <c r="A4884" s="364"/>
      <c r="B4884"/>
      <c r="C4884"/>
      <c r="D4884"/>
      <c r="E4884" s="364"/>
      <c r="F4884"/>
    </row>
    <row r="4885" spans="1:6" x14ac:dyDescent="0.25">
      <c r="A4885" s="364"/>
      <c r="B4885"/>
      <c r="C4885"/>
      <c r="D4885"/>
      <c r="E4885" s="364"/>
      <c r="F4885"/>
    </row>
    <row r="4886" spans="1:6" x14ac:dyDescent="0.25">
      <c r="A4886" s="364"/>
      <c r="B4886"/>
      <c r="C4886"/>
      <c r="D4886"/>
      <c r="E4886" s="364"/>
      <c r="F4886"/>
    </row>
    <row r="4887" spans="1:6" x14ac:dyDescent="0.25">
      <c r="A4887" s="364"/>
      <c r="B4887"/>
      <c r="C4887"/>
      <c r="D4887"/>
      <c r="E4887" s="364"/>
      <c r="F4887"/>
    </row>
    <row r="4888" spans="1:6" x14ac:dyDescent="0.25">
      <c r="A4888" s="364"/>
      <c r="B4888"/>
      <c r="C4888"/>
      <c r="D4888"/>
      <c r="E4888" s="364"/>
      <c r="F4888"/>
    </row>
    <row r="4889" spans="1:6" x14ac:dyDescent="0.25">
      <c r="A4889" s="364"/>
      <c r="B4889"/>
      <c r="C4889"/>
      <c r="D4889"/>
      <c r="E4889" s="364"/>
      <c r="F4889"/>
    </row>
    <row r="4890" spans="1:6" x14ac:dyDescent="0.25">
      <c r="A4890" s="364"/>
      <c r="B4890"/>
      <c r="C4890"/>
      <c r="D4890"/>
      <c r="E4890" s="364"/>
      <c r="F4890"/>
    </row>
    <row r="4891" spans="1:6" x14ac:dyDescent="0.25">
      <c r="A4891" s="364"/>
      <c r="B4891"/>
      <c r="C4891"/>
      <c r="D4891"/>
      <c r="E4891" s="364"/>
      <c r="F4891"/>
    </row>
    <row r="4892" spans="1:6" x14ac:dyDescent="0.25">
      <c r="A4892" s="364"/>
      <c r="B4892"/>
      <c r="C4892"/>
      <c r="D4892"/>
      <c r="E4892" s="364"/>
      <c r="F4892"/>
    </row>
    <row r="4893" spans="1:6" x14ac:dyDescent="0.25">
      <c r="A4893" s="364"/>
      <c r="B4893"/>
      <c r="C4893"/>
      <c r="D4893"/>
      <c r="E4893" s="364"/>
      <c r="F4893"/>
    </row>
    <row r="4894" spans="1:6" x14ac:dyDescent="0.25">
      <c r="A4894" s="364"/>
      <c r="B4894"/>
      <c r="C4894"/>
      <c r="D4894"/>
      <c r="E4894" s="364"/>
      <c r="F4894"/>
    </row>
    <row r="4895" spans="1:6" x14ac:dyDescent="0.25">
      <c r="A4895" s="364"/>
      <c r="B4895"/>
      <c r="C4895"/>
      <c r="D4895"/>
      <c r="E4895" s="364"/>
      <c r="F4895"/>
    </row>
    <row r="4896" spans="1:6" x14ac:dyDescent="0.25">
      <c r="A4896" s="364"/>
      <c r="B4896"/>
      <c r="C4896"/>
      <c r="D4896"/>
      <c r="E4896" s="364"/>
      <c r="F4896"/>
    </row>
    <row r="4897" spans="1:6" x14ac:dyDescent="0.25">
      <c r="A4897" s="364"/>
      <c r="B4897"/>
      <c r="C4897"/>
      <c r="D4897"/>
      <c r="E4897" s="364"/>
      <c r="F4897"/>
    </row>
    <row r="4898" spans="1:6" x14ac:dyDescent="0.25">
      <c r="A4898" s="364"/>
      <c r="B4898"/>
      <c r="C4898"/>
      <c r="D4898"/>
      <c r="E4898" s="364"/>
      <c r="F4898"/>
    </row>
    <row r="4899" spans="1:6" x14ac:dyDescent="0.25">
      <c r="A4899" s="364"/>
      <c r="B4899"/>
      <c r="C4899"/>
      <c r="D4899"/>
      <c r="E4899" s="364"/>
      <c r="F4899"/>
    </row>
    <row r="4900" spans="1:6" x14ac:dyDescent="0.25">
      <c r="A4900" s="364"/>
      <c r="B4900"/>
      <c r="C4900"/>
      <c r="D4900"/>
      <c r="E4900" s="364"/>
      <c r="F4900"/>
    </row>
    <row r="4901" spans="1:6" x14ac:dyDescent="0.25">
      <c r="A4901" s="364"/>
      <c r="B4901"/>
      <c r="C4901"/>
      <c r="D4901"/>
      <c r="E4901" s="364"/>
      <c r="F4901"/>
    </row>
    <row r="4902" spans="1:6" x14ac:dyDescent="0.25">
      <c r="A4902" s="364"/>
      <c r="B4902"/>
      <c r="C4902"/>
      <c r="D4902"/>
      <c r="E4902" s="364"/>
      <c r="F4902"/>
    </row>
    <row r="4903" spans="1:6" x14ac:dyDescent="0.25">
      <c r="A4903" s="364"/>
      <c r="B4903"/>
      <c r="C4903"/>
      <c r="D4903"/>
      <c r="E4903" s="364"/>
      <c r="F4903"/>
    </row>
    <row r="4904" spans="1:6" x14ac:dyDescent="0.25">
      <c r="A4904" s="364"/>
      <c r="B4904"/>
      <c r="C4904"/>
      <c r="D4904"/>
      <c r="E4904" s="364"/>
      <c r="F4904"/>
    </row>
    <row r="4905" spans="1:6" x14ac:dyDescent="0.25">
      <c r="A4905" s="364"/>
      <c r="B4905"/>
      <c r="C4905"/>
      <c r="D4905"/>
      <c r="E4905" s="364"/>
      <c r="F4905"/>
    </row>
    <row r="4906" spans="1:6" x14ac:dyDescent="0.25">
      <c r="A4906" s="364"/>
      <c r="B4906"/>
      <c r="C4906"/>
      <c r="D4906"/>
      <c r="E4906" s="364"/>
      <c r="F4906"/>
    </row>
    <row r="4907" spans="1:6" x14ac:dyDescent="0.25">
      <c r="A4907" s="364"/>
      <c r="B4907"/>
      <c r="C4907"/>
      <c r="D4907"/>
      <c r="E4907" s="364"/>
      <c r="F4907"/>
    </row>
    <row r="4908" spans="1:6" x14ac:dyDescent="0.25">
      <c r="A4908" s="364"/>
      <c r="B4908"/>
      <c r="C4908"/>
      <c r="D4908"/>
      <c r="E4908" s="364"/>
      <c r="F4908"/>
    </row>
    <row r="4909" spans="1:6" x14ac:dyDescent="0.25">
      <c r="A4909" s="364"/>
      <c r="B4909"/>
      <c r="C4909"/>
      <c r="D4909"/>
      <c r="E4909" s="364"/>
      <c r="F4909"/>
    </row>
    <row r="4910" spans="1:6" x14ac:dyDescent="0.25">
      <c r="A4910" s="364"/>
      <c r="B4910"/>
      <c r="C4910"/>
      <c r="D4910"/>
      <c r="E4910" s="364"/>
      <c r="F4910"/>
    </row>
    <row r="4911" spans="1:6" x14ac:dyDescent="0.25">
      <c r="A4911" s="364"/>
      <c r="B4911"/>
      <c r="C4911"/>
      <c r="D4911"/>
      <c r="E4911" s="364"/>
      <c r="F4911"/>
    </row>
    <row r="4912" spans="1:6" x14ac:dyDescent="0.25">
      <c r="A4912" s="364"/>
      <c r="B4912"/>
      <c r="C4912"/>
      <c r="D4912"/>
      <c r="E4912" s="364"/>
      <c r="F4912"/>
    </row>
    <row r="4913" spans="1:6" x14ac:dyDescent="0.25">
      <c r="A4913" s="364"/>
      <c r="B4913"/>
      <c r="C4913"/>
      <c r="D4913"/>
      <c r="E4913" s="364"/>
      <c r="F4913"/>
    </row>
    <row r="4914" spans="1:6" x14ac:dyDescent="0.25">
      <c r="A4914" s="364"/>
      <c r="B4914"/>
      <c r="C4914"/>
      <c r="D4914"/>
      <c r="E4914" s="364"/>
      <c r="F4914"/>
    </row>
    <row r="4915" spans="1:6" x14ac:dyDescent="0.25">
      <c r="A4915" s="364"/>
      <c r="B4915"/>
      <c r="C4915"/>
      <c r="D4915"/>
      <c r="E4915" s="364"/>
      <c r="F4915"/>
    </row>
    <row r="4916" spans="1:6" x14ac:dyDescent="0.25">
      <c r="A4916" s="364"/>
      <c r="B4916"/>
      <c r="C4916"/>
      <c r="D4916"/>
      <c r="E4916" s="364"/>
      <c r="F4916"/>
    </row>
    <row r="4917" spans="1:6" x14ac:dyDescent="0.25">
      <c r="A4917" s="364"/>
      <c r="B4917"/>
      <c r="C4917"/>
      <c r="D4917"/>
      <c r="E4917" s="364"/>
      <c r="F4917"/>
    </row>
    <row r="4918" spans="1:6" x14ac:dyDescent="0.25">
      <c r="A4918" s="364"/>
      <c r="B4918"/>
      <c r="C4918"/>
      <c r="D4918"/>
      <c r="E4918" s="364"/>
      <c r="F4918"/>
    </row>
    <row r="4919" spans="1:6" x14ac:dyDescent="0.25">
      <c r="A4919" s="364"/>
      <c r="B4919"/>
      <c r="C4919"/>
      <c r="D4919"/>
      <c r="E4919" s="364"/>
      <c r="F4919"/>
    </row>
    <row r="4920" spans="1:6" x14ac:dyDescent="0.25">
      <c r="A4920" s="364"/>
      <c r="B4920"/>
      <c r="C4920"/>
      <c r="D4920"/>
      <c r="E4920" s="364"/>
      <c r="F4920"/>
    </row>
    <row r="4921" spans="1:6" x14ac:dyDescent="0.25">
      <c r="A4921" s="364"/>
      <c r="B4921"/>
      <c r="C4921"/>
      <c r="D4921"/>
      <c r="E4921" s="364"/>
      <c r="F4921"/>
    </row>
    <row r="4922" spans="1:6" x14ac:dyDescent="0.25">
      <c r="A4922" s="364"/>
      <c r="B4922"/>
      <c r="C4922"/>
      <c r="D4922"/>
      <c r="E4922" s="364"/>
      <c r="F4922"/>
    </row>
    <row r="4923" spans="1:6" x14ac:dyDescent="0.25">
      <c r="A4923" s="364"/>
      <c r="B4923"/>
      <c r="C4923"/>
      <c r="D4923"/>
      <c r="E4923" s="364"/>
      <c r="F4923"/>
    </row>
    <row r="4924" spans="1:6" x14ac:dyDescent="0.25">
      <c r="A4924" s="364"/>
      <c r="B4924"/>
      <c r="C4924"/>
      <c r="D4924"/>
      <c r="E4924" s="364"/>
      <c r="F4924"/>
    </row>
    <row r="4925" spans="1:6" x14ac:dyDescent="0.25">
      <c r="A4925" s="364"/>
      <c r="B4925"/>
      <c r="C4925"/>
      <c r="D4925"/>
      <c r="E4925" s="364"/>
      <c r="F4925"/>
    </row>
    <row r="4926" spans="1:6" x14ac:dyDescent="0.25">
      <c r="A4926" s="364"/>
      <c r="B4926"/>
      <c r="C4926"/>
      <c r="D4926"/>
      <c r="E4926" s="364"/>
      <c r="F4926"/>
    </row>
    <row r="4927" spans="1:6" x14ac:dyDescent="0.25">
      <c r="A4927" s="364"/>
      <c r="B4927"/>
      <c r="C4927"/>
      <c r="D4927"/>
      <c r="E4927" s="364"/>
      <c r="F4927"/>
    </row>
    <row r="4928" spans="1:6" x14ac:dyDescent="0.25">
      <c r="A4928" s="364"/>
      <c r="B4928"/>
      <c r="C4928"/>
      <c r="D4928"/>
      <c r="E4928" s="364"/>
      <c r="F4928"/>
    </row>
    <row r="4929" spans="1:6" x14ac:dyDescent="0.25">
      <c r="A4929" s="364"/>
      <c r="B4929"/>
      <c r="C4929"/>
      <c r="D4929"/>
      <c r="E4929" s="364"/>
      <c r="F4929"/>
    </row>
    <row r="4930" spans="1:6" x14ac:dyDescent="0.25">
      <c r="A4930" s="364"/>
      <c r="B4930"/>
      <c r="C4930"/>
      <c r="D4930"/>
      <c r="E4930" s="364"/>
      <c r="F4930"/>
    </row>
    <row r="4931" spans="1:6" x14ac:dyDescent="0.25">
      <c r="A4931" s="364"/>
      <c r="B4931"/>
      <c r="C4931"/>
      <c r="D4931"/>
      <c r="E4931" s="364"/>
      <c r="F4931"/>
    </row>
    <row r="4932" spans="1:6" x14ac:dyDescent="0.25">
      <c r="A4932" s="364"/>
      <c r="B4932"/>
      <c r="C4932"/>
      <c r="D4932"/>
      <c r="E4932" s="364"/>
      <c r="F4932"/>
    </row>
    <row r="4933" spans="1:6" x14ac:dyDescent="0.25">
      <c r="A4933" s="364"/>
      <c r="B4933"/>
      <c r="C4933"/>
      <c r="D4933"/>
      <c r="E4933" s="364"/>
      <c r="F4933"/>
    </row>
    <row r="4934" spans="1:6" x14ac:dyDescent="0.25">
      <c r="A4934" s="364"/>
      <c r="B4934"/>
      <c r="C4934"/>
      <c r="D4934"/>
      <c r="E4934" s="364"/>
      <c r="F4934"/>
    </row>
    <row r="4935" spans="1:6" x14ac:dyDescent="0.25">
      <c r="A4935" s="364"/>
      <c r="B4935"/>
      <c r="C4935"/>
      <c r="D4935"/>
      <c r="E4935" s="364"/>
      <c r="F4935"/>
    </row>
    <row r="4936" spans="1:6" x14ac:dyDescent="0.25">
      <c r="A4936" s="364"/>
      <c r="B4936"/>
      <c r="C4936"/>
      <c r="D4936"/>
      <c r="E4936" s="364"/>
      <c r="F4936"/>
    </row>
    <row r="4937" spans="1:6" x14ac:dyDescent="0.25">
      <c r="A4937" s="364"/>
      <c r="B4937"/>
      <c r="C4937"/>
      <c r="D4937"/>
      <c r="E4937" s="364"/>
      <c r="F4937"/>
    </row>
    <row r="4938" spans="1:6" x14ac:dyDescent="0.25">
      <c r="A4938" s="364"/>
      <c r="B4938"/>
      <c r="C4938"/>
      <c r="D4938"/>
      <c r="E4938" s="364"/>
      <c r="F4938"/>
    </row>
    <row r="4939" spans="1:6" x14ac:dyDescent="0.25">
      <c r="A4939" s="364"/>
      <c r="B4939"/>
      <c r="C4939"/>
      <c r="D4939"/>
      <c r="E4939" s="364"/>
      <c r="F4939"/>
    </row>
    <row r="4940" spans="1:6" x14ac:dyDescent="0.25">
      <c r="A4940" s="364"/>
      <c r="B4940"/>
      <c r="C4940"/>
      <c r="D4940"/>
      <c r="E4940" s="364"/>
      <c r="F4940"/>
    </row>
    <row r="4941" spans="1:6" x14ac:dyDescent="0.25">
      <c r="A4941" s="364"/>
      <c r="B4941"/>
      <c r="C4941"/>
      <c r="D4941"/>
      <c r="E4941" s="364"/>
      <c r="F4941"/>
    </row>
    <row r="4942" spans="1:6" x14ac:dyDescent="0.25">
      <c r="A4942" s="364"/>
      <c r="B4942"/>
      <c r="C4942"/>
      <c r="D4942"/>
      <c r="E4942" s="364"/>
      <c r="F4942"/>
    </row>
    <row r="4943" spans="1:6" x14ac:dyDescent="0.25">
      <c r="A4943" s="364"/>
      <c r="B4943"/>
      <c r="C4943"/>
      <c r="D4943"/>
      <c r="E4943" s="364"/>
      <c r="F4943"/>
    </row>
    <row r="4944" spans="1:6" x14ac:dyDescent="0.25">
      <c r="A4944" s="364"/>
      <c r="B4944"/>
      <c r="C4944"/>
      <c r="D4944"/>
      <c r="E4944" s="364"/>
      <c r="F4944"/>
    </row>
    <row r="4945" spans="1:6" x14ac:dyDescent="0.25">
      <c r="A4945" s="364"/>
      <c r="B4945"/>
      <c r="C4945"/>
      <c r="D4945"/>
      <c r="E4945" s="364"/>
      <c r="F4945"/>
    </row>
    <row r="4946" spans="1:6" x14ac:dyDescent="0.25">
      <c r="A4946" s="364"/>
      <c r="B4946"/>
      <c r="C4946"/>
      <c r="D4946"/>
      <c r="E4946" s="364"/>
      <c r="F4946"/>
    </row>
    <row r="4947" spans="1:6" x14ac:dyDescent="0.25">
      <c r="A4947" s="364"/>
      <c r="B4947"/>
      <c r="C4947"/>
      <c r="D4947"/>
      <c r="E4947" s="364"/>
      <c r="F4947"/>
    </row>
    <row r="4948" spans="1:6" x14ac:dyDescent="0.25">
      <c r="A4948" s="364"/>
      <c r="B4948"/>
      <c r="C4948"/>
      <c r="D4948"/>
      <c r="E4948" s="364"/>
      <c r="F4948"/>
    </row>
    <row r="4949" spans="1:6" x14ac:dyDescent="0.25">
      <c r="A4949" s="364"/>
      <c r="B4949"/>
      <c r="C4949"/>
      <c r="D4949"/>
      <c r="E4949" s="364"/>
      <c r="F4949"/>
    </row>
    <row r="4950" spans="1:6" x14ac:dyDescent="0.25">
      <c r="A4950" s="364"/>
      <c r="B4950"/>
      <c r="C4950"/>
      <c r="D4950"/>
      <c r="E4950" s="364"/>
      <c r="F4950"/>
    </row>
    <row r="4951" spans="1:6" x14ac:dyDescent="0.25">
      <c r="A4951" s="364"/>
      <c r="B4951"/>
      <c r="C4951"/>
      <c r="D4951"/>
      <c r="E4951" s="364"/>
      <c r="F4951"/>
    </row>
    <row r="4952" spans="1:6" x14ac:dyDescent="0.25">
      <c r="A4952" s="364"/>
      <c r="B4952"/>
      <c r="C4952"/>
      <c r="D4952"/>
      <c r="E4952" s="364"/>
      <c r="F4952"/>
    </row>
    <row r="4953" spans="1:6" x14ac:dyDescent="0.25">
      <c r="A4953" s="364"/>
      <c r="B4953"/>
      <c r="C4953"/>
      <c r="D4953"/>
      <c r="E4953" s="364"/>
      <c r="F4953"/>
    </row>
    <row r="4954" spans="1:6" x14ac:dyDescent="0.25">
      <c r="A4954" s="364"/>
      <c r="B4954"/>
      <c r="C4954"/>
      <c r="D4954"/>
      <c r="E4954" s="364"/>
      <c r="F4954"/>
    </row>
    <row r="4955" spans="1:6" x14ac:dyDescent="0.25">
      <c r="A4955" s="364"/>
      <c r="B4955"/>
      <c r="C4955"/>
      <c r="D4955"/>
      <c r="E4955" s="364"/>
      <c r="F4955"/>
    </row>
    <row r="4956" spans="1:6" x14ac:dyDescent="0.25">
      <c r="A4956" s="364"/>
      <c r="B4956"/>
      <c r="C4956"/>
      <c r="D4956"/>
      <c r="E4956" s="364"/>
      <c r="F4956"/>
    </row>
    <row r="4957" spans="1:6" x14ac:dyDescent="0.25">
      <c r="A4957" s="364"/>
      <c r="B4957"/>
      <c r="C4957"/>
      <c r="D4957"/>
      <c r="E4957" s="364"/>
      <c r="F4957"/>
    </row>
    <row r="4958" spans="1:6" x14ac:dyDescent="0.25">
      <c r="A4958" s="364"/>
      <c r="B4958"/>
      <c r="C4958"/>
      <c r="D4958"/>
      <c r="E4958" s="364"/>
      <c r="F4958"/>
    </row>
    <row r="4959" spans="1:6" x14ac:dyDescent="0.25">
      <c r="A4959" s="364"/>
      <c r="B4959"/>
      <c r="C4959"/>
      <c r="D4959"/>
      <c r="E4959" s="364"/>
      <c r="F4959"/>
    </row>
    <row r="4960" spans="1:6" x14ac:dyDescent="0.25">
      <c r="A4960" s="364"/>
      <c r="B4960"/>
      <c r="C4960"/>
      <c r="D4960"/>
      <c r="E4960" s="364"/>
      <c r="F4960"/>
    </row>
    <row r="4961" spans="1:6" x14ac:dyDescent="0.25">
      <c r="A4961" s="364"/>
      <c r="B4961"/>
      <c r="C4961"/>
      <c r="D4961"/>
      <c r="E4961" s="364"/>
      <c r="F4961"/>
    </row>
    <row r="4962" spans="1:6" x14ac:dyDescent="0.25">
      <c r="A4962" s="364"/>
      <c r="B4962"/>
      <c r="C4962"/>
      <c r="D4962"/>
      <c r="E4962" s="364"/>
      <c r="F4962"/>
    </row>
    <row r="4963" spans="1:6" x14ac:dyDescent="0.25">
      <c r="A4963" s="364"/>
      <c r="B4963"/>
      <c r="C4963"/>
      <c r="D4963"/>
      <c r="E4963" s="364"/>
      <c r="F4963"/>
    </row>
    <row r="4964" spans="1:6" x14ac:dyDescent="0.25">
      <c r="A4964" s="364"/>
      <c r="B4964"/>
      <c r="C4964"/>
      <c r="D4964"/>
      <c r="E4964" s="364"/>
      <c r="F4964"/>
    </row>
    <row r="4965" spans="1:6" x14ac:dyDescent="0.25">
      <c r="A4965" s="364"/>
      <c r="B4965"/>
      <c r="C4965"/>
      <c r="D4965"/>
      <c r="E4965" s="364"/>
      <c r="F4965"/>
    </row>
    <row r="4966" spans="1:6" x14ac:dyDescent="0.25">
      <c r="A4966" s="364"/>
      <c r="B4966"/>
      <c r="C4966"/>
      <c r="D4966"/>
      <c r="E4966" s="364"/>
      <c r="F4966"/>
    </row>
    <row r="4967" spans="1:6" x14ac:dyDescent="0.25">
      <c r="A4967" s="364"/>
      <c r="B4967"/>
      <c r="C4967"/>
      <c r="D4967"/>
      <c r="E4967" s="364"/>
      <c r="F4967"/>
    </row>
    <row r="4968" spans="1:6" x14ac:dyDescent="0.25">
      <c r="A4968" s="364"/>
      <c r="B4968"/>
      <c r="C4968"/>
      <c r="D4968"/>
      <c r="E4968" s="364"/>
      <c r="F4968"/>
    </row>
    <row r="4969" spans="1:6" x14ac:dyDescent="0.25">
      <c r="A4969" s="364"/>
      <c r="B4969"/>
      <c r="C4969"/>
      <c r="D4969"/>
      <c r="E4969" s="364"/>
      <c r="F4969"/>
    </row>
    <row r="4970" spans="1:6" x14ac:dyDescent="0.25">
      <c r="A4970" s="364"/>
      <c r="B4970"/>
      <c r="C4970"/>
      <c r="D4970"/>
      <c r="E4970" s="364"/>
      <c r="F4970"/>
    </row>
    <row r="4971" spans="1:6" x14ac:dyDescent="0.25">
      <c r="A4971" s="364"/>
      <c r="B4971"/>
      <c r="C4971"/>
      <c r="D4971"/>
      <c r="E4971" s="364"/>
      <c r="F4971"/>
    </row>
    <row r="4972" spans="1:6" x14ac:dyDescent="0.25">
      <c r="A4972" s="364"/>
      <c r="B4972"/>
      <c r="C4972"/>
      <c r="D4972"/>
      <c r="E4972" s="364"/>
      <c r="F4972"/>
    </row>
    <row r="4973" spans="1:6" x14ac:dyDescent="0.25">
      <c r="A4973" s="364"/>
      <c r="B4973"/>
      <c r="C4973"/>
      <c r="D4973"/>
      <c r="E4973" s="364"/>
      <c r="F4973"/>
    </row>
    <row r="4974" spans="1:6" x14ac:dyDescent="0.25">
      <c r="A4974" s="364"/>
      <c r="B4974"/>
      <c r="C4974"/>
      <c r="D4974"/>
      <c r="E4974" s="364"/>
      <c r="F4974"/>
    </row>
    <row r="4975" spans="1:6" x14ac:dyDescent="0.25">
      <c r="A4975" s="364"/>
      <c r="B4975"/>
      <c r="C4975"/>
      <c r="D4975"/>
      <c r="E4975" s="364"/>
      <c r="F4975"/>
    </row>
    <row r="4976" spans="1:6" x14ac:dyDescent="0.25">
      <c r="A4976" s="364"/>
      <c r="B4976"/>
      <c r="C4976"/>
      <c r="D4976"/>
      <c r="E4976" s="364"/>
      <c r="F4976"/>
    </row>
    <row r="4977" spans="1:6" x14ac:dyDescent="0.25">
      <c r="A4977" s="364"/>
      <c r="B4977"/>
      <c r="C4977"/>
      <c r="D4977"/>
      <c r="E4977" s="364"/>
      <c r="F4977"/>
    </row>
    <row r="4978" spans="1:6" x14ac:dyDescent="0.25">
      <c r="A4978" s="364"/>
      <c r="B4978"/>
      <c r="C4978"/>
      <c r="D4978"/>
      <c r="E4978" s="364"/>
      <c r="F4978"/>
    </row>
    <row r="4979" spans="1:6" x14ac:dyDescent="0.25">
      <c r="A4979" s="364"/>
      <c r="B4979"/>
      <c r="C4979"/>
      <c r="D4979"/>
      <c r="E4979" s="364"/>
      <c r="F4979"/>
    </row>
    <row r="4980" spans="1:6" x14ac:dyDescent="0.25">
      <c r="A4980" s="364"/>
      <c r="B4980"/>
      <c r="C4980"/>
      <c r="D4980"/>
      <c r="E4980" s="364"/>
      <c r="F4980"/>
    </row>
    <row r="4981" spans="1:6" x14ac:dyDescent="0.25">
      <c r="A4981" s="364"/>
      <c r="B4981"/>
      <c r="C4981"/>
      <c r="D4981"/>
      <c r="E4981" s="364"/>
      <c r="F4981"/>
    </row>
    <row r="4982" spans="1:6" x14ac:dyDescent="0.25">
      <c r="A4982" s="364"/>
      <c r="B4982"/>
      <c r="C4982"/>
      <c r="D4982"/>
      <c r="E4982" s="364"/>
      <c r="F4982"/>
    </row>
    <row r="4983" spans="1:6" x14ac:dyDescent="0.25">
      <c r="A4983" s="364"/>
      <c r="B4983"/>
      <c r="C4983"/>
      <c r="D4983"/>
      <c r="E4983" s="364"/>
      <c r="F4983"/>
    </row>
    <row r="4984" spans="1:6" x14ac:dyDescent="0.25">
      <c r="A4984" s="364"/>
      <c r="B4984"/>
      <c r="C4984"/>
      <c r="D4984"/>
      <c r="E4984" s="364"/>
      <c r="F4984"/>
    </row>
    <row r="4985" spans="1:6" x14ac:dyDescent="0.25">
      <c r="A4985" s="364"/>
      <c r="B4985"/>
      <c r="C4985"/>
      <c r="D4985"/>
      <c r="E4985" s="364"/>
      <c r="F4985"/>
    </row>
    <row r="4986" spans="1:6" x14ac:dyDescent="0.25">
      <c r="A4986" s="364"/>
      <c r="B4986"/>
      <c r="C4986"/>
      <c r="D4986"/>
      <c r="E4986" s="364"/>
      <c r="F4986"/>
    </row>
    <row r="4987" spans="1:6" x14ac:dyDescent="0.25">
      <c r="A4987" s="364"/>
      <c r="B4987"/>
      <c r="C4987"/>
      <c r="D4987"/>
      <c r="E4987" s="364"/>
      <c r="F4987"/>
    </row>
    <row r="4988" spans="1:6" x14ac:dyDescent="0.25">
      <c r="A4988" s="364"/>
      <c r="B4988"/>
      <c r="C4988"/>
      <c r="D4988"/>
      <c r="E4988" s="364"/>
      <c r="F4988"/>
    </row>
    <row r="4989" spans="1:6" x14ac:dyDescent="0.25">
      <c r="A4989" s="364"/>
      <c r="B4989"/>
      <c r="C4989"/>
      <c r="D4989"/>
      <c r="E4989" s="364"/>
      <c r="F4989"/>
    </row>
    <row r="4990" spans="1:6" x14ac:dyDescent="0.25">
      <c r="A4990" s="364"/>
      <c r="B4990"/>
      <c r="C4990"/>
      <c r="D4990"/>
      <c r="E4990" s="364"/>
      <c r="F4990"/>
    </row>
    <row r="4991" spans="1:6" x14ac:dyDescent="0.25">
      <c r="A4991" s="364"/>
      <c r="B4991"/>
      <c r="C4991"/>
      <c r="D4991"/>
      <c r="E4991" s="364"/>
      <c r="F4991"/>
    </row>
    <row r="4992" spans="1:6" x14ac:dyDescent="0.25">
      <c r="A4992" s="364"/>
      <c r="B4992"/>
      <c r="C4992"/>
      <c r="D4992"/>
      <c r="E4992" s="364"/>
      <c r="F4992"/>
    </row>
    <row r="4993" spans="1:6" x14ac:dyDescent="0.25">
      <c r="A4993" s="364"/>
      <c r="B4993"/>
      <c r="C4993"/>
      <c r="D4993"/>
      <c r="E4993" s="364"/>
      <c r="F4993"/>
    </row>
    <row r="4994" spans="1:6" x14ac:dyDescent="0.25">
      <c r="A4994" s="364"/>
      <c r="B4994"/>
      <c r="C4994"/>
      <c r="D4994"/>
      <c r="E4994" s="364"/>
      <c r="F4994"/>
    </row>
    <row r="4995" spans="1:6" x14ac:dyDescent="0.25">
      <c r="A4995" s="364"/>
      <c r="B4995"/>
      <c r="C4995"/>
      <c r="D4995"/>
      <c r="E4995" s="364"/>
      <c r="F4995"/>
    </row>
    <row r="4996" spans="1:6" x14ac:dyDescent="0.25">
      <c r="A4996" s="364"/>
      <c r="B4996"/>
      <c r="C4996"/>
      <c r="D4996"/>
      <c r="E4996" s="364"/>
      <c r="F4996"/>
    </row>
    <row r="4997" spans="1:6" x14ac:dyDescent="0.25">
      <c r="A4997" s="364"/>
      <c r="B4997"/>
      <c r="C4997"/>
      <c r="D4997"/>
      <c r="E4997" s="364"/>
      <c r="F4997"/>
    </row>
    <row r="4998" spans="1:6" x14ac:dyDescent="0.25">
      <c r="A4998" s="364"/>
      <c r="B4998"/>
      <c r="C4998"/>
      <c r="D4998"/>
      <c r="E4998" s="364"/>
      <c r="F4998"/>
    </row>
    <row r="4999" spans="1:6" x14ac:dyDescent="0.25">
      <c r="A4999" s="364"/>
      <c r="B4999"/>
      <c r="C4999"/>
      <c r="D4999"/>
      <c r="E4999" s="364"/>
      <c r="F4999"/>
    </row>
    <row r="5000" spans="1:6" x14ac:dyDescent="0.25">
      <c r="A5000" s="364"/>
      <c r="B5000"/>
      <c r="C5000"/>
      <c r="D5000"/>
      <c r="E5000" s="364"/>
      <c r="F5000"/>
    </row>
    <row r="5001" spans="1:6" x14ac:dyDescent="0.25">
      <c r="A5001" s="364"/>
      <c r="B5001"/>
      <c r="C5001"/>
      <c r="D5001"/>
      <c r="E5001" s="364"/>
      <c r="F5001"/>
    </row>
    <row r="5002" spans="1:6" x14ac:dyDescent="0.25">
      <c r="A5002" s="364"/>
      <c r="B5002"/>
      <c r="C5002"/>
      <c r="D5002"/>
      <c r="E5002" s="364"/>
      <c r="F5002"/>
    </row>
    <row r="5003" spans="1:6" x14ac:dyDescent="0.25">
      <c r="A5003" s="364"/>
      <c r="B5003"/>
      <c r="C5003"/>
      <c r="D5003"/>
      <c r="E5003" s="364"/>
      <c r="F5003"/>
    </row>
    <row r="5004" spans="1:6" x14ac:dyDescent="0.25">
      <c r="A5004" s="364"/>
      <c r="B5004"/>
      <c r="C5004"/>
      <c r="D5004"/>
      <c r="E5004" s="364"/>
      <c r="F5004"/>
    </row>
    <row r="5005" spans="1:6" x14ac:dyDescent="0.25">
      <c r="A5005" s="364"/>
      <c r="B5005"/>
      <c r="C5005"/>
      <c r="D5005"/>
      <c r="E5005" s="364"/>
      <c r="F5005"/>
    </row>
    <row r="5006" spans="1:6" x14ac:dyDescent="0.25">
      <c r="A5006" s="364"/>
      <c r="B5006"/>
      <c r="C5006"/>
      <c r="D5006"/>
      <c r="E5006" s="364"/>
      <c r="F5006"/>
    </row>
    <row r="5007" spans="1:6" x14ac:dyDescent="0.25">
      <c r="A5007" s="364"/>
      <c r="B5007"/>
      <c r="C5007"/>
      <c r="D5007"/>
      <c r="E5007" s="364"/>
      <c r="F5007"/>
    </row>
    <row r="5008" spans="1:6" x14ac:dyDescent="0.25">
      <c r="A5008" s="364"/>
      <c r="B5008"/>
      <c r="C5008"/>
      <c r="D5008"/>
      <c r="E5008" s="364"/>
      <c r="F5008"/>
    </row>
    <row r="5009" spans="1:6" x14ac:dyDescent="0.25">
      <c r="A5009" s="364"/>
      <c r="B5009"/>
      <c r="C5009"/>
      <c r="D5009"/>
      <c r="E5009" s="364"/>
      <c r="F5009"/>
    </row>
    <row r="5010" spans="1:6" x14ac:dyDescent="0.25">
      <c r="A5010" s="364"/>
      <c r="B5010"/>
      <c r="C5010"/>
      <c r="D5010"/>
      <c r="E5010" s="364"/>
      <c r="F5010"/>
    </row>
    <row r="5011" spans="1:6" x14ac:dyDescent="0.25">
      <c r="A5011" s="364"/>
      <c r="B5011"/>
      <c r="C5011"/>
      <c r="D5011"/>
      <c r="E5011" s="364"/>
      <c r="F5011"/>
    </row>
    <row r="5012" spans="1:6" x14ac:dyDescent="0.25">
      <c r="A5012" s="364"/>
      <c r="B5012"/>
      <c r="C5012"/>
      <c r="D5012"/>
      <c r="E5012" s="364"/>
      <c r="F5012"/>
    </row>
    <row r="5013" spans="1:6" x14ac:dyDescent="0.25">
      <c r="A5013" s="364"/>
      <c r="B5013"/>
      <c r="C5013"/>
      <c r="D5013"/>
      <c r="E5013" s="364"/>
      <c r="F5013"/>
    </row>
    <row r="5014" spans="1:6" x14ac:dyDescent="0.25">
      <c r="A5014" s="364"/>
      <c r="B5014"/>
      <c r="C5014"/>
      <c r="D5014"/>
      <c r="E5014" s="364"/>
      <c r="F5014"/>
    </row>
    <row r="5015" spans="1:6" x14ac:dyDescent="0.25">
      <c r="A5015" s="364"/>
      <c r="B5015"/>
      <c r="C5015"/>
      <c r="D5015"/>
      <c r="E5015" s="364"/>
      <c r="F5015"/>
    </row>
    <row r="5016" spans="1:6" x14ac:dyDescent="0.25">
      <c r="A5016" s="364"/>
      <c r="B5016"/>
      <c r="C5016"/>
      <c r="D5016"/>
      <c r="E5016" s="364"/>
      <c r="F5016"/>
    </row>
    <row r="5017" spans="1:6" x14ac:dyDescent="0.25">
      <c r="A5017" s="364"/>
      <c r="B5017"/>
      <c r="C5017"/>
      <c r="D5017"/>
      <c r="E5017" s="364"/>
      <c r="F5017"/>
    </row>
    <row r="5018" spans="1:6" x14ac:dyDescent="0.25">
      <c r="A5018" s="364"/>
      <c r="B5018"/>
      <c r="C5018"/>
      <c r="D5018"/>
      <c r="E5018" s="364"/>
      <c r="F5018"/>
    </row>
    <row r="5019" spans="1:6" x14ac:dyDescent="0.25">
      <c r="A5019" s="364"/>
      <c r="B5019"/>
      <c r="C5019"/>
      <c r="D5019"/>
      <c r="E5019" s="364"/>
      <c r="F5019"/>
    </row>
    <row r="5020" spans="1:6" x14ac:dyDescent="0.25">
      <c r="A5020" s="364"/>
      <c r="B5020"/>
      <c r="C5020"/>
      <c r="D5020"/>
      <c r="E5020" s="364"/>
      <c r="F5020"/>
    </row>
    <row r="5021" spans="1:6" x14ac:dyDescent="0.25">
      <c r="A5021" s="364"/>
      <c r="B5021"/>
      <c r="C5021"/>
      <c r="D5021"/>
      <c r="E5021" s="364"/>
      <c r="F5021"/>
    </row>
    <row r="5022" spans="1:6" x14ac:dyDescent="0.25">
      <c r="A5022" s="364"/>
      <c r="B5022"/>
      <c r="C5022"/>
      <c r="D5022"/>
      <c r="E5022" s="364"/>
      <c r="F5022"/>
    </row>
    <row r="5023" spans="1:6" x14ac:dyDescent="0.25">
      <c r="A5023" s="364"/>
      <c r="B5023"/>
      <c r="C5023"/>
      <c r="D5023"/>
      <c r="E5023" s="364"/>
      <c r="F5023"/>
    </row>
    <row r="5024" spans="1:6" x14ac:dyDescent="0.25">
      <c r="A5024" s="364"/>
      <c r="B5024"/>
      <c r="C5024"/>
      <c r="D5024"/>
      <c r="E5024" s="364"/>
      <c r="F5024"/>
    </row>
    <row r="5025" spans="1:6" x14ac:dyDescent="0.25">
      <c r="A5025" s="364"/>
      <c r="B5025"/>
      <c r="C5025"/>
      <c r="D5025"/>
      <c r="E5025" s="364"/>
      <c r="F5025"/>
    </row>
    <row r="5026" spans="1:6" x14ac:dyDescent="0.25">
      <c r="A5026" s="364"/>
      <c r="B5026"/>
      <c r="C5026"/>
      <c r="D5026"/>
      <c r="E5026" s="364"/>
      <c r="F5026"/>
    </row>
    <row r="5027" spans="1:6" x14ac:dyDescent="0.25">
      <c r="A5027" s="364"/>
      <c r="B5027"/>
      <c r="C5027"/>
      <c r="D5027"/>
      <c r="E5027" s="364"/>
      <c r="F5027"/>
    </row>
    <row r="5028" spans="1:6" x14ac:dyDescent="0.25">
      <c r="A5028" s="364"/>
      <c r="B5028"/>
      <c r="C5028"/>
      <c r="D5028"/>
      <c r="E5028" s="364"/>
      <c r="F5028"/>
    </row>
    <row r="5029" spans="1:6" x14ac:dyDescent="0.25">
      <c r="A5029" s="364"/>
      <c r="B5029"/>
      <c r="C5029"/>
      <c r="D5029"/>
      <c r="E5029" s="364"/>
      <c r="F5029"/>
    </row>
    <row r="5030" spans="1:6" x14ac:dyDescent="0.25">
      <c r="A5030" s="364"/>
      <c r="B5030"/>
      <c r="C5030"/>
      <c r="D5030"/>
      <c r="E5030" s="364"/>
      <c r="F5030"/>
    </row>
    <row r="5031" spans="1:6" x14ac:dyDescent="0.25">
      <c r="A5031" s="364"/>
      <c r="B5031"/>
      <c r="C5031"/>
      <c r="D5031"/>
      <c r="E5031" s="364"/>
      <c r="F5031"/>
    </row>
    <row r="5032" spans="1:6" x14ac:dyDescent="0.25">
      <c r="A5032" s="364"/>
      <c r="B5032"/>
      <c r="C5032"/>
      <c r="D5032"/>
      <c r="E5032" s="364"/>
      <c r="F5032"/>
    </row>
    <row r="5033" spans="1:6" x14ac:dyDescent="0.25">
      <c r="A5033" s="364"/>
      <c r="B5033"/>
      <c r="C5033"/>
      <c r="D5033"/>
      <c r="E5033" s="364"/>
      <c r="F5033"/>
    </row>
    <row r="5034" spans="1:6" x14ac:dyDescent="0.25">
      <c r="A5034" s="364"/>
      <c r="B5034"/>
      <c r="C5034"/>
      <c r="D5034"/>
      <c r="E5034" s="364"/>
      <c r="F5034"/>
    </row>
    <row r="5035" spans="1:6" x14ac:dyDescent="0.25">
      <c r="A5035" s="364"/>
      <c r="B5035"/>
      <c r="C5035"/>
      <c r="D5035"/>
      <c r="E5035" s="364"/>
      <c r="F5035"/>
    </row>
    <row r="5036" spans="1:6" x14ac:dyDescent="0.25">
      <c r="A5036" s="364"/>
      <c r="B5036"/>
      <c r="C5036"/>
      <c r="D5036"/>
      <c r="E5036" s="364"/>
      <c r="F5036"/>
    </row>
    <row r="5037" spans="1:6" x14ac:dyDescent="0.25">
      <c r="A5037" s="364"/>
      <c r="B5037"/>
      <c r="C5037"/>
      <c r="D5037"/>
      <c r="E5037" s="364"/>
      <c r="F5037"/>
    </row>
    <row r="5038" spans="1:6" x14ac:dyDescent="0.25">
      <c r="A5038" s="364"/>
      <c r="B5038"/>
      <c r="C5038"/>
      <c r="D5038"/>
      <c r="E5038" s="364"/>
      <c r="F5038"/>
    </row>
    <row r="5039" spans="1:6" x14ac:dyDescent="0.25">
      <c r="A5039" s="364"/>
      <c r="B5039"/>
      <c r="C5039"/>
      <c r="D5039"/>
      <c r="E5039" s="364"/>
      <c r="F5039"/>
    </row>
    <row r="5040" spans="1:6" x14ac:dyDescent="0.25">
      <c r="A5040" s="364"/>
      <c r="B5040"/>
      <c r="C5040"/>
      <c r="D5040"/>
      <c r="E5040" s="364"/>
      <c r="F5040"/>
    </row>
    <row r="5041" spans="1:6" x14ac:dyDescent="0.25">
      <c r="A5041" s="364"/>
      <c r="B5041"/>
      <c r="C5041"/>
      <c r="D5041"/>
      <c r="E5041" s="364"/>
      <c r="F5041"/>
    </row>
    <row r="5042" spans="1:6" x14ac:dyDescent="0.25">
      <c r="A5042" s="364"/>
      <c r="B5042"/>
      <c r="C5042"/>
      <c r="D5042"/>
      <c r="E5042" s="364"/>
      <c r="F5042"/>
    </row>
    <row r="5043" spans="1:6" x14ac:dyDescent="0.25">
      <c r="A5043" s="364"/>
      <c r="B5043"/>
      <c r="C5043"/>
      <c r="D5043"/>
      <c r="E5043" s="364"/>
      <c r="F5043"/>
    </row>
    <row r="5044" spans="1:6" x14ac:dyDescent="0.25">
      <c r="A5044" s="364"/>
      <c r="B5044"/>
      <c r="C5044"/>
      <c r="D5044"/>
      <c r="E5044" s="364"/>
      <c r="F5044"/>
    </row>
    <row r="5045" spans="1:6" x14ac:dyDescent="0.25">
      <c r="A5045" s="364"/>
      <c r="B5045"/>
      <c r="C5045"/>
      <c r="D5045"/>
      <c r="E5045" s="364"/>
      <c r="F5045"/>
    </row>
    <row r="5046" spans="1:6" x14ac:dyDescent="0.25">
      <c r="A5046" s="364"/>
      <c r="B5046"/>
      <c r="C5046"/>
      <c r="D5046"/>
      <c r="E5046" s="364"/>
      <c r="F5046"/>
    </row>
    <row r="5047" spans="1:6" x14ac:dyDescent="0.25">
      <c r="A5047" s="364"/>
      <c r="B5047"/>
      <c r="C5047"/>
      <c r="D5047"/>
      <c r="E5047" s="364"/>
      <c r="F5047"/>
    </row>
    <row r="5048" spans="1:6" x14ac:dyDescent="0.25">
      <c r="A5048" s="364"/>
      <c r="B5048"/>
      <c r="C5048"/>
      <c r="D5048"/>
      <c r="E5048" s="364"/>
      <c r="F5048"/>
    </row>
    <row r="5049" spans="1:6" x14ac:dyDescent="0.25">
      <c r="A5049" s="364"/>
      <c r="B5049"/>
      <c r="C5049"/>
      <c r="D5049"/>
      <c r="E5049" s="364"/>
      <c r="F5049"/>
    </row>
    <row r="5050" spans="1:6" x14ac:dyDescent="0.25">
      <c r="A5050" s="364"/>
      <c r="B5050"/>
      <c r="C5050"/>
      <c r="D5050"/>
      <c r="E5050" s="364"/>
      <c r="F5050"/>
    </row>
    <row r="5051" spans="1:6" x14ac:dyDescent="0.25">
      <c r="A5051" s="364"/>
      <c r="B5051"/>
      <c r="C5051"/>
      <c r="D5051"/>
      <c r="E5051" s="364"/>
      <c r="F5051"/>
    </row>
    <row r="5052" spans="1:6" x14ac:dyDescent="0.25">
      <c r="A5052" s="364"/>
      <c r="B5052"/>
      <c r="C5052"/>
      <c r="D5052"/>
      <c r="E5052" s="364"/>
      <c r="F5052"/>
    </row>
    <row r="5053" spans="1:6" x14ac:dyDescent="0.25">
      <c r="A5053" s="364"/>
      <c r="B5053"/>
      <c r="C5053"/>
      <c r="D5053"/>
      <c r="E5053" s="364"/>
      <c r="F5053"/>
    </row>
    <row r="5054" spans="1:6" x14ac:dyDescent="0.25">
      <c r="A5054" s="364"/>
      <c r="B5054"/>
      <c r="C5054"/>
      <c r="D5054"/>
      <c r="E5054" s="364"/>
      <c r="F5054"/>
    </row>
    <row r="5055" spans="1:6" x14ac:dyDescent="0.25">
      <c r="A5055" s="364"/>
      <c r="B5055"/>
      <c r="C5055"/>
      <c r="D5055"/>
      <c r="E5055" s="364"/>
      <c r="F5055"/>
    </row>
    <row r="5056" spans="1:6" x14ac:dyDescent="0.25">
      <c r="A5056" s="364"/>
      <c r="B5056"/>
      <c r="C5056"/>
      <c r="D5056"/>
      <c r="E5056" s="364"/>
      <c r="F5056"/>
    </row>
    <row r="5057" spans="1:6" x14ac:dyDescent="0.25">
      <c r="A5057" s="364"/>
      <c r="B5057"/>
      <c r="C5057"/>
      <c r="D5057"/>
      <c r="E5057" s="364"/>
      <c r="F5057"/>
    </row>
    <row r="5058" spans="1:6" x14ac:dyDescent="0.25">
      <c r="A5058" s="364"/>
      <c r="B5058"/>
      <c r="C5058"/>
      <c r="D5058"/>
      <c r="E5058" s="364"/>
      <c r="F5058"/>
    </row>
    <row r="5059" spans="1:6" x14ac:dyDescent="0.25">
      <c r="A5059" s="364"/>
      <c r="B5059"/>
      <c r="C5059"/>
      <c r="D5059"/>
      <c r="E5059" s="364"/>
      <c r="F5059"/>
    </row>
    <row r="5060" spans="1:6" x14ac:dyDescent="0.25">
      <c r="A5060" s="364"/>
      <c r="B5060"/>
      <c r="C5060"/>
      <c r="D5060"/>
      <c r="E5060" s="364"/>
      <c r="F5060"/>
    </row>
    <row r="5061" spans="1:6" x14ac:dyDescent="0.25">
      <c r="A5061" s="364"/>
      <c r="B5061"/>
      <c r="C5061"/>
      <c r="D5061"/>
      <c r="E5061" s="364"/>
      <c r="F5061"/>
    </row>
    <row r="5062" spans="1:6" x14ac:dyDescent="0.25">
      <c r="A5062" s="364"/>
      <c r="B5062"/>
      <c r="C5062"/>
      <c r="D5062"/>
      <c r="E5062" s="364"/>
      <c r="F5062"/>
    </row>
    <row r="5063" spans="1:6" x14ac:dyDescent="0.25">
      <c r="A5063" s="364"/>
      <c r="B5063"/>
      <c r="C5063"/>
      <c r="D5063"/>
      <c r="E5063" s="364"/>
      <c r="F5063"/>
    </row>
    <row r="5064" spans="1:6" x14ac:dyDescent="0.25">
      <c r="A5064" s="364"/>
      <c r="B5064"/>
      <c r="C5064"/>
      <c r="D5064"/>
      <c r="E5064" s="364"/>
      <c r="F5064"/>
    </row>
    <row r="5065" spans="1:6" x14ac:dyDescent="0.25">
      <c r="A5065" s="364"/>
      <c r="B5065"/>
      <c r="C5065"/>
      <c r="D5065"/>
      <c r="E5065" s="364"/>
      <c r="F5065"/>
    </row>
    <row r="5066" spans="1:6" x14ac:dyDescent="0.25">
      <c r="A5066" s="364"/>
      <c r="B5066"/>
      <c r="C5066"/>
      <c r="D5066"/>
      <c r="E5066" s="364"/>
      <c r="F5066"/>
    </row>
    <row r="5067" spans="1:6" x14ac:dyDescent="0.25">
      <c r="A5067" s="364"/>
      <c r="B5067"/>
      <c r="C5067"/>
      <c r="D5067"/>
      <c r="E5067" s="364"/>
      <c r="F5067"/>
    </row>
    <row r="5068" spans="1:6" x14ac:dyDescent="0.25">
      <c r="A5068" s="364"/>
      <c r="B5068"/>
      <c r="C5068"/>
      <c r="D5068"/>
      <c r="E5068" s="364"/>
      <c r="F5068"/>
    </row>
    <row r="5069" spans="1:6" x14ac:dyDescent="0.25">
      <c r="A5069" s="364"/>
      <c r="B5069"/>
      <c r="C5069"/>
      <c r="D5069"/>
      <c r="E5069" s="364"/>
      <c r="F5069"/>
    </row>
    <row r="5070" spans="1:6" x14ac:dyDescent="0.25">
      <c r="A5070" s="364"/>
      <c r="B5070"/>
      <c r="C5070"/>
      <c r="D5070"/>
      <c r="E5070" s="364"/>
      <c r="F5070"/>
    </row>
    <row r="5071" spans="1:6" x14ac:dyDescent="0.25">
      <c r="A5071" s="364"/>
      <c r="B5071"/>
      <c r="C5071"/>
      <c r="D5071"/>
      <c r="E5071" s="364"/>
      <c r="F5071"/>
    </row>
    <row r="5072" spans="1:6" x14ac:dyDescent="0.25">
      <c r="A5072" s="364"/>
      <c r="B5072"/>
      <c r="C5072"/>
      <c r="D5072"/>
      <c r="E5072" s="364"/>
      <c r="F5072"/>
    </row>
    <row r="5073" spans="1:6" x14ac:dyDescent="0.25">
      <c r="A5073" s="364"/>
      <c r="B5073"/>
      <c r="C5073"/>
      <c r="D5073"/>
      <c r="E5073" s="364"/>
      <c r="F5073"/>
    </row>
    <row r="5074" spans="1:6" x14ac:dyDescent="0.25">
      <c r="A5074" s="364"/>
      <c r="B5074"/>
      <c r="C5074"/>
      <c r="D5074"/>
      <c r="E5074" s="364"/>
      <c r="F5074"/>
    </row>
    <row r="5075" spans="1:6" x14ac:dyDescent="0.25">
      <c r="A5075" s="364"/>
      <c r="B5075"/>
      <c r="C5075"/>
      <c r="D5075"/>
      <c r="E5075" s="364"/>
      <c r="F5075"/>
    </row>
    <row r="5076" spans="1:6" x14ac:dyDescent="0.25">
      <c r="A5076" s="364"/>
      <c r="B5076"/>
      <c r="C5076"/>
      <c r="D5076"/>
      <c r="E5076" s="364"/>
      <c r="F5076"/>
    </row>
    <row r="5077" spans="1:6" x14ac:dyDescent="0.25">
      <c r="A5077" s="364"/>
      <c r="B5077"/>
      <c r="C5077"/>
      <c r="D5077"/>
      <c r="E5077" s="364"/>
      <c r="F5077"/>
    </row>
    <row r="5078" spans="1:6" x14ac:dyDescent="0.25">
      <c r="A5078" s="364"/>
      <c r="B5078"/>
      <c r="C5078"/>
      <c r="D5078"/>
      <c r="E5078" s="364"/>
      <c r="F5078"/>
    </row>
    <row r="5079" spans="1:6" x14ac:dyDescent="0.25">
      <c r="A5079" s="364"/>
      <c r="B5079"/>
      <c r="C5079"/>
      <c r="D5079"/>
      <c r="E5079" s="364"/>
      <c r="F5079"/>
    </row>
    <row r="5080" spans="1:6" x14ac:dyDescent="0.25">
      <c r="A5080" s="364"/>
      <c r="B5080"/>
      <c r="C5080"/>
      <c r="D5080"/>
      <c r="E5080" s="364"/>
      <c r="F5080"/>
    </row>
    <row r="5081" spans="1:6" x14ac:dyDescent="0.25">
      <c r="A5081" s="364"/>
      <c r="B5081"/>
      <c r="C5081"/>
      <c r="D5081"/>
      <c r="E5081" s="364"/>
      <c r="F5081"/>
    </row>
    <row r="5082" spans="1:6" x14ac:dyDescent="0.25">
      <c r="A5082" s="364"/>
      <c r="B5082"/>
      <c r="C5082"/>
      <c r="D5082"/>
      <c r="E5082" s="364"/>
      <c r="F5082"/>
    </row>
    <row r="5083" spans="1:6" x14ac:dyDescent="0.25">
      <c r="A5083" s="364"/>
      <c r="B5083"/>
      <c r="C5083"/>
      <c r="D5083"/>
      <c r="E5083" s="364"/>
      <c r="F5083"/>
    </row>
    <row r="5084" spans="1:6" x14ac:dyDescent="0.25">
      <c r="A5084" s="364"/>
      <c r="B5084"/>
      <c r="C5084"/>
      <c r="D5084"/>
      <c r="E5084" s="364"/>
      <c r="F5084"/>
    </row>
    <row r="5085" spans="1:6" x14ac:dyDescent="0.25">
      <c r="A5085" s="364"/>
      <c r="B5085"/>
      <c r="C5085"/>
      <c r="D5085"/>
      <c r="E5085" s="364"/>
      <c r="F5085"/>
    </row>
    <row r="5086" spans="1:6" x14ac:dyDescent="0.25">
      <c r="A5086" s="364"/>
      <c r="B5086"/>
      <c r="C5086"/>
      <c r="D5086"/>
      <c r="E5086" s="364"/>
      <c r="F5086"/>
    </row>
    <row r="5087" spans="1:6" x14ac:dyDescent="0.25">
      <c r="A5087" s="364"/>
      <c r="B5087"/>
      <c r="C5087"/>
      <c r="D5087"/>
      <c r="E5087" s="364"/>
      <c r="F5087"/>
    </row>
    <row r="5088" spans="1:6" x14ac:dyDescent="0.25">
      <c r="A5088" s="364"/>
      <c r="B5088"/>
      <c r="C5088"/>
      <c r="D5088"/>
      <c r="E5088" s="364"/>
      <c r="F5088"/>
    </row>
    <row r="5089" spans="1:6" x14ac:dyDescent="0.25">
      <c r="A5089" s="364"/>
      <c r="B5089"/>
      <c r="C5089"/>
      <c r="D5089"/>
      <c r="E5089" s="364"/>
      <c r="F5089"/>
    </row>
    <row r="5090" spans="1:6" x14ac:dyDescent="0.25">
      <c r="A5090" s="364"/>
      <c r="B5090"/>
      <c r="C5090"/>
      <c r="D5090"/>
      <c r="E5090" s="364"/>
      <c r="F5090"/>
    </row>
    <row r="5091" spans="1:6" x14ac:dyDescent="0.25">
      <c r="A5091" s="364"/>
      <c r="B5091"/>
      <c r="C5091"/>
      <c r="D5091"/>
      <c r="E5091" s="364"/>
      <c r="F5091"/>
    </row>
    <row r="5092" spans="1:6" x14ac:dyDescent="0.25">
      <c r="A5092" s="364"/>
      <c r="B5092"/>
      <c r="C5092"/>
      <c r="D5092"/>
      <c r="E5092" s="364"/>
      <c r="F5092"/>
    </row>
    <row r="5093" spans="1:6" x14ac:dyDescent="0.25">
      <c r="A5093" s="364"/>
      <c r="B5093"/>
      <c r="C5093"/>
      <c r="D5093"/>
      <c r="E5093" s="364"/>
      <c r="F5093"/>
    </row>
    <row r="5094" spans="1:6" x14ac:dyDescent="0.25">
      <c r="A5094" s="364"/>
      <c r="B5094"/>
      <c r="C5094"/>
      <c r="D5094"/>
      <c r="E5094" s="364"/>
      <c r="F5094"/>
    </row>
    <row r="5095" spans="1:6" x14ac:dyDescent="0.25">
      <c r="A5095" s="364"/>
      <c r="B5095"/>
      <c r="C5095"/>
      <c r="D5095"/>
      <c r="E5095" s="364"/>
      <c r="F5095"/>
    </row>
    <row r="5096" spans="1:6" x14ac:dyDescent="0.25">
      <c r="A5096" s="364"/>
      <c r="B5096"/>
      <c r="C5096"/>
      <c r="D5096"/>
      <c r="E5096" s="364"/>
      <c r="F5096"/>
    </row>
    <row r="5097" spans="1:6" x14ac:dyDescent="0.25">
      <c r="A5097" s="364"/>
      <c r="B5097"/>
      <c r="C5097"/>
      <c r="D5097"/>
      <c r="E5097" s="364"/>
      <c r="F5097"/>
    </row>
    <row r="5098" spans="1:6" x14ac:dyDescent="0.25">
      <c r="A5098" s="364"/>
      <c r="B5098"/>
      <c r="C5098"/>
      <c r="D5098"/>
      <c r="E5098" s="364"/>
      <c r="F5098"/>
    </row>
    <row r="5099" spans="1:6" x14ac:dyDescent="0.25">
      <c r="A5099" s="364"/>
      <c r="B5099"/>
      <c r="C5099"/>
      <c r="D5099"/>
      <c r="E5099" s="364"/>
      <c r="F5099"/>
    </row>
    <row r="5100" spans="1:6" x14ac:dyDescent="0.25">
      <c r="A5100" s="364"/>
      <c r="B5100"/>
      <c r="C5100"/>
      <c r="D5100"/>
      <c r="E5100" s="364"/>
      <c r="F5100"/>
    </row>
    <row r="5101" spans="1:6" x14ac:dyDescent="0.25">
      <c r="A5101" s="364"/>
      <c r="B5101"/>
      <c r="C5101"/>
      <c r="D5101"/>
      <c r="E5101" s="364"/>
      <c r="F5101"/>
    </row>
    <row r="5102" spans="1:6" x14ac:dyDescent="0.25">
      <c r="A5102" s="364"/>
      <c r="B5102"/>
      <c r="C5102"/>
      <c r="D5102"/>
      <c r="E5102" s="364"/>
      <c r="F5102"/>
    </row>
    <row r="5103" spans="1:6" x14ac:dyDescent="0.25">
      <c r="A5103" s="364"/>
      <c r="B5103"/>
      <c r="C5103"/>
      <c r="D5103"/>
      <c r="E5103" s="364"/>
      <c r="F5103"/>
    </row>
    <row r="5104" spans="1:6" x14ac:dyDescent="0.25">
      <c r="A5104" s="364"/>
      <c r="B5104"/>
      <c r="C5104"/>
      <c r="D5104"/>
      <c r="E5104" s="364"/>
      <c r="F5104"/>
    </row>
    <row r="5105" spans="1:6" x14ac:dyDescent="0.25">
      <c r="A5105" s="364"/>
      <c r="B5105"/>
      <c r="C5105"/>
      <c r="D5105"/>
      <c r="E5105" s="364"/>
      <c r="F5105"/>
    </row>
    <row r="5106" spans="1:6" x14ac:dyDescent="0.25">
      <c r="A5106" s="364"/>
      <c r="B5106"/>
      <c r="C5106"/>
      <c r="D5106"/>
      <c r="E5106" s="364"/>
      <c r="F5106"/>
    </row>
    <row r="5107" spans="1:6" x14ac:dyDescent="0.25">
      <c r="A5107" s="364"/>
      <c r="B5107"/>
      <c r="C5107"/>
      <c r="D5107"/>
      <c r="E5107" s="364"/>
      <c r="F5107"/>
    </row>
    <row r="5108" spans="1:6" x14ac:dyDescent="0.25">
      <c r="A5108" s="364"/>
      <c r="B5108"/>
      <c r="C5108"/>
      <c r="D5108"/>
      <c r="E5108" s="364"/>
      <c r="F5108"/>
    </row>
    <row r="5109" spans="1:6" x14ac:dyDescent="0.25">
      <c r="A5109" s="364"/>
      <c r="B5109"/>
      <c r="C5109"/>
      <c r="D5109"/>
      <c r="E5109" s="364"/>
      <c r="F5109"/>
    </row>
    <row r="5110" spans="1:6" x14ac:dyDescent="0.25">
      <c r="A5110" s="364"/>
      <c r="B5110"/>
      <c r="C5110"/>
      <c r="D5110"/>
      <c r="E5110" s="364"/>
      <c r="F5110"/>
    </row>
    <row r="5111" spans="1:6" x14ac:dyDescent="0.25">
      <c r="A5111" s="364"/>
      <c r="B5111"/>
      <c r="C5111"/>
      <c r="D5111"/>
      <c r="E5111" s="364"/>
      <c r="F5111"/>
    </row>
    <row r="5112" spans="1:6" x14ac:dyDescent="0.25">
      <c r="A5112" s="364"/>
      <c r="B5112"/>
      <c r="C5112"/>
      <c r="D5112"/>
      <c r="E5112" s="364"/>
      <c r="F5112"/>
    </row>
    <row r="5113" spans="1:6" x14ac:dyDescent="0.25">
      <c r="A5113" s="364"/>
      <c r="B5113"/>
      <c r="C5113"/>
      <c r="D5113"/>
      <c r="E5113" s="364"/>
      <c r="F5113"/>
    </row>
    <row r="5114" spans="1:6" x14ac:dyDescent="0.25">
      <c r="A5114" s="364"/>
      <c r="B5114"/>
      <c r="C5114"/>
      <c r="D5114"/>
      <c r="E5114" s="364"/>
      <c r="F5114"/>
    </row>
    <row r="5115" spans="1:6" x14ac:dyDescent="0.25">
      <c r="A5115" s="364"/>
      <c r="B5115"/>
      <c r="C5115"/>
      <c r="D5115"/>
      <c r="E5115" s="364"/>
      <c r="F5115"/>
    </row>
    <row r="5116" spans="1:6" x14ac:dyDescent="0.25">
      <c r="A5116" s="364"/>
      <c r="B5116"/>
      <c r="C5116"/>
      <c r="D5116"/>
      <c r="E5116" s="364"/>
      <c r="F5116"/>
    </row>
    <row r="5117" spans="1:6" x14ac:dyDescent="0.25">
      <c r="A5117" s="364"/>
      <c r="B5117"/>
      <c r="C5117"/>
      <c r="D5117"/>
      <c r="E5117" s="364"/>
      <c r="F5117"/>
    </row>
    <row r="5118" spans="1:6" x14ac:dyDescent="0.25">
      <c r="A5118" s="364"/>
      <c r="B5118"/>
      <c r="C5118"/>
      <c r="D5118"/>
      <c r="E5118" s="364"/>
      <c r="F5118"/>
    </row>
    <row r="5119" spans="1:6" x14ac:dyDescent="0.25">
      <c r="A5119" s="364"/>
      <c r="B5119"/>
      <c r="C5119"/>
      <c r="D5119"/>
      <c r="E5119" s="364"/>
      <c r="F5119"/>
    </row>
    <row r="5120" spans="1:6" x14ac:dyDescent="0.25">
      <c r="A5120" s="364"/>
      <c r="B5120"/>
      <c r="C5120"/>
      <c r="D5120"/>
      <c r="E5120" s="364"/>
      <c r="F5120"/>
    </row>
    <row r="5121" spans="1:6" x14ac:dyDescent="0.25">
      <c r="A5121" s="364"/>
      <c r="B5121"/>
      <c r="C5121"/>
      <c r="D5121"/>
      <c r="E5121" s="364"/>
      <c r="F5121"/>
    </row>
    <row r="5122" spans="1:6" x14ac:dyDescent="0.25">
      <c r="A5122" s="364"/>
      <c r="B5122"/>
      <c r="C5122"/>
      <c r="D5122"/>
      <c r="E5122" s="364"/>
      <c r="F5122"/>
    </row>
    <row r="5123" spans="1:6" x14ac:dyDescent="0.25">
      <c r="A5123" s="364"/>
      <c r="B5123"/>
      <c r="C5123"/>
      <c r="D5123"/>
      <c r="E5123" s="364"/>
      <c r="F5123"/>
    </row>
    <row r="5124" spans="1:6" x14ac:dyDescent="0.25">
      <c r="A5124" s="364"/>
      <c r="B5124"/>
      <c r="C5124"/>
      <c r="D5124"/>
      <c r="E5124" s="364"/>
      <c r="F5124"/>
    </row>
    <row r="5125" spans="1:6" x14ac:dyDescent="0.25">
      <c r="A5125" s="364"/>
      <c r="B5125"/>
      <c r="C5125"/>
      <c r="D5125"/>
      <c r="E5125" s="364"/>
      <c r="F5125"/>
    </row>
    <row r="5126" spans="1:6" x14ac:dyDescent="0.25">
      <c r="A5126" s="364"/>
      <c r="B5126"/>
      <c r="C5126"/>
      <c r="D5126"/>
      <c r="E5126" s="364"/>
      <c r="F5126"/>
    </row>
    <row r="5127" spans="1:6" x14ac:dyDescent="0.25">
      <c r="A5127" s="364"/>
      <c r="B5127"/>
      <c r="C5127"/>
      <c r="D5127"/>
      <c r="E5127" s="364"/>
      <c r="F5127"/>
    </row>
    <row r="5128" spans="1:6" x14ac:dyDescent="0.25">
      <c r="A5128" s="364"/>
      <c r="B5128"/>
      <c r="C5128"/>
      <c r="D5128"/>
      <c r="E5128" s="364"/>
      <c r="F5128"/>
    </row>
    <row r="5129" spans="1:6" x14ac:dyDescent="0.25">
      <c r="A5129" s="364"/>
      <c r="B5129"/>
      <c r="C5129"/>
      <c r="D5129"/>
      <c r="E5129" s="364"/>
      <c r="F5129"/>
    </row>
    <row r="5130" spans="1:6" x14ac:dyDescent="0.25">
      <c r="A5130" s="364"/>
      <c r="B5130"/>
      <c r="C5130"/>
      <c r="D5130"/>
      <c r="E5130" s="364"/>
      <c r="F5130"/>
    </row>
    <row r="5131" spans="1:6" x14ac:dyDescent="0.25">
      <c r="A5131" s="364"/>
      <c r="B5131"/>
      <c r="C5131"/>
      <c r="D5131"/>
      <c r="E5131" s="364"/>
      <c r="F5131"/>
    </row>
    <row r="5132" spans="1:6" x14ac:dyDescent="0.25">
      <c r="A5132" s="364"/>
      <c r="B5132"/>
      <c r="C5132"/>
      <c r="D5132"/>
      <c r="E5132" s="364"/>
      <c r="F5132"/>
    </row>
    <row r="5133" spans="1:6" x14ac:dyDescent="0.25">
      <c r="A5133" s="364"/>
      <c r="B5133"/>
      <c r="C5133"/>
      <c r="D5133"/>
      <c r="E5133" s="364"/>
      <c r="F5133"/>
    </row>
    <row r="5134" spans="1:6" x14ac:dyDescent="0.25">
      <c r="A5134" s="364"/>
      <c r="B5134"/>
      <c r="C5134"/>
      <c r="D5134"/>
      <c r="E5134" s="364"/>
      <c r="F5134"/>
    </row>
    <row r="5135" spans="1:6" x14ac:dyDescent="0.25">
      <c r="A5135" s="364"/>
      <c r="B5135"/>
      <c r="C5135"/>
      <c r="D5135"/>
      <c r="E5135" s="364"/>
      <c r="F5135"/>
    </row>
    <row r="5136" spans="1:6" x14ac:dyDescent="0.25">
      <c r="A5136" s="364"/>
      <c r="B5136"/>
      <c r="C5136"/>
      <c r="D5136"/>
      <c r="E5136" s="364"/>
      <c r="F5136"/>
    </row>
    <row r="5137" spans="1:6" x14ac:dyDescent="0.25">
      <c r="A5137" s="364"/>
      <c r="B5137"/>
      <c r="C5137"/>
      <c r="D5137"/>
      <c r="E5137" s="364"/>
      <c r="F5137"/>
    </row>
    <row r="5138" spans="1:6" x14ac:dyDescent="0.25">
      <c r="A5138" s="364"/>
      <c r="B5138"/>
      <c r="C5138"/>
      <c r="D5138"/>
      <c r="E5138" s="364"/>
      <c r="F5138"/>
    </row>
    <row r="5139" spans="1:6" x14ac:dyDescent="0.25">
      <c r="A5139" s="364"/>
      <c r="B5139"/>
      <c r="C5139"/>
      <c r="D5139"/>
      <c r="E5139" s="364"/>
      <c r="F5139"/>
    </row>
    <row r="5140" spans="1:6" x14ac:dyDescent="0.25">
      <c r="A5140" s="364"/>
      <c r="B5140"/>
      <c r="C5140"/>
      <c r="D5140"/>
      <c r="E5140" s="364"/>
      <c r="F5140"/>
    </row>
    <row r="5141" spans="1:6" x14ac:dyDescent="0.25">
      <c r="A5141" s="364"/>
      <c r="B5141"/>
      <c r="C5141"/>
      <c r="D5141"/>
      <c r="E5141" s="364"/>
      <c r="F5141"/>
    </row>
    <row r="5142" spans="1:6" x14ac:dyDescent="0.25">
      <c r="A5142" s="364"/>
      <c r="B5142"/>
      <c r="C5142"/>
      <c r="D5142"/>
      <c r="E5142" s="364"/>
      <c r="F5142"/>
    </row>
    <row r="5143" spans="1:6" x14ac:dyDescent="0.25">
      <c r="A5143" s="364"/>
      <c r="B5143"/>
      <c r="C5143"/>
      <c r="D5143"/>
      <c r="E5143" s="364"/>
      <c r="F5143"/>
    </row>
    <row r="5144" spans="1:6" x14ac:dyDescent="0.25">
      <c r="A5144" s="364"/>
      <c r="B5144"/>
      <c r="C5144"/>
      <c r="D5144"/>
      <c r="E5144" s="364"/>
      <c r="F5144"/>
    </row>
    <row r="5145" spans="1:6" x14ac:dyDescent="0.25">
      <c r="A5145" s="364"/>
      <c r="B5145"/>
      <c r="C5145"/>
      <c r="D5145"/>
      <c r="E5145" s="364"/>
      <c r="F5145"/>
    </row>
    <row r="5146" spans="1:6" x14ac:dyDescent="0.25">
      <c r="A5146" s="364"/>
      <c r="B5146"/>
      <c r="C5146"/>
      <c r="D5146"/>
      <c r="E5146" s="364"/>
      <c r="F5146"/>
    </row>
    <row r="5147" spans="1:6" x14ac:dyDescent="0.25">
      <c r="A5147" s="364"/>
      <c r="B5147"/>
      <c r="C5147"/>
      <c r="D5147"/>
      <c r="E5147" s="364"/>
      <c r="F5147"/>
    </row>
    <row r="5148" spans="1:6" x14ac:dyDescent="0.25">
      <c r="A5148" s="364"/>
      <c r="B5148"/>
      <c r="C5148"/>
      <c r="D5148"/>
      <c r="E5148" s="364"/>
      <c r="F5148"/>
    </row>
    <row r="5149" spans="1:6" x14ac:dyDescent="0.25">
      <c r="A5149" s="364"/>
      <c r="B5149"/>
      <c r="C5149"/>
      <c r="D5149"/>
      <c r="E5149" s="364"/>
      <c r="F5149"/>
    </row>
    <row r="5150" spans="1:6" x14ac:dyDescent="0.25">
      <c r="A5150" s="364"/>
      <c r="B5150"/>
      <c r="C5150"/>
      <c r="D5150"/>
      <c r="E5150" s="364"/>
      <c r="F5150"/>
    </row>
    <row r="5151" spans="1:6" x14ac:dyDescent="0.25">
      <c r="A5151" s="364"/>
      <c r="B5151"/>
      <c r="C5151"/>
      <c r="D5151"/>
      <c r="E5151" s="364"/>
      <c r="F5151"/>
    </row>
    <row r="5152" spans="1:6" x14ac:dyDescent="0.25">
      <c r="A5152" s="364"/>
      <c r="B5152"/>
      <c r="C5152"/>
      <c r="D5152"/>
      <c r="E5152" s="364"/>
      <c r="F5152"/>
    </row>
    <row r="5153" spans="1:6" x14ac:dyDescent="0.25">
      <c r="A5153" s="364"/>
      <c r="B5153"/>
      <c r="C5153"/>
      <c r="D5153"/>
      <c r="E5153" s="364"/>
      <c r="F5153"/>
    </row>
    <row r="5154" spans="1:6" x14ac:dyDescent="0.25">
      <c r="A5154" s="364"/>
      <c r="B5154"/>
      <c r="C5154"/>
      <c r="D5154"/>
      <c r="E5154" s="364"/>
      <c r="F5154"/>
    </row>
    <row r="5155" spans="1:6" x14ac:dyDescent="0.25">
      <c r="A5155" s="364"/>
      <c r="B5155"/>
      <c r="C5155"/>
      <c r="D5155"/>
      <c r="E5155" s="364"/>
      <c r="F5155"/>
    </row>
    <row r="5156" spans="1:6" x14ac:dyDescent="0.25">
      <c r="A5156" s="364"/>
      <c r="B5156"/>
      <c r="C5156"/>
      <c r="D5156"/>
      <c r="E5156" s="364"/>
      <c r="F5156"/>
    </row>
    <row r="5157" spans="1:6" x14ac:dyDescent="0.25">
      <c r="A5157" s="364"/>
      <c r="B5157"/>
      <c r="C5157"/>
      <c r="D5157"/>
      <c r="E5157" s="364"/>
      <c r="F5157"/>
    </row>
    <row r="5158" spans="1:6" x14ac:dyDescent="0.25">
      <c r="A5158" s="364"/>
      <c r="B5158"/>
      <c r="C5158"/>
      <c r="D5158"/>
      <c r="E5158" s="364"/>
      <c r="F5158"/>
    </row>
    <row r="5159" spans="1:6" x14ac:dyDescent="0.25">
      <c r="A5159" s="364"/>
      <c r="B5159"/>
      <c r="C5159"/>
      <c r="D5159"/>
      <c r="E5159" s="364"/>
      <c r="F5159"/>
    </row>
    <row r="5160" spans="1:6" x14ac:dyDescent="0.25">
      <c r="A5160" s="364"/>
      <c r="B5160"/>
      <c r="C5160"/>
      <c r="D5160"/>
      <c r="E5160" s="364"/>
      <c r="F5160"/>
    </row>
    <row r="5161" spans="1:6" x14ac:dyDescent="0.25">
      <c r="A5161" s="364"/>
      <c r="B5161"/>
      <c r="C5161"/>
      <c r="D5161"/>
      <c r="E5161" s="364"/>
      <c r="F5161"/>
    </row>
    <row r="5162" spans="1:6" x14ac:dyDescent="0.25">
      <c r="A5162" s="364"/>
      <c r="B5162"/>
      <c r="C5162"/>
      <c r="D5162"/>
      <c r="E5162" s="364"/>
      <c r="F5162"/>
    </row>
    <row r="5163" spans="1:6" x14ac:dyDescent="0.25">
      <c r="A5163" s="364"/>
      <c r="B5163"/>
      <c r="C5163"/>
      <c r="D5163"/>
      <c r="E5163" s="364"/>
      <c r="F5163"/>
    </row>
    <row r="5164" spans="1:6" x14ac:dyDescent="0.25">
      <c r="A5164" s="364"/>
      <c r="B5164"/>
      <c r="C5164"/>
      <c r="D5164"/>
      <c r="E5164" s="364"/>
      <c r="F5164"/>
    </row>
    <row r="5165" spans="1:6" x14ac:dyDescent="0.25">
      <c r="A5165" s="364"/>
      <c r="B5165"/>
      <c r="C5165"/>
      <c r="D5165"/>
      <c r="E5165" s="364"/>
      <c r="F5165"/>
    </row>
    <row r="5166" spans="1:6" x14ac:dyDescent="0.25">
      <c r="A5166" s="364"/>
      <c r="B5166"/>
      <c r="C5166"/>
      <c r="D5166"/>
      <c r="E5166" s="364"/>
      <c r="F5166"/>
    </row>
    <row r="5167" spans="1:6" x14ac:dyDescent="0.25">
      <c r="A5167" s="364"/>
      <c r="B5167"/>
      <c r="C5167"/>
      <c r="D5167"/>
      <c r="E5167" s="364"/>
      <c r="F5167"/>
    </row>
    <row r="5168" spans="1:6" x14ac:dyDescent="0.25">
      <c r="A5168" s="364"/>
      <c r="B5168"/>
      <c r="C5168"/>
      <c r="D5168"/>
      <c r="E5168" s="364"/>
      <c r="F5168"/>
    </row>
    <row r="5169" spans="1:6" x14ac:dyDescent="0.25">
      <c r="A5169" s="364"/>
      <c r="B5169"/>
      <c r="C5169"/>
      <c r="D5169"/>
      <c r="E5169" s="364"/>
      <c r="F5169"/>
    </row>
    <row r="5170" spans="1:6" x14ac:dyDescent="0.25">
      <c r="A5170" s="364"/>
      <c r="B5170"/>
      <c r="C5170"/>
      <c r="D5170"/>
      <c r="E5170" s="364"/>
      <c r="F5170"/>
    </row>
    <row r="5171" spans="1:6" x14ac:dyDescent="0.25">
      <c r="A5171" s="364"/>
      <c r="B5171"/>
      <c r="C5171"/>
      <c r="D5171"/>
      <c r="E5171" s="364"/>
      <c r="F5171"/>
    </row>
    <row r="5172" spans="1:6" x14ac:dyDescent="0.25">
      <c r="A5172" s="364"/>
      <c r="B5172"/>
      <c r="C5172"/>
      <c r="D5172"/>
      <c r="E5172" s="364"/>
      <c r="F5172"/>
    </row>
    <row r="5173" spans="1:6" x14ac:dyDescent="0.25">
      <c r="A5173" s="364"/>
      <c r="B5173"/>
      <c r="C5173"/>
      <c r="D5173"/>
      <c r="E5173" s="364"/>
      <c r="F5173"/>
    </row>
    <row r="5174" spans="1:6" x14ac:dyDescent="0.25">
      <c r="A5174" s="364"/>
      <c r="B5174"/>
      <c r="C5174"/>
      <c r="D5174"/>
      <c r="E5174" s="364"/>
      <c r="F5174"/>
    </row>
    <row r="5175" spans="1:6" x14ac:dyDescent="0.25">
      <c r="A5175" s="364"/>
      <c r="B5175"/>
      <c r="C5175"/>
      <c r="D5175"/>
      <c r="E5175" s="364"/>
      <c r="F5175"/>
    </row>
    <row r="5176" spans="1:6" x14ac:dyDescent="0.25">
      <c r="A5176" s="364"/>
      <c r="B5176"/>
      <c r="C5176"/>
      <c r="D5176"/>
      <c r="E5176" s="364"/>
      <c r="F5176"/>
    </row>
    <row r="5177" spans="1:6" x14ac:dyDescent="0.25">
      <c r="A5177" s="364"/>
      <c r="B5177"/>
      <c r="C5177"/>
      <c r="D5177"/>
      <c r="E5177" s="364"/>
      <c r="F5177"/>
    </row>
    <row r="5178" spans="1:6" x14ac:dyDescent="0.25">
      <c r="A5178" s="364"/>
      <c r="B5178"/>
      <c r="C5178"/>
      <c r="D5178"/>
      <c r="E5178" s="364"/>
      <c r="F5178"/>
    </row>
    <row r="5179" spans="1:6" x14ac:dyDescent="0.25">
      <c r="A5179" s="364"/>
      <c r="B5179"/>
      <c r="C5179"/>
      <c r="D5179"/>
      <c r="E5179" s="364"/>
      <c r="F5179"/>
    </row>
    <row r="5180" spans="1:6" x14ac:dyDescent="0.25">
      <c r="A5180" s="364"/>
      <c r="B5180"/>
      <c r="C5180"/>
      <c r="D5180"/>
      <c r="E5180" s="364"/>
      <c r="F5180"/>
    </row>
    <row r="5181" spans="1:6" x14ac:dyDescent="0.25">
      <c r="A5181" s="364"/>
      <c r="B5181"/>
      <c r="C5181"/>
      <c r="D5181"/>
      <c r="E5181" s="364"/>
      <c r="F5181"/>
    </row>
    <row r="5182" spans="1:6" x14ac:dyDescent="0.25">
      <c r="A5182" s="364"/>
      <c r="B5182"/>
      <c r="C5182"/>
      <c r="D5182"/>
      <c r="E5182" s="364"/>
      <c r="F5182"/>
    </row>
    <row r="5183" spans="1:6" x14ac:dyDescent="0.25">
      <c r="A5183" s="364"/>
      <c r="B5183"/>
      <c r="C5183"/>
      <c r="D5183"/>
      <c r="E5183" s="364"/>
      <c r="F5183"/>
    </row>
    <row r="5184" spans="1:6" x14ac:dyDescent="0.25">
      <c r="A5184" s="364"/>
      <c r="B5184"/>
      <c r="C5184"/>
      <c r="D5184"/>
      <c r="E5184" s="364"/>
      <c r="F5184"/>
    </row>
    <row r="5185" spans="1:6" x14ac:dyDescent="0.25">
      <c r="A5185" s="364"/>
      <c r="B5185"/>
      <c r="C5185"/>
      <c r="D5185"/>
      <c r="E5185" s="364"/>
      <c r="F5185"/>
    </row>
    <row r="5186" spans="1:6" x14ac:dyDescent="0.25">
      <c r="A5186" s="364"/>
      <c r="B5186"/>
      <c r="C5186"/>
      <c r="D5186"/>
      <c r="E5186" s="364"/>
      <c r="F5186"/>
    </row>
    <row r="5187" spans="1:6" x14ac:dyDescent="0.25">
      <c r="A5187" s="364"/>
      <c r="B5187"/>
      <c r="C5187"/>
      <c r="D5187"/>
      <c r="E5187" s="364"/>
      <c r="F5187"/>
    </row>
    <row r="5188" spans="1:6" x14ac:dyDescent="0.25">
      <c r="A5188" s="364"/>
      <c r="B5188"/>
      <c r="C5188"/>
      <c r="D5188"/>
      <c r="E5188" s="364"/>
      <c r="F5188"/>
    </row>
    <row r="5189" spans="1:6" x14ac:dyDescent="0.25">
      <c r="A5189" s="364"/>
      <c r="B5189"/>
      <c r="C5189"/>
      <c r="D5189"/>
      <c r="E5189" s="364"/>
      <c r="F5189"/>
    </row>
    <row r="5190" spans="1:6" x14ac:dyDescent="0.25">
      <c r="A5190" s="364"/>
      <c r="B5190"/>
      <c r="C5190"/>
      <c r="D5190"/>
      <c r="E5190" s="364"/>
      <c r="F5190"/>
    </row>
    <row r="5191" spans="1:6" x14ac:dyDescent="0.25">
      <c r="A5191" s="364"/>
      <c r="B5191"/>
      <c r="C5191"/>
      <c r="D5191"/>
      <c r="E5191" s="364"/>
      <c r="F5191"/>
    </row>
    <row r="5192" spans="1:6" x14ac:dyDescent="0.25">
      <c r="A5192" s="364"/>
      <c r="B5192"/>
      <c r="C5192"/>
      <c r="D5192"/>
      <c r="E5192" s="364"/>
      <c r="F5192"/>
    </row>
    <row r="5193" spans="1:6" x14ac:dyDescent="0.25">
      <c r="A5193" s="364"/>
      <c r="B5193"/>
      <c r="C5193"/>
      <c r="D5193"/>
      <c r="E5193" s="364"/>
      <c r="F5193"/>
    </row>
    <row r="5194" spans="1:6" x14ac:dyDescent="0.25">
      <c r="A5194" s="364"/>
      <c r="B5194"/>
      <c r="C5194"/>
      <c r="D5194"/>
      <c r="E5194" s="364"/>
      <c r="F5194"/>
    </row>
    <row r="5195" spans="1:6" x14ac:dyDescent="0.25">
      <c r="A5195" s="364"/>
      <c r="B5195"/>
      <c r="C5195"/>
      <c r="D5195"/>
      <c r="E5195" s="364"/>
      <c r="F5195"/>
    </row>
    <row r="5196" spans="1:6" x14ac:dyDescent="0.25">
      <c r="A5196" s="364"/>
      <c r="B5196"/>
      <c r="C5196"/>
      <c r="D5196"/>
      <c r="E5196" s="364"/>
      <c r="F5196"/>
    </row>
    <row r="5197" spans="1:6" x14ac:dyDescent="0.25">
      <c r="A5197" s="364"/>
      <c r="B5197"/>
      <c r="C5197"/>
      <c r="D5197"/>
      <c r="E5197" s="364"/>
      <c r="F5197"/>
    </row>
    <row r="5198" spans="1:6" x14ac:dyDescent="0.25">
      <c r="A5198" s="364"/>
      <c r="B5198"/>
      <c r="C5198"/>
      <c r="D5198"/>
      <c r="E5198" s="364"/>
      <c r="F5198"/>
    </row>
    <row r="5199" spans="1:6" x14ac:dyDescent="0.25">
      <c r="A5199" s="364"/>
      <c r="B5199"/>
      <c r="C5199"/>
      <c r="D5199"/>
      <c r="E5199" s="364"/>
      <c r="F5199"/>
    </row>
    <row r="5200" spans="1:6" x14ac:dyDescent="0.25">
      <c r="A5200" s="364"/>
      <c r="B5200"/>
      <c r="C5200"/>
      <c r="D5200"/>
      <c r="E5200" s="364"/>
      <c r="F5200"/>
    </row>
    <row r="5201" spans="1:6" x14ac:dyDescent="0.25">
      <c r="A5201" s="364"/>
      <c r="B5201"/>
      <c r="C5201"/>
      <c r="D5201"/>
      <c r="E5201" s="364"/>
      <c r="F5201"/>
    </row>
    <row r="5202" spans="1:6" x14ac:dyDescent="0.25">
      <c r="A5202" s="364"/>
      <c r="B5202"/>
      <c r="C5202"/>
      <c r="D5202"/>
      <c r="E5202" s="364"/>
      <c r="F5202"/>
    </row>
    <row r="5203" spans="1:6" x14ac:dyDescent="0.25">
      <c r="A5203" s="364"/>
      <c r="B5203"/>
      <c r="C5203"/>
      <c r="D5203"/>
      <c r="E5203" s="364"/>
      <c r="F5203"/>
    </row>
    <row r="5204" spans="1:6" x14ac:dyDescent="0.25">
      <c r="A5204" s="364"/>
      <c r="B5204"/>
      <c r="C5204"/>
      <c r="D5204"/>
      <c r="E5204" s="364"/>
      <c r="F5204"/>
    </row>
    <row r="5205" spans="1:6" x14ac:dyDescent="0.25">
      <c r="A5205" s="364"/>
      <c r="B5205"/>
      <c r="C5205"/>
      <c r="D5205"/>
      <c r="E5205" s="364"/>
      <c r="F5205"/>
    </row>
    <row r="5206" spans="1:6" x14ac:dyDescent="0.25">
      <c r="A5206" s="364"/>
      <c r="B5206"/>
      <c r="C5206"/>
      <c r="D5206"/>
      <c r="E5206" s="364"/>
      <c r="F5206"/>
    </row>
    <row r="5207" spans="1:6" x14ac:dyDescent="0.25">
      <c r="A5207" s="364"/>
      <c r="B5207"/>
      <c r="C5207"/>
      <c r="D5207"/>
      <c r="E5207" s="364"/>
      <c r="F5207"/>
    </row>
    <row r="5208" spans="1:6" x14ac:dyDescent="0.25">
      <c r="A5208" s="364"/>
      <c r="B5208"/>
      <c r="C5208"/>
      <c r="D5208"/>
      <c r="E5208" s="364"/>
      <c r="F5208"/>
    </row>
    <row r="5209" spans="1:6" x14ac:dyDescent="0.25">
      <c r="A5209" s="364"/>
      <c r="B5209"/>
      <c r="C5209"/>
      <c r="D5209"/>
      <c r="E5209" s="364"/>
      <c r="F5209"/>
    </row>
    <row r="5210" spans="1:6" x14ac:dyDescent="0.25">
      <c r="A5210" s="364"/>
      <c r="B5210"/>
      <c r="C5210"/>
      <c r="D5210"/>
      <c r="E5210" s="364"/>
      <c r="F5210"/>
    </row>
    <row r="5211" spans="1:6" x14ac:dyDescent="0.25">
      <c r="A5211" s="364"/>
      <c r="B5211"/>
      <c r="C5211"/>
      <c r="D5211"/>
      <c r="E5211" s="364"/>
      <c r="F5211"/>
    </row>
    <row r="5212" spans="1:6" x14ac:dyDescent="0.25">
      <c r="A5212" s="364"/>
      <c r="B5212"/>
      <c r="C5212"/>
      <c r="D5212"/>
      <c r="E5212" s="364"/>
      <c r="F5212"/>
    </row>
    <row r="5213" spans="1:6" x14ac:dyDescent="0.25">
      <c r="A5213" s="364"/>
      <c r="B5213"/>
      <c r="C5213"/>
      <c r="D5213"/>
      <c r="E5213" s="364"/>
      <c r="F5213"/>
    </row>
    <row r="5214" spans="1:6" x14ac:dyDescent="0.25">
      <c r="A5214" s="364"/>
      <c r="B5214"/>
      <c r="C5214"/>
      <c r="D5214"/>
      <c r="E5214" s="364"/>
      <c r="F5214"/>
    </row>
    <row r="5215" spans="1:6" x14ac:dyDescent="0.25">
      <c r="A5215" s="364"/>
      <c r="B5215"/>
      <c r="C5215"/>
      <c r="D5215"/>
      <c r="E5215" s="364"/>
      <c r="F5215"/>
    </row>
    <row r="5216" spans="1:6" x14ac:dyDescent="0.25">
      <c r="A5216" s="364"/>
      <c r="B5216"/>
      <c r="C5216"/>
      <c r="D5216"/>
      <c r="E5216" s="364"/>
      <c r="F5216"/>
    </row>
    <row r="5217" spans="1:6" x14ac:dyDescent="0.25">
      <c r="A5217" s="364"/>
      <c r="B5217"/>
      <c r="C5217"/>
      <c r="D5217"/>
      <c r="E5217" s="364"/>
      <c r="F5217"/>
    </row>
    <row r="5218" spans="1:6" x14ac:dyDescent="0.25">
      <c r="A5218" s="364"/>
      <c r="B5218"/>
      <c r="C5218"/>
      <c r="D5218"/>
      <c r="E5218" s="364"/>
      <c r="F5218"/>
    </row>
    <row r="5219" spans="1:6" x14ac:dyDescent="0.25">
      <c r="A5219" s="364"/>
      <c r="B5219"/>
      <c r="C5219"/>
      <c r="D5219"/>
      <c r="E5219" s="364"/>
      <c r="F5219"/>
    </row>
    <row r="5220" spans="1:6" x14ac:dyDescent="0.25">
      <c r="A5220" s="364"/>
      <c r="B5220"/>
      <c r="C5220"/>
      <c r="D5220"/>
      <c r="E5220" s="364"/>
      <c r="F5220"/>
    </row>
    <row r="5221" spans="1:6" x14ac:dyDescent="0.25">
      <c r="A5221" s="364"/>
      <c r="B5221"/>
      <c r="C5221"/>
      <c r="D5221"/>
      <c r="E5221" s="364"/>
      <c r="F5221"/>
    </row>
    <row r="5222" spans="1:6" x14ac:dyDescent="0.25">
      <c r="A5222" s="364"/>
      <c r="B5222"/>
      <c r="C5222"/>
      <c r="D5222"/>
      <c r="E5222" s="364"/>
      <c r="F5222"/>
    </row>
    <row r="5223" spans="1:6" x14ac:dyDescent="0.25">
      <c r="A5223" s="364"/>
      <c r="B5223"/>
      <c r="C5223"/>
      <c r="D5223"/>
      <c r="E5223" s="364"/>
      <c r="F5223"/>
    </row>
    <row r="5224" spans="1:6" x14ac:dyDescent="0.25">
      <c r="A5224" s="364"/>
      <c r="B5224"/>
      <c r="C5224"/>
      <c r="D5224"/>
      <c r="E5224" s="364"/>
      <c r="F5224"/>
    </row>
    <row r="5225" spans="1:6" x14ac:dyDescent="0.25">
      <c r="A5225" s="364"/>
      <c r="B5225"/>
      <c r="C5225"/>
      <c r="D5225"/>
      <c r="E5225" s="364"/>
      <c r="F5225"/>
    </row>
    <row r="5226" spans="1:6" x14ac:dyDescent="0.25">
      <c r="A5226" s="364"/>
      <c r="B5226"/>
      <c r="C5226"/>
      <c r="D5226"/>
      <c r="E5226" s="364"/>
      <c r="F5226"/>
    </row>
    <row r="5227" spans="1:6" x14ac:dyDescent="0.25">
      <c r="A5227" s="364"/>
      <c r="B5227"/>
      <c r="C5227"/>
      <c r="D5227"/>
      <c r="E5227" s="364"/>
      <c r="F5227"/>
    </row>
    <row r="5228" spans="1:6" x14ac:dyDescent="0.25">
      <c r="A5228" s="364"/>
      <c r="B5228"/>
      <c r="C5228"/>
      <c r="D5228"/>
      <c r="E5228" s="364"/>
      <c r="F5228"/>
    </row>
    <row r="5229" spans="1:6" x14ac:dyDescent="0.25">
      <c r="A5229" s="364"/>
      <c r="B5229"/>
      <c r="C5229"/>
      <c r="D5229"/>
      <c r="E5229" s="364"/>
      <c r="F5229"/>
    </row>
    <row r="5230" spans="1:6" x14ac:dyDescent="0.25">
      <c r="A5230" s="364"/>
      <c r="B5230"/>
      <c r="C5230"/>
      <c r="D5230"/>
      <c r="E5230" s="364"/>
      <c r="F5230"/>
    </row>
    <row r="5231" spans="1:6" x14ac:dyDescent="0.25">
      <c r="A5231" s="364"/>
      <c r="B5231"/>
      <c r="C5231"/>
      <c r="D5231"/>
      <c r="E5231" s="364"/>
      <c r="F5231"/>
    </row>
    <row r="5232" spans="1:6" x14ac:dyDescent="0.25">
      <c r="A5232" s="364"/>
      <c r="B5232"/>
      <c r="C5232"/>
      <c r="D5232"/>
      <c r="E5232" s="364"/>
      <c r="F5232"/>
    </row>
    <row r="5233" spans="1:6" x14ac:dyDescent="0.25">
      <c r="A5233" s="364"/>
      <c r="B5233"/>
      <c r="C5233"/>
      <c r="D5233"/>
      <c r="E5233" s="364"/>
      <c r="F5233"/>
    </row>
    <row r="5234" spans="1:6" x14ac:dyDescent="0.25">
      <c r="A5234" s="364"/>
      <c r="B5234"/>
      <c r="C5234"/>
      <c r="D5234"/>
      <c r="E5234" s="364"/>
      <c r="F5234"/>
    </row>
    <row r="5235" spans="1:6" x14ac:dyDescent="0.25">
      <c r="A5235" s="364"/>
      <c r="B5235"/>
      <c r="C5235"/>
      <c r="D5235"/>
      <c r="E5235" s="364"/>
      <c r="F5235"/>
    </row>
    <row r="5236" spans="1:6" x14ac:dyDescent="0.25">
      <c r="A5236" s="364"/>
      <c r="B5236"/>
      <c r="C5236"/>
      <c r="D5236"/>
      <c r="E5236" s="364"/>
      <c r="F5236"/>
    </row>
    <row r="5237" spans="1:6" x14ac:dyDescent="0.25">
      <c r="A5237" s="364"/>
      <c r="B5237"/>
      <c r="C5237"/>
      <c r="D5237"/>
      <c r="E5237" s="364"/>
      <c r="F5237"/>
    </row>
    <row r="5238" spans="1:6" x14ac:dyDescent="0.25">
      <c r="A5238" s="364"/>
      <c r="B5238"/>
      <c r="C5238"/>
      <c r="D5238"/>
      <c r="E5238" s="364"/>
      <c r="F5238"/>
    </row>
    <row r="5239" spans="1:6" x14ac:dyDescent="0.25">
      <c r="A5239" s="364"/>
      <c r="B5239"/>
      <c r="C5239"/>
      <c r="D5239"/>
      <c r="E5239" s="364"/>
      <c r="F5239"/>
    </row>
    <row r="5240" spans="1:6" x14ac:dyDescent="0.25">
      <c r="A5240" s="364"/>
      <c r="B5240"/>
      <c r="C5240"/>
      <c r="D5240"/>
      <c r="E5240" s="364"/>
      <c r="F5240"/>
    </row>
    <row r="5241" spans="1:6" x14ac:dyDescent="0.25">
      <c r="A5241" s="364"/>
      <c r="B5241"/>
      <c r="C5241"/>
      <c r="D5241"/>
      <c r="E5241" s="364"/>
      <c r="F5241"/>
    </row>
    <row r="5242" spans="1:6" x14ac:dyDescent="0.25">
      <c r="A5242" s="364"/>
      <c r="B5242"/>
      <c r="C5242"/>
      <c r="D5242"/>
      <c r="E5242" s="364"/>
      <c r="F5242"/>
    </row>
    <row r="5243" spans="1:6" x14ac:dyDescent="0.25">
      <c r="A5243" s="364"/>
      <c r="B5243"/>
      <c r="C5243"/>
      <c r="D5243"/>
      <c r="E5243" s="364"/>
      <c r="F5243"/>
    </row>
    <row r="5244" spans="1:6" x14ac:dyDescent="0.25">
      <c r="A5244" s="364"/>
      <c r="B5244"/>
      <c r="C5244"/>
      <c r="D5244"/>
      <c r="E5244" s="364"/>
      <c r="F5244"/>
    </row>
    <row r="5245" spans="1:6" x14ac:dyDescent="0.25">
      <c r="A5245" s="364"/>
      <c r="B5245"/>
      <c r="C5245"/>
      <c r="D5245"/>
      <c r="E5245" s="364"/>
      <c r="F5245"/>
    </row>
    <row r="5246" spans="1:6" x14ac:dyDescent="0.25">
      <c r="A5246" s="364"/>
      <c r="B5246"/>
      <c r="C5246"/>
      <c r="D5246"/>
      <c r="E5246" s="364"/>
      <c r="F5246"/>
    </row>
    <row r="5247" spans="1:6" x14ac:dyDescent="0.25">
      <c r="A5247" s="364"/>
      <c r="B5247"/>
      <c r="C5247"/>
      <c r="D5247"/>
      <c r="E5247" s="364"/>
      <c r="F5247"/>
    </row>
    <row r="5248" spans="1:6" x14ac:dyDescent="0.25">
      <c r="A5248" s="364"/>
      <c r="B5248"/>
      <c r="C5248"/>
      <c r="D5248"/>
      <c r="E5248" s="364"/>
      <c r="F5248"/>
    </row>
    <row r="5249" spans="1:6" x14ac:dyDescent="0.25">
      <c r="A5249" s="364"/>
      <c r="B5249"/>
      <c r="C5249"/>
      <c r="D5249"/>
      <c r="E5249" s="364"/>
      <c r="F5249"/>
    </row>
    <row r="5250" spans="1:6" x14ac:dyDescent="0.25">
      <c r="A5250" s="364"/>
      <c r="B5250"/>
      <c r="C5250"/>
      <c r="D5250"/>
      <c r="E5250" s="364"/>
      <c r="F5250"/>
    </row>
    <row r="5251" spans="1:6" x14ac:dyDescent="0.25">
      <c r="A5251" s="364"/>
      <c r="B5251"/>
      <c r="C5251"/>
      <c r="D5251"/>
      <c r="E5251" s="364"/>
      <c r="F5251"/>
    </row>
    <row r="5252" spans="1:6" x14ac:dyDescent="0.25">
      <c r="A5252" s="364"/>
      <c r="B5252"/>
      <c r="C5252"/>
      <c r="D5252"/>
      <c r="E5252" s="364"/>
      <c r="F5252"/>
    </row>
    <row r="5253" spans="1:6" x14ac:dyDescent="0.25">
      <c r="A5253" s="364"/>
      <c r="B5253"/>
      <c r="C5253"/>
      <c r="D5253"/>
      <c r="E5253" s="364"/>
      <c r="F5253"/>
    </row>
    <row r="5254" spans="1:6" x14ac:dyDescent="0.25">
      <c r="A5254" s="364"/>
      <c r="B5254"/>
      <c r="C5254"/>
      <c r="D5254"/>
      <c r="E5254" s="364"/>
      <c r="F5254"/>
    </row>
    <row r="5255" spans="1:6" x14ac:dyDescent="0.25">
      <c r="A5255" s="364"/>
      <c r="B5255"/>
      <c r="C5255"/>
      <c r="D5255"/>
      <c r="E5255" s="364"/>
      <c r="F5255"/>
    </row>
    <row r="5256" spans="1:6" x14ac:dyDescent="0.25">
      <c r="A5256" s="364"/>
      <c r="B5256"/>
      <c r="C5256"/>
      <c r="D5256"/>
      <c r="E5256" s="364"/>
      <c r="F5256"/>
    </row>
    <row r="5257" spans="1:6" x14ac:dyDescent="0.25">
      <c r="A5257" s="364"/>
      <c r="B5257"/>
      <c r="C5257"/>
      <c r="D5257"/>
      <c r="E5257" s="364"/>
      <c r="F5257"/>
    </row>
    <row r="5258" spans="1:6" x14ac:dyDescent="0.25">
      <c r="A5258" s="364"/>
      <c r="B5258"/>
      <c r="C5258"/>
      <c r="D5258"/>
      <c r="E5258" s="364"/>
      <c r="F5258"/>
    </row>
    <row r="5259" spans="1:6" x14ac:dyDescent="0.25">
      <c r="A5259" s="364"/>
      <c r="B5259"/>
      <c r="C5259"/>
      <c r="D5259"/>
      <c r="E5259" s="364"/>
      <c r="F5259"/>
    </row>
    <row r="5260" spans="1:6" x14ac:dyDescent="0.25">
      <c r="A5260" s="364"/>
      <c r="B5260"/>
      <c r="C5260"/>
      <c r="D5260"/>
      <c r="E5260" s="364"/>
      <c r="F5260"/>
    </row>
    <row r="5261" spans="1:6" x14ac:dyDescent="0.25">
      <c r="A5261" s="364"/>
      <c r="B5261"/>
      <c r="C5261"/>
      <c r="D5261"/>
      <c r="E5261" s="364"/>
      <c r="F5261"/>
    </row>
    <row r="5262" spans="1:6" x14ac:dyDescent="0.25">
      <c r="A5262" s="364"/>
      <c r="B5262"/>
      <c r="C5262"/>
      <c r="D5262"/>
      <c r="E5262" s="364"/>
      <c r="F5262"/>
    </row>
    <row r="5263" spans="1:6" x14ac:dyDescent="0.25">
      <c r="A5263" s="364"/>
      <c r="B5263"/>
      <c r="C5263"/>
      <c r="D5263"/>
      <c r="E5263" s="364"/>
      <c r="F5263"/>
    </row>
    <row r="5264" spans="1:6" x14ac:dyDescent="0.25">
      <c r="A5264" s="364"/>
      <c r="B5264"/>
      <c r="C5264"/>
      <c r="D5264"/>
      <c r="E5264" s="364"/>
      <c r="F5264"/>
    </row>
    <row r="5265" spans="1:6" x14ac:dyDescent="0.25">
      <c r="A5265" s="364"/>
      <c r="B5265"/>
      <c r="C5265"/>
      <c r="D5265"/>
      <c r="E5265" s="364"/>
      <c r="F5265"/>
    </row>
    <row r="5266" spans="1:6" x14ac:dyDescent="0.25">
      <c r="A5266" s="364"/>
      <c r="B5266"/>
      <c r="C5266"/>
      <c r="D5266"/>
      <c r="E5266" s="364"/>
      <c r="F5266"/>
    </row>
    <row r="5267" spans="1:6" x14ac:dyDescent="0.25">
      <c r="A5267" s="364"/>
      <c r="B5267"/>
      <c r="C5267"/>
      <c r="D5267"/>
      <c r="E5267" s="364"/>
      <c r="F5267"/>
    </row>
    <row r="5268" spans="1:6" x14ac:dyDescent="0.25">
      <c r="A5268" s="364"/>
      <c r="B5268"/>
      <c r="C5268"/>
      <c r="D5268"/>
      <c r="E5268" s="364"/>
      <c r="F5268"/>
    </row>
    <row r="5269" spans="1:6" x14ac:dyDescent="0.25">
      <c r="A5269" s="364"/>
      <c r="B5269"/>
      <c r="C5269"/>
      <c r="D5269"/>
      <c r="E5269" s="364"/>
      <c r="F5269"/>
    </row>
    <row r="5270" spans="1:6" x14ac:dyDescent="0.25">
      <c r="A5270" s="364"/>
      <c r="B5270"/>
      <c r="C5270"/>
      <c r="D5270"/>
      <c r="E5270" s="364"/>
      <c r="F5270"/>
    </row>
    <row r="5271" spans="1:6" x14ac:dyDescent="0.25">
      <c r="A5271" s="364"/>
      <c r="B5271"/>
      <c r="C5271"/>
      <c r="D5271"/>
      <c r="E5271" s="364"/>
      <c r="F5271"/>
    </row>
    <row r="5272" spans="1:6" x14ac:dyDescent="0.25">
      <c r="A5272" s="364"/>
      <c r="B5272"/>
      <c r="C5272"/>
      <c r="D5272"/>
      <c r="E5272" s="364"/>
      <c r="F5272"/>
    </row>
    <row r="5273" spans="1:6" x14ac:dyDescent="0.25">
      <c r="A5273" s="364"/>
      <c r="B5273"/>
      <c r="C5273"/>
      <c r="D5273"/>
      <c r="E5273" s="364"/>
      <c r="F5273"/>
    </row>
    <row r="5274" spans="1:6" x14ac:dyDescent="0.25">
      <c r="A5274" s="364"/>
      <c r="B5274"/>
      <c r="C5274"/>
      <c r="D5274"/>
      <c r="E5274" s="364"/>
      <c r="F5274"/>
    </row>
    <row r="5275" spans="1:6" x14ac:dyDescent="0.25">
      <c r="A5275" s="364"/>
      <c r="B5275"/>
      <c r="C5275"/>
      <c r="D5275"/>
      <c r="E5275" s="364"/>
      <c r="F5275"/>
    </row>
    <row r="5276" spans="1:6" x14ac:dyDescent="0.25">
      <c r="A5276" s="364"/>
      <c r="B5276"/>
      <c r="C5276"/>
      <c r="D5276"/>
      <c r="E5276" s="364"/>
      <c r="F5276"/>
    </row>
    <row r="5277" spans="1:6" x14ac:dyDescent="0.25">
      <c r="A5277" s="364"/>
      <c r="B5277"/>
      <c r="C5277"/>
      <c r="D5277"/>
      <c r="E5277" s="364"/>
      <c r="F5277"/>
    </row>
    <row r="5278" spans="1:6" x14ac:dyDescent="0.25">
      <c r="A5278" s="364"/>
      <c r="B5278"/>
      <c r="C5278"/>
      <c r="D5278"/>
      <c r="E5278" s="364"/>
      <c r="F5278"/>
    </row>
    <row r="5279" spans="1:6" x14ac:dyDescent="0.25">
      <c r="A5279" s="364"/>
      <c r="B5279"/>
      <c r="C5279"/>
      <c r="D5279"/>
      <c r="E5279" s="364"/>
      <c r="F5279"/>
    </row>
    <row r="5280" spans="1:6" x14ac:dyDescent="0.25">
      <c r="A5280" s="364"/>
      <c r="B5280"/>
      <c r="C5280"/>
      <c r="D5280"/>
      <c r="E5280" s="364"/>
      <c r="F5280"/>
    </row>
    <row r="5281" spans="1:6" x14ac:dyDescent="0.25">
      <c r="A5281" s="364"/>
      <c r="B5281"/>
      <c r="C5281"/>
      <c r="D5281"/>
      <c r="E5281" s="364"/>
      <c r="F5281"/>
    </row>
    <row r="5282" spans="1:6" x14ac:dyDescent="0.25">
      <c r="A5282" s="364"/>
      <c r="B5282"/>
      <c r="C5282"/>
      <c r="D5282"/>
      <c r="E5282" s="364"/>
      <c r="F5282"/>
    </row>
    <row r="5283" spans="1:6" x14ac:dyDescent="0.25">
      <c r="A5283" s="364"/>
      <c r="B5283"/>
      <c r="C5283"/>
      <c r="D5283"/>
      <c r="E5283" s="364"/>
      <c r="F5283"/>
    </row>
    <row r="5284" spans="1:6" x14ac:dyDescent="0.25">
      <c r="A5284" s="364"/>
      <c r="B5284"/>
      <c r="C5284"/>
      <c r="D5284"/>
      <c r="E5284" s="364"/>
      <c r="F5284"/>
    </row>
    <row r="5285" spans="1:6" x14ac:dyDescent="0.25">
      <c r="A5285" s="364"/>
      <c r="B5285"/>
      <c r="C5285"/>
      <c r="D5285"/>
      <c r="E5285" s="364"/>
      <c r="F5285"/>
    </row>
    <row r="5286" spans="1:6" x14ac:dyDescent="0.25">
      <c r="A5286" s="364"/>
      <c r="B5286"/>
      <c r="C5286"/>
      <c r="D5286"/>
      <c r="E5286" s="364"/>
      <c r="F5286"/>
    </row>
    <row r="5287" spans="1:6" x14ac:dyDescent="0.25">
      <c r="A5287" s="364"/>
      <c r="B5287"/>
      <c r="C5287"/>
      <c r="D5287"/>
      <c r="E5287" s="364"/>
      <c r="F5287"/>
    </row>
    <row r="5288" spans="1:6" x14ac:dyDescent="0.25">
      <c r="A5288" s="364"/>
      <c r="B5288"/>
      <c r="C5288"/>
      <c r="D5288"/>
      <c r="E5288" s="364"/>
      <c r="F5288"/>
    </row>
    <row r="5289" spans="1:6" x14ac:dyDescent="0.25">
      <c r="A5289" s="364"/>
      <c r="B5289"/>
      <c r="C5289"/>
      <c r="D5289"/>
      <c r="E5289" s="364"/>
      <c r="F5289"/>
    </row>
    <row r="5290" spans="1:6" x14ac:dyDescent="0.25">
      <c r="A5290" s="364"/>
      <c r="B5290"/>
      <c r="C5290"/>
      <c r="D5290"/>
      <c r="E5290" s="364"/>
      <c r="F5290"/>
    </row>
    <row r="5291" spans="1:6" x14ac:dyDescent="0.25">
      <c r="A5291" s="364"/>
      <c r="B5291"/>
      <c r="C5291"/>
      <c r="D5291"/>
      <c r="E5291" s="364"/>
      <c r="F5291"/>
    </row>
    <row r="5292" spans="1:6" x14ac:dyDescent="0.25">
      <c r="A5292" s="364"/>
      <c r="B5292"/>
      <c r="C5292"/>
      <c r="D5292"/>
      <c r="E5292" s="364"/>
      <c r="F5292"/>
    </row>
    <row r="5293" spans="1:6" x14ac:dyDescent="0.25">
      <c r="A5293" s="364"/>
      <c r="B5293"/>
      <c r="C5293"/>
      <c r="D5293"/>
      <c r="E5293" s="364"/>
      <c r="F5293"/>
    </row>
    <row r="5294" spans="1:6" x14ac:dyDescent="0.25">
      <c r="A5294" s="364"/>
      <c r="B5294"/>
      <c r="C5294"/>
      <c r="D5294"/>
      <c r="E5294" s="364"/>
      <c r="F5294"/>
    </row>
    <row r="5295" spans="1:6" x14ac:dyDescent="0.25">
      <c r="A5295" s="364"/>
      <c r="B5295"/>
      <c r="C5295"/>
      <c r="D5295"/>
      <c r="E5295" s="364"/>
      <c r="F5295"/>
    </row>
    <row r="5296" spans="1:6" x14ac:dyDescent="0.25">
      <c r="A5296" s="364"/>
      <c r="B5296"/>
      <c r="C5296"/>
      <c r="D5296"/>
      <c r="E5296" s="364"/>
      <c r="F5296"/>
    </row>
    <row r="5297" spans="1:6" x14ac:dyDescent="0.25">
      <c r="A5297" s="364"/>
      <c r="B5297"/>
      <c r="C5297"/>
      <c r="D5297"/>
      <c r="E5297" s="364"/>
      <c r="F5297"/>
    </row>
    <row r="5298" spans="1:6" x14ac:dyDescent="0.25">
      <c r="A5298" s="364"/>
      <c r="B5298"/>
      <c r="C5298"/>
      <c r="D5298"/>
      <c r="E5298" s="364"/>
      <c r="F5298"/>
    </row>
    <row r="5299" spans="1:6" x14ac:dyDescent="0.25">
      <c r="A5299" s="364"/>
      <c r="B5299"/>
      <c r="C5299"/>
      <c r="D5299"/>
      <c r="E5299" s="364"/>
      <c r="F5299"/>
    </row>
    <row r="5300" spans="1:6" x14ac:dyDescent="0.25">
      <c r="A5300" s="364"/>
      <c r="B5300"/>
      <c r="C5300"/>
      <c r="D5300"/>
      <c r="E5300" s="364"/>
      <c r="F5300"/>
    </row>
    <row r="5301" spans="1:6" x14ac:dyDescent="0.25">
      <c r="A5301" s="364"/>
      <c r="B5301"/>
      <c r="C5301"/>
      <c r="D5301"/>
      <c r="E5301" s="364"/>
      <c r="F5301"/>
    </row>
    <row r="5302" spans="1:6" x14ac:dyDescent="0.25">
      <c r="A5302" s="364"/>
      <c r="B5302"/>
      <c r="C5302"/>
      <c r="D5302"/>
      <c r="E5302" s="364"/>
      <c r="F5302"/>
    </row>
    <row r="5303" spans="1:6" x14ac:dyDescent="0.25">
      <c r="A5303" s="364"/>
      <c r="B5303"/>
      <c r="C5303"/>
      <c r="D5303"/>
      <c r="E5303" s="364"/>
      <c r="F5303"/>
    </row>
    <row r="5304" spans="1:6" x14ac:dyDescent="0.25">
      <c r="A5304" s="364"/>
      <c r="B5304"/>
      <c r="C5304"/>
      <c r="D5304"/>
      <c r="E5304" s="364"/>
      <c r="F5304"/>
    </row>
    <row r="5305" spans="1:6" x14ac:dyDescent="0.25">
      <c r="A5305" s="364"/>
      <c r="B5305"/>
      <c r="C5305"/>
      <c r="D5305"/>
      <c r="E5305" s="364"/>
      <c r="F5305"/>
    </row>
    <row r="5306" spans="1:6" x14ac:dyDescent="0.25">
      <c r="A5306" s="364"/>
      <c r="B5306"/>
      <c r="C5306"/>
      <c r="D5306"/>
      <c r="E5306" s="364"/>
      <c r="F5306"/>
    </row>
    <row r="5307" spans="1:6" x14ac:dyDescent="0.25">
      <c r="A5307" s="364"/>
      <c r="B5307"/>
      <c r="C5307"/>
      <c r="D5307"/>
      <c r="E5307" s="364"/>
      <c r="F5307"/>
    </row>
    <row r="5308" spans="1:6" x14ac:dyDescent="0.25">
      <c r="A5308" s="364"/>
      <c r="B5308"/>
      <c r="C5308"/>
      <c r="D5308"/>
      <c r="E5308" s="364"/>
      <c r="F5308"/>
    </row>
    <row r="5309" spans="1:6" x14ac:dyDescent="0.25">
      <c r="A5309" s="364"/>
      <c r="B5309"/>
      <c r="C5309"/>
      <c r="D5309"/>
      <c r="E5309" s="364"/>
      <c r="F5309"/>
    </row>
    <row r="5310" spans="1:6" x14ac:dyDescent="0.25">
      <c r="A5310" s="364"/>
      <c r="B5310"/>
      <c r="C5310"/>
      <c r="D5310"/>
      <c r="E5310" s="364"/>
      <c r="F5310"/>
    </row>
    <row r="5311" spans="1:6" x14ac:dyDescent="0.25">
      <c r="A5311" s="364"/>
      <c r="B5311"/>
      <c r="C5311"/>
      <c r="D5311"/>
      <c r="E5311" s="364"/>
      <c r="F5311"/>
    </row>
    <row r="5312" spans="1:6" x14ac:dyDescent="0.25">
      <c r="A5312" s="364"/>
      <c r="B5312"/>
      <c r="C5312"/>
      <c r="D5312"/>
      <c r="E5312" s="364"/>
      <c r="F5312"/>
    </row>
    <row r="5313" spans="1:6" x14ac:dyDescent="0.25">
      <c r="A5313" s="364"/>
      <c r="B5313"/>
      <c r="C5313"/>
      <c r="D5313"/>
      <c r="E5313" s="364"/>
      <c r="F5313"/>
    </row>
    <row r="5314" spans="1:6" x14ac:dyDescent="0.25">
      <c r="A5314" s="364"/>
      <c r="B5314"/>
      <c r="C5314"/>
      <c r="D5314"/>
      <c r="E5314" s="364"/>
      <c r="F5314"/>
    </row>
    <row r="5315" spans="1:6" x14ac:dyDescent="0.25">
      <c r="A5315" s="364"/>
      <c r="B5315"/>
      <c r="C5315"/>
      <c r="D5315"/>
      <c r="E5315" s="364"/>
      <c r="F5315"/>
    </row>
    <row r="5316" spans="1:6" x14ac:dyDescent="0.25">
      <c r="A5316" s="364"/>
      <c r="B5316"/>
      <c r="C5316"/>
      <c r="D5316"/>
      <c r="E5316" s="364"/>
      <c r="F5316"/>
    </row>
    <row r="5317" spans="1:6" x14ac:dyDescent="0.25">
      <c r="A5317" s="364"/>
      <c r="B5317"/>
      <c r="C5317"/>
      <c r="D5317"/>
      <c r="E5317" s="364"/>
      <c r="F5317"/>
    </row>
    <row r="5318" spans="1:6" x14ac:dyDescent="0.25">
      <c r="A5318" s="364"/>
      <c r="B5318"/>
      <c r="C5318"/>
      <c r="D5318"/>
      <c r="E5318" s="364"/>
      <c r="F5318"/>
    </row>
    <row r="5319" spans="1:6" x14ac:dyDescent="0.25">
      <c r="A5319" s="364"/>
      <c r="B5319"/>
      <c r="C5319"/>
      <c r="D5319"/>
      <c r="E5319" s="364"/>
      <c r="F5319"/>
    </row>
    <row r="5320" spans="1:6" x14ac:dyDescent="0.25">
      <c r="A5320" s="364"/>
      <c r="B5320"/>
      <c r="C5320"/>
      <c r="D5320"/>
      <c r="E5320" s="364"/>
      <c r="F5320"/>
    </row>
    <row r="5321" spans="1:6" x14ac:dyDescent="0.25">
      <c r="A5321" s="364"/>
      <c r="B5321"/>
      <c r="C5321"/>
      <c r="D5321"/>
      <c r="E5321" s="364"/>
      <c r="F5321"/>
    </row>
    <row r="5322" spans="1:6" x14ac:dyDescent="0.25">
      <c r="A5322" s="364"/>
      <c r="B5322"/>
      <c r="C5322"/>
      <c r="D5322"/>
      <c r="E5322" s="364"/>
      <c r="F5322"/>
    </row>
    <row r="5323" spans="1:6" x14ac:dyDescent="0.25">
      <c r="A5323" s="364"/>
      <c r="B5323"/>
      <c r="C5323"/>
      <c r="D5323"/>
      <c r="E5323" s="364"/>
      <c r="F5323"/>
    </row>
    <row r="5324" spans="1:6" x14ac:dyDescent="0.25">
      <c r="A5324" s="364"/>
      <c r="B5324"/>
      <c r="C5324"/>
      <c r="D5324"/>
      <c r="E5324" s="364"/>
      <c r="F5324"/>
    </row>
    <row r="5325" spans="1:6" x14ac:dyDescent="0.25">
      <c r="A5325" s="364"/>
      <c r="B5325"/>
      <c r="C5325"/>
      <c r="D5325"/>
      <c r="E5325" s="364"/>
      <c r="F5325"/>
    </row>
    <row r="5326" spans="1:6" x14ac:dyDescent="0.25">
      <c r="A5326" s="364"/>
      <c r="B5326"/>
      <c r="C5326"/>
      <c r="D5326"/>
      <c r="E5326" s="364"/>
      <c r="F5326"/>
    </row>
    <row r="5327" spans="1:6" x14ac:dyDescent="0.25">
      <c r="A5327" s="364"/>
      <c r="B5327"/>
      <c r="C5327"/>
      <c r="D5327"/>
      <c r="E5327" s="364"/>
      <c r="F5327"/>
    </row>
    <row r="5328" spans="1:6" x14ac:dyDescent="0.25">
      <c r="A5328" s="364"/>
      <c r="B5328"/>
      <c r="C5328"/>
      <c r="D5328"/>
      <c r="E5328" s="364"/>
      <c r="F5328"/>
    </row>
    <row r="5329" spans="1:6" x14ac:dyDescent="0.25">
      <c r="A5329" s="364"/>
      <c r="B5329"/>
      <c r="C5329"/>
      <c r="D5329"/>
      <c r="E5329" s="364"/>
      <c r="F5329"/>
    </row>
    <row r="5330" spans="1:6" x14ac:dyDescent="0.25">
      <c r="A5330" s="364"/>
      <c r="B5330"/>
      <c r="C5330"/>
      <c r="D5330"/>
      <c r="E5330" s="364"/>
      <c r="F5330"/>
    </row>
    <row r="5331" spans="1:6" x14ac:dyDescent="0.25">
      <c r="A5331" s="364"/>
      <c r="B5331"/>
      <c r="C5331"/>
      <c r="D5331"/>
      <c r="E5331" s="364"/>
      <c r="F5331"/>
    </row>
    <row r="5332" spans="1:6" x14ac:dyDescent="0.25">
      <c r="A5332" s="364"/>
      <c r="B5332"/>
      <c r="C5332"/>
      <c r="D5332"/>
      <c r="E5332" s="364"/>
      <c r="F5332"/>
    </row>
    <row r="5333" spans="1:6" x14ac:dyDescent="0.25">
      <c r="A5333" s="364"/>
      <c r="B5333"/>
      <c r="C5333"/>
      <c r="D5333"/>
      <c r="E5333" s="364"/>
      <c r="F5333"/>
    </row>
    <row r="5334" spans="1:6" x14ac:dyDescent="0.25">
      <c r="A5334" s="364"/>
      <c r="B5334"/>
      <c r="C5334"/>
      <c r="D5334"/>
      <c r="E5334" s="364"/>
      <c r="F5334"/>
    </row>
    <row r="5335" spans="1:6" x14ac:dyDescent="0.25">
      <c r="A5335" s="364"/>
      <c r="B5335"/>
      <c r="C5335"/>
      <c r="D5335"/>
      <c r="E5335" s="364"/>
      <c r="F5335"/>
    </row>
    <row r="5336" spans="1:6" x14ac:dyDescent="0.25">
      <c r="A5336" s="364"/>
      <c r="B5336"/>
      <c r="C5336"/>
      <c r="D5336"/>
      <c r="E5336" s="364"/>
      <c r="F5336"/>
    </row>
    <row r="5337" spans="1:6" x14ac:dyDescent="0.25">
      <c r="A5337" s="364"/>
      <c r="B5337"/>
      <c r="C5337"/>
      <c r="D5337"/>
      <c r="E5337" s="364"/>
      <c r="F5337"/>
    </row>
    <row r="5338" spans="1:6" x14ac:dyDescent="0.25">
      <c r="A5338" s="364"/>
      <c r="B5338"/>
      <c r="C5338"/>
      <c r="D5338"/>
      <c r="E5338" s="364"/>
      <c r="F5338"/>
    </row>
    <row r="5339" spans="1:6" x14ac:dyDescent="0.25">
      <c r="A5339" s="364"/>
      <c r="B5339"/>
      <c r="C5339"/>
      <c r="D5339"/>
      <c r="E5339" s="364"/>
      <c r="F5339"/>
    </row>
    <row r="5340" spans="1:6" x14ac:dyDescent="0.25">
      <c r="A5340" s="364"/>
      <c r="B5340"/>
      <c r="C5340"/>
      <c r="D5340"/>
      <c r="E5340" s="364"/>
      <c r="F5340"/>
    </row>
    <row r="5341" spans="1:6" x14ac:dyDescent="0.25">
      <c r="A5341" s="364"/>
      <c r="B5341"/>
      <c r="C5341"/>
      <c r="D5341"/>
      <c r="E5341" s="364"/>
      <c r="F5341"/>
    </row>
    <row r="5342" spans="1:6" x14ac:dyDescent="0.25">
      <c r="A5342" s="364"/>
      <c r="B5342"/>
      <c r="C5342"/>
      <c r="D5342"/>
      <c r="E5342" s="364"/>
      <c r="F5342"/>
    </row>
    <row r="5343" spans="1:6" x14ac:dyDescent="0.25">
      <c r="A5343" s="364"/>
      <c r="B5343"/>
      <c r="C5343"/>
      <c r="D5343"/>
      <c r="E5343" s="364"/>
      <c r="F5343"/>
    </row>
    <row r="5344" spans="1:6" x14ac:dyDescent="0.25">
      <c r="A5344" s="364"/>
      <c r="B5344"/>
      <c r="C5344"/>
      <c r="D5344"/>
      <c r="E5344" s="364"/>
      <c r="F5344"/>
    </row>
    <row r="5345" spans="1:6" x14ac:dyDescent="0.25">
      <c r="A5345" s="364"/>
      <c r="B5345"/>
      <c r="C5345"/>
      <c r="D5345"/>
      <c r="E5345" s="364"/>
      <c r="F5345"/>
    </row>
    <row r="5346" spans="1:6" x14ac:dyDescent="0.25">
      <c r="A5346" s="364"/>
      <c r="B5346"/>
      <c r="C5346"/>
      <c r="D5346"/>
      <c r="E5346" s="364"/>
      <c r="F5346"/>
    </row>
    <row r="5347" spans="1:6" x14ac:dyDescent="0.25">
      <c r="A5347" s="364"/>
      <c r="B5347"/>
      <c r="C5347"/>
      <c r="D5347"/>
      <c r="E5347" s="364"/>
      <c r="F5347"/>
    </row>
    <row r="5348" spans="1:6" x14ac:dyDescent="0.25">
      <c r="A5348" s="364"/>
      <c r="B5348"/>
      <c r="C5348"/>
      <c r="D5348"/>
      <c r="E5348" s="364"/>
      <c r="F5348"/>
    </row>
    <row r="5349" spans="1:6" x14ac:dyDescent="0.25">
      <c r="A5349" s="364"/>
      <c r="B5349"/>
      <c r="C5349"/>
      <c r="D5349"/>
      <c r="E5349" s="364"/>
      <c r="F5349"/>
    </row>
    <row r="5350" spans="1:6" x14ac:dyDescent="0.25">
      <c r="A5350" s="364"/>
      <c r="B5350"/>
      <c r="C5350"/>
      <c r="D5350"/>
      <c r="E5350" s="364"/>
      <c r="F5350"/>
    </row>
    <row r="5351" spans="1:6" x14ac:dyDescent="0.25">
      <c r="A5351" s="364"/>
      <c r="B5351"/>
      <c r="C5351"/>
      <c r="D5351"/>
      <c r="E5351" s="364"/>
      <c r="F5351"/>
    </row>
    <row r="5352" spans="1:6" x14ac:dyDescent="0.25">
      <c r="A5352" s="364"/>
      <c r="B5352"/>
      <c r="C5352"/>
      <c r="D5352"/>
      <c r="E5352" s="364"/>
      <c r="F5352"/>
    </row>
    <row r="5353" spans="1:6" x14ac:dyDescent="0.25">
      <c r="A5353" s="364"/>
      <c r="B5353"/>
      <c r="C5353"/>
      <c r="D5353"/>
      <c r="E5353" s="364"/>
      <c r="F5353"/>
    </row>
    <row r="5354" spans="1:6" x14ac:dyDescent="0.25">
      <c r="A5354" s="364"/>
      <c r="B5354"/>
      <c r="C5354"/>
      <c r="D5354"/>
      <c r="E5354" s="364"/>
      <c r="F5354"/>
    </row>
    <row r="5355" spans="1:6" x14ac:dyDescent="0.25">
      <c r="A5355" s="364"/>
      <c r="B5355"/>
      <c r="C5355"/>
      <c r="D5355"/>
      <c r="E5355" s="364"/>
      <c r="F5355"/>
    </row>
    <row r="5356" spans="1:6" x14ac:dyDescent="0.25">
      <c r="A5356" s="364"/>
      <c r="B5356"/>
      <c r="C5356"/>
      <c r="D5356"/>
      <c r="E5356" s="364"/>
      <c r="F5356"/>
    </row>
    <row r="5357" spans="1:6" x14ac:dyDescent="0.25">
      <c r="A5357" s="364"/>
      <c r="B5357"/>
      <c r="C5357"/>
      <c r="D5357"/>
      <c r="E5357" s="364"/>
      <c r="F5357"/>
    </row>
    <row r="5358" spans="1:6" x14ac:dyDescent="0.25">
      <c r="A5358" s="364"/>
      <c r="B5358"/>
      <c r="C5358"/>
      <c r="D5358"/>
      <c r="E5358" s="364"/>
      <c r="F5358"/>
    </row>
    <row r="5359" spans="1:6" x14ac:dyDescent="0.25">
      <c r="A5359" s="364"/>
      <c r="B5359"/>
      <c r="C5359"/>
      <c r="D5359"/>
      <c r="E5359" s="364"/>
      <c r="F5359"/>
    </row>
    <row r="5360" spans="1:6" x14ac:dyDescent="0.25">
      <c r="A5360" s="364"/>
      <c r="B5360"/>
      <c r="C5360"/>
      <c r="D5360"/>
      <c r="E5360" s="364"/>
      <c r="F5360"/>
    </row>
    <row r="5361" spans="1:6" x14ac:dyDescent="0.25">
      <c r="A5361" s="364"/>
      <c r="B5361"/>
      <c r="C5361"/>
      <c r="D5361"/>
      <c r="E5361" s="364"/>
      <c r="F5361"/>
    </row>
    <row r="5362" spans="1:6" x14ac:dyDescent="0.25">
      <c r="A5362" s="364"/>
      <c r="B5362"/>
      <c r="C5362"/>
      <c r="D5362"/>
      <c r="E5362" s="364"/>
      <c r="F5362"/>
    </row>
    <row r="5363" spans="1:6" x14ac:dyDescent="0.25">
      <c r="A5363" s="364"/>
      <c r="B5363"/>
      <c r="C5363"/>
      <c r="D5363"/>
      <c r="E5363" s="364"/>
      <c r="F5363"/>
    </row>
    <row r="5364" spans="1:6" x14ac:dyDescent="0.25">
      <c r="A5364" s="364"/>
      <c r="B5364"/>
      <c r="C5364"/>
      <c r="D5364"/>
      <c r="E5364" s="364"/>
      <c r="F5364"/>
    </row>
    <row r="5365" spans="1:6" x14ac:dyDescent="0.25">
      <c r="A5365" s="364"/>
      <c r="B5365"/>
      <c r="C5365"/>
      <c r="D5365"/>
      <c r="E5365" s="364"/>
      <c r="F5365"/>
    </row>
    <row r="5366" spans="1:6" x14ac:dyDescent="0.25">
      <c r="A5366" s="364"/>
      <c r="B5366"/>
      <c r="C5366"/>
      <c r="D5366"/>
      <c r="E5366" s="364"/>
      <c r="F5366"/>
    </row>
    <row r="5367" spans="1:6" x14ac:dyDescent="0.25">
      <c r="A5367" s="364"/>
      <c r="B5367"/>
      <c r="C5367"/>
      <c r="D5367"/>
      <c r="E5367" s="364"/>
      <c r="F5367"/>
    </row>
    <row r="5368" spans="1:6" x14ac:dyDescent="0.25">
      <c r="A5368" s="364"/>
      <c r="B5368"/>
      <c r="C5368"/>
      <c r="D5368"/>
      <c r="E5368" s="364"/>
      <c r="F5368"/>
    </row>
    <row r="5369" spans="1:6" x14ac:dyDescent="0.25">
      <c r="A5369" s="364"/>
      <c r="B5369"/>
      <c r="C5369"/>
      <c r="D5369"/>
      <c r="E5369" s="364"/>
      <c r="F5369"/>
    </row>
    <row r="5370" spans="1:6" x14ac:dyDescent="0.25">
      <c r="A5370" s="364"/>
      <c r="B5370"/>
      <c r="C5370"/>
      <c r="D5370"/>
      <c r="E5370" s="364"/>
      <c r="F5370"/>
    </row>
    <row r="5371" spans="1:6" x14ac:dyDescent="0.25">
      <c r="A5371" s="364"/>
      <c r="B5371"/>
      <c r="C5371"/>
      <c r="D5371"/>
      <c r="E5371" s="364"/>
      <c r="F5371"/>
    </row>
    <row r="5372" spans="1:6" x14ac:dyDescent="0.25">
      <c r="A5372" s="364"/>
      <c r="B5372"/>
      <c r="C5372"/>
      <c r="D5372"/>
      <c r="E5372" s="364"/>
      <c r="F5372"/>
    </row>
    <row r="5373" spans="1:6" x14ac:dyDescent="0.25">
      <c r="A5373" s="364"/>
      <c r="B5373"/>
      <c r="C5373"/>
      <c r="D5373"/>
      <c r="E5373" s="364"/>
      <c r="F5373"/>
    </row>
    <row r="5374" spans="1:6" x14ac:dyDescent="0.25">
      <c r="A5374" s="364"/>
      <c r="B5374"/>
      <c r="C5374"/>
      <c r="D5374"/>
      <c r="E5374" s="364"/>
      <c r="F5374"/>
    </row>
    <row r="5375" spans="1:6" x14ac:dyDescent="0.25">
      <c r="A5375" s="364"/>
      <c r="B5375"/>
      <c r="C5375"/>
      <c r="D5375"/>
      <c r="E5375" s="364"/>
      <c r="F5375"/>
    </row>
    <row r="5376" spans="1:6" x14ac:dyDescent="0.25">
      <c r="A5376" s="364"/>
      <c r="B5376"/>
      <c r="C5376"/>
      <c r="D5376"/>
      <c r="E5376" s="364"/>
      <c r="F5376"/>
    </row>
    <row r="5377" spans="1:6" x14ac:dyDescent="0.25">
      <c r="A5377" s="364"/>
      <c r="B5377"/>
      <c r="C5377"/>
      <c r="D5377"/>
      <c r="E5377" s="364"/>
      <c r="F5377"/>
    </row>
    <row r="5378" spans="1:6" x14ac:dyDescent="0.25">
      <c r="A5378" s="364"/>
      <c r="B5378"/>
      <c r="C5378"/>
      <c r="D5378"/>
      <c r="E5378" s="364"/>
      <c r="F5378"/>
    </row>
    <row r="5379" spans="1:6" x14ac:dyDescent="0.25">
      <c r="A5379" s="364"/>
      <c r="B5379"/>
      <c r="C5379"/>
      <c r="D5379"/>
      <c r="E5379" s="364"/>
      <c r="F5379"/>
    </row>
    <row r="5380" spans="1:6" x14ac:dyDescent="0.25">
      <c r="A5380" s="364"/>
      <c r="B5380"/>
      <c r="C5380"/>
      <c r="D5380"/>
      <c r="E5380" s="364"/>
      <c r="F5380"/>
    </row>
    <row r="5381" spans="1:6" x14ac:dyDescent="0.25">
      <c r="A5381" s="364"/>
      <c r="B5381"/>
      <c r="C5381"/>
      <c r="D5381"/>
      <c r="E5381" s="364"/>
      <c r="F5381"/>
    </row>
    <row r="5382" spans="1:6" x14ac:dyDescent="0.25">
      <c r="A5382" s="364"/>
      <c r="B5382"/>
      <c r="C5382"/>
      <c r="D5382"/>
      <c r="E5382" s="364"/>
      <c r="F5382"/>
    </row>
    <row r="5383" spans="1:6" x14ac:dyDescent="0.25">
      <c r="A5383" s="364"/>
      <c r="B5383"/>
      <c r="C5383"/>
      <c r="D5383"/>
      <c r="E5383" s="364"/>
      <c r="F5383"/>
    </row>
    <row r="5384" spans="1:6" x14ac:dyDescent="0.25">
      <c r="A5384" s="364"/>
      <c r="B5384"/>
      <c r="C5384"/>
      <c r="D5384"/>
      <c r="E5384" s="364"/>
      <c r="F5384"/>
    </row>
    <row r="5385" spans="1:6" x14ac:dyDescent="0.25">
      <c r="A5385" s="364"/>
      <c r="B5385"/>
      <c r="C5385"/>
      <c r="D5385"/>
      <c r="E5385" s="364"/>
      <c r="F5385"/>
    </row>
    <row r="5386" spans="1:6" x14ac:dyDescent="0.25">
      <c r="A5386" s="364"/>
      <c r="B5386"/>
      <c r="C5386"/>
      <c r="D5386"/>
      <c r="E5386" s="364"/>
      <c r="F5386"/>
    </row>
    <row r="5387" spans="1:6" x14ac:dyDescent="0.25">
      <c r="A5387" s="364"/>
      <c r="B5387"/>
      <c r="C5387"/>
      <c r="D5387"/>
      <c r="E5387" s="364"/>
      <c r="F5387"/>
    </row>
    <row r="5388" spans="1:6" x14ac:dyDescent="0.25">
      <c r="A5388" s="364"/>
      <c r="B5388"/>
      <c r="C5388"/>
      <c r="D5388"/>
      <c r="E5388" s="364"/>
      <c r="F5388"/>
    </row>
    <row r="5389" spans="1:6" x14ac:dyDescent="0.25">
      <c r="A5389" s="364"/>
      <c r="B5389"/>
      <c r="C5389"/>
      <c r="D5389"/>
      <c r="E5389" s="364"/>
      <c r="F5389"/>
    </row>
    <row r="5390" spans="1:6" x14ac:dyDescent="0.25">
      <c r="A5390" s="364"/>
      <c r="B5390"/>
      <c r="C5390"/>
      <c r="D5390"/>
      <c r="E5390" s="364"/>
      <c r="F5390"/>
    </row>
    <row r="5391" spans="1:6" x14ac:dyDescent="0.25">
      <c r="A5391" s="364"/>
      <c r="B5391"/>
      <c r="C5391"/>
      <c r="D5391"/>
      <c r="E5391" s="364"/>
      <c r="F5391"/>
    </row>
    <row r="5392" spans="1:6" x14ac:dyDescent="0.25">
      <c r="A5392" s="364"/>
      <c r="B5392"/>
      <c r="C5392"/>
      <c r="D5392"/>
      <c r="E5392" s="364"/>
      <c r="F5392"/>
    </row>
    <row r="5393" spans="1:6" x14ac:dyDescent="0.25">
      <c r="A5393" s="364"/>
      <c r="B5393"/>
      <c r="C5393"/>
      <c r="D5393"/>
      <c r="E5393" s="364"/>
      <c r="F5393"/>
    </row>
    <row r="5394" spans="1:6" x14ac:dyDescent="0.25">
      <c r="A5394" s="364"/>
      <c r="B5394"/>
      <c r="C5394"/>
      <c r="D5394"/>
      <c r="E5394" s="364"/>
      <c r="F5394"/>
    </row>
    <row r="5395" spans="1:6" x14ac:dyDescent="0.25">
      <c r="A5395" s="364"/>
      <c r="B5395"/>
      <c r="C5395"/>
      <c r="D5395"/>
      <c r="E5395" s="364"/>
      <c r="F5395"/>
    </row>
    <row r="5396" spans="1:6" x14ac:dyDescent="0.25">
      <c r="A5396" s="364"/>
      <c r="B5396"/>
      <c r="C5396"/>
      <c r="D5396"/>
      <c r="E5396" s="364"/>
      <c r="F5396"/>
    </row>
    <row r="5397" spans="1:6" x14ac:dyDescent="0.25">
      <c r="A5397" s="364"/>
      <c r="B5397"/>
      <c r="C5397"/>
      <c r="D5397"/>
      <c r="E5397" s="364"/>
      <c r="F5397"/>
    </row>
    <row r="5398" spans="1:6" x14ac:dyDescent="0.25">
      <c r="A5398" s="364"/>
      <c r="B5398"/>
      <c r="C5398"/>
      <c r="D5398"/>
      <c r="E5398" s="364"/>
      <c r="F5398"/>
    </row>
    <row r="5399" spans="1:6" x14ac:dyDescent="0.25">
      <c r="A5399" s="364"/>
      <c r="B5399"/>
      <c r="C5399"/>
      <c r="D5399"/>
      <c r="E5399" s="364"/>
      <c r="F5399"/>
    </row>
    <row r="5400" spans="1:6" x14ac:dyDescent="0.25">
      <c r="A5400" s="364"/>
      <c r="B5400"/>
      <c r="C5400"/>
      <c r="D5400"/>
      <c r="E5400" s="364"/>
      <c r="F5400"/>
    </row>
    <row r="5401" spans="1:6" x14ac:dyDescent="0.25">
      <c r="A5401" s="364"/>
      <c r="B5401"/>
      <c r="C5401"/>
      <c r="D5401"/>
      <c r="E5401" s="364"/>
      <c r="F5401"/>
    </row>
    <row r="5402" spans="1:6" x14ac:dyDescent="0.25">
      <c r="A5402" s="364"/>
      <c r="B5402"/>
      <c r="C5402"/>
      <c r="D5402"/>
      <c r="E5402" s="364"/>
      <c r="F5402"/>
    </row>
    <row r="5403" spans="1:6" x14ac:dyDescent="0.25">
      <c r="A5403" s="364"/>
      <c r="B5403"/>
      <c r="C5403"/>
      <c r="D5403"/>
      <c r="E5403" s="364"/>
      <c r="F5403"/>
    </row>
    <row r="5404" spans="1:6" x14ac:dyDescent="0.25">
      <c r="A5404" s="364"/>
      <c r="B5404"/>
      <c r="C5404"/>
      <c r="D5404"/>
      <c r="E5404" s="364"/>
      <c r="F5404"/>
    </row>
    <row r="5405" spans="1:6" x14ac:dyDescent="0.25">
      <c r="A5405" s="364"/>
      <c r="B5405"/>
      <c r="C5405"/>
      <c r="D5405"/>
      <c r="E5405" s="364"/>
      <c r="F5405"/>
    </row>
    <row r="5406" spans="1:6" x14ac:dyDescent="0.25">
      <c r="A5406" s="364"/>
      <c r="B5406"/>
      <c r="C5406"/>
      <c r="D5406"/>
      <c r="E5406" s="364"/>
      <c r="F5406"/>
    </row>
    <row r="5407" spans="1:6" x14ac:dyDescent="0.25">
      <c r="A5407" s="364"/>
      <c r="B5407"/>
      <c r="C5407"/>
      <c r="D5407"/>
      <c r="E5407" s="364"/>
      <c r="F5407"/>
    </row>
    <row r="5408" spans="1:6" x14ac:dyDescent="0.25">
      <c r="A5408" s="364"/>
      <c r="B5408"/>
      <c r="C5408"/>
      <c r="D5408"/>
      <c r="E5408" s="364"/>
      <c r="F5408"/>
    </row>
    <row r="5409" spans="1:6" x14ac:dyDescent="0.25">
      <c r="A5409" s="364"/>
      <c r="B5409"/>
      <c r="C5409"/>
      <c r="D5409"/>
      <c r="E5409" s="364"/>
      <c r="F5409"/>
    </row>
    <row r="5410" spans="1:6" x14ac:dyDescent="0.25">
      <c r="A5410" s="364"/>
      <c r="B5410"/>
      <c r="C5410"/>
      <c r="D5410"/>
      <c r="E5410" s="364"/>
      <c r="F5410"/>
    </row>
    <row r="5411" spans="1:6" x14ac:dyDescent="0.25">
      <c r="A5411" s="364"/>
      <c r="B5411"/>
      <c r="C5411"/>
      <c r="D5411"/>
      <c r="E5411" s="364"/>
      <c r="F5411"/>
    </row>
    <row r="5412" spans="1:6" x14ac:dyDescent="0.25">
      <c r="A5412" s="364"/>
      <c r="B5412"/>
      <c r="C5412"/>
      <c r="D5412"/>
      <c r="E5412" s="364"/>
      <c r="F5412"/>
    </row>
    <row r="5413" spans="1:6" x14ac:dyDescent="0.25">
      <c r="A5413" s="364"/>
      <c r="B5413"/>
      <c r="C5413"/>
      <c r="D5413"/>
      <c r="E5413" s="364"/>
      <c r="F5413"/>
    </row>
    <row r="5414" spans="1:6" x14ac:dyDescent="0.25">
      <c r="A5414" s="364"/>
      <c r="B5414"/>
      <c r="C5414"/>
      <c r="D5414"/>
      <c r="E5414" s="364"/>
      <c r="F5414"/>
    </row>
    <row r="5415" spans="1:6" x14ac:dyDescent="0.25">
      <c r="A5415" s="364"/>
      <c r="B5415"/>
      <c r="C5415"/>
      <c r="D5415"/>
      <c r="E5415" s="364"/>
      <c r="F5415"/>
    </row>
    <row r="5416" spans="1:6" x14ac:dyDescent="0.25">
      <c r="A5416" s="364"/>
      <c r="B5416"/>
      <c r="C5416"/>
      <c r="D5416"/>
      <c r="E5416" s="364"/>
      <c r="F5416"/>
    </row>
    <row r="5417" spans="1:6" x14ac:dyDescent="0.25">
      <c r="A5417" s="364"/>
      <c r="B5417"/>
      <c r="C5417"/>
      <c r="D5417"/>
      <c r="E5417" s="364"/>
      <c r="F5417"/>
    </row>
    <row r="5418" spans="1:6" x14ac:dyDescent="0.25">
      <c r="A5418" s="364"/>
      <c r="B5418"/>
      <c r="C5418"/>
      <c r="D5418"/>
      <c r="E5418" s="364"/>
      <c r="F5418"/>
    </row>
    <row r="5419" spans="1:6" x14ac:dyDescent="0.25">
      <c r="A5419" s="364"/>
      <c r="B5419"/>
      <c r="C5419"/>
      <c r="D5419"/>
      <c r="E5419" s="364"/>
      <c r="F5419"/>
    </row>
    <row r="5420" spans="1:6" x14ac:dyDescent="0.25">
      <c r="A5420" s="364"/>
      <c r="B5420"/>
      <c r="C5420"/>
      <c r="D5420"/>
      <c r="E5420" s="364"/>
      <c r="F5420"/>
    </row>
    <row r="5421" spans="1:6" x14ac:dyDescent="0.25">
      <c r="A5421" s="364"/>
      <c r="B5421"/>
      <c r="C5421"/>
      <c r="D5421"/>
      <c r="E5421" s="364"/>
      <c r="F5421"/>
    </row>
    <row r="5422" spans="1:6" x14ac:dyDescent="0.25">
      <c r="A5422" s="364"/>
      <c r="B5422"/>
      <c r="C5422"/>
      <c r="D5422"/>
      <c r="E5422" s="364"/>
      <c r="F5422"/>
    </row>
    <row r="5423" spans="1:6" x14ac:dyDescent="0.25">
      <c r="A5423" s="364"/>
      <c r="B5423"/>
      <c r="C5423"/>
      <c r="D5423"/>
      <c r="E5423" s="364"/>
      <c r="F5423"/>
    </row>
    <row r="5424" spans="1:6" x14ac:dyDescent="0.25">
      <c r="A5424" s="364"/>
      <c r="B5424"/>
      <c r="C5424"/>
      <c r="D5424"/>
      <c r="E5424" s="364"/>
      <c r="F5424"/>
    </row>
    <row r="5425" spans="1:6" x14ac:dyDescent="0.25">
      <c r="A5425" s="364"/>
      <c r="B5425"/>
      <c r="C5425"/>
      <c r="D5425"/>
      <c r="E5425" s="364"/>
      <c r="F5425"/>
    </row>
    <row r="5426" spans="1:6" x14ac:dyDescent="0.25">
      <c r="A5426" s="364"/>
      <c r="B5426"/>
      <c r="C5426"/>
      <c r="D5426"/>
      <c r="E5426" s="364"/>
      <c r="F5426"/>
    </row>
    <row r="5427" spans="1:6" x14ac:dyDescent="0.25">
      <c r="A5427" s="364"/>
      <c r="B5427"/>
      <c r="C5427"/>
      <c r="D5427"/>
      <c r="E5427" s="364"/>
      <c r="F5427"/>
    </row>
    <row r="5428" spans="1:6" x14ac:dyDescent="0.25">
      <c r="A5428" s="364"/>
      <c r="B5428"/>
      <c r="C5428"/>
      <c r="D5428"/>
      <c r="E5428" s="364"/>
      <c r="F5428"/>
    </row>
    <row r="5429" spans="1:6" x14ac:dyDescent="0.25">
      <c r="A5429" s="364"/>
      <c r="B5429"/>
      <c r="C5429"/>
      <c r="D5429"/>
      <c r="E5429" s="364"/>
      <c r="F5429"/>
    </row>
    <row r="5430" spans="1:6" x14ac:dyDescent="0.25">
      <c r="A5430" s="364"/>
      <c r="B5430"/>
      <c r="C5430"/>
      <c r="D5430"/>
      <c r="E5430" s="364"/>
      <c r="F5430"/>
    </row>
    <row r="5431" spans="1:6" x14ac:dyDescent="0.25">
      <c r="A5431" s="364"/>
      <c r="B5431"/>
      <c r="C5431"/>
      <c r="D5431"/>
      <c r="E5431" s="364"/>
      <c r="F5431"/>
    </row>
    <row r="5432" spans="1:6" x14ac:dyDescent="0.25">
      <c r="A5432" s="364"/>
      <c r="B5432"/>
      <c r="C5432"/>
      <c r="D5432"/>
      <c r="E5432" s="364"/>
      <c r="F5432"/>
    </row>
    <row r="5433" spans="1:6" x14ac:dyDescent="0.25">
      <c r="A5433" s="364"/>
      <c r="B5433"/>
      <c r="C5433"/>
      <c r="D5433"/>
      <c r="E5433" s="364"/>
      <c r="F5433"/>
    </row>
    <row r="5434" spans="1:6" x14ac:dyDescent="0.25">
      <c r="A5434" s="364"/>
      <c r="B5434"/>
      <c r="C5434"/>
      <c r="D5434"/>
      <c r="E5434" s="364"/>
      <c r="F5434"/>
    </row>
    <row r="5435" spans="1:6" x14ac:dyDescent="0.25">
      <c r="A5435" s="364"/>
      <c r="B5435"/>
      <c r="C5435"/>
      <c r="D5435"/>
      <c r="E5435" s="364"/>
      <c r="F5435"/>
    </row>
    <row r="5436" spans="1:6" x14ac:dyDescent="0.25">
      <c r="A5436" s="364"/>
      <c r="B5436"/>
      <c r="C5436"/>
      <c r="D5436"/>
      <c r="E5436" s="364"/>
      <c r="F5436"/>
    </row>
    <row r="5437" spans="1:6" x14ac:dyDescent="0.25">
      <c r="A5437" s="364"/>
      <c r="B5437"/>
      <c r="C5437"/>
      <c r="D5437"/>
      <c r="E5437" s="364"/>
      <c r="F5437"/>
    </row>
    <row r="5438" spans="1:6" x14ac:dyDescent="0.25">
      <c r="A5438" s="364"/>
      <c r="B5438"/>
      <c r="C5438"/>
      <c r="D5438"/>
      <c r="E5438" s="364"/>
      <c r="F5438"/>
    </row>
    <row r="5439" spans="1:6" x14ac:dyDescent="0.25">
      <c r="A5439" s="364"/>
      <c r="B5439"/>
      <c r="C5439"/>
      <c r="D5439"/>
      <c r="E5439" s="364"/>
      <c r="F5439"/>
    </row>
    <row r="5440" spans="1:6" x14ac:dyDescent="0.25">
      <c r="A5440" s="364"/>
      <c r="B5440"/>
      <c r="C5440"/>
      <c r="D5440"/>
      <c r="E5440" s="364"/>
      <c r="F5440"/>
    </row>
    <row r="5441" spans="1:6" x14ac:dyDescent="0.25">
      <c r="A5441" s="364"/>
      <c r="B5441"/>
      <c r="C5441"/>
      <c r="D5441"/>
      <c r="E5441" s="364"/>
      <c r="F5441"/>
    </row>
    <row r="5442" spans="1:6" x14ac:dyDescent="0.25">
      <c r="A5442" s="364"/>
      <c r="B5442"/>
      <c r="C5442"/>
      <c r="D5442"/>
      <c r="E5442" s="364"/>
      <c r="F5442"/>
    </row>
    <row r="5443" spans="1:6" x14ac:dyDescent="0.25">
      <c r="A5443" s="364"/>
      <c r="B5443"/>
      <c r="C5443"/>
      <c r="D5443"/>
      <c r="E5443" s="364"/>
      <c r="F5443"/>
    </row>
    <row r="5444" spans="1:6" x14ac:dyDescent="0.25">
      <c r="A5444" s="364"/>
      <c r="B5444"/>
      <c r="C5444"/>
      <c r="D5444"/>
      <c r="E5444" s="364"/>
      <c r="F5444"/>
    </row>
    <row r="5445" spans="1:6" x14ac:dyDescent="0.25">
      <c r="A5445" s="364"/>
      <c r="B5445"/>
      <c r="C5445"/>
      <c r="D5445"/>
      <c r="E5445" s="364"/>
      <c r="F5445"/>
    </row>
    <row r="5446" spans="1:6" x14ac:dyDescent="0.25">
      <c r="A5446" s="364"/>
      <c r="B5446"/>
      <c r="C5446"/>
      <c r="D5446"/>
      <c r="E5446" s="364"/>
      <c r="F5446"/>
    </row>
    <row r="5447" spans="1:6" x14ac:dyDescent="0.25">
      <c r="A5447" s="364"/>
      <c r="B5447"/>
      <c r="C5447"/>
      <c r="D5447"/>
      <c r="E5447" s="364"/>
      <c r="F5447"/>
    </row>
    <row r="5448" spans="1:6" x14ac:dyDescent="0.25">
      <c r="A5448" s="364"/>
      <c r="B5448"/>
      <c r="C5448"/>
      <c r="D5448"/>
      <c r="E5448" s="364"/>
      <c r="F5448"/>
    </row>
    <row r="5449" spans="1:6" x14ac:dyDescent="0.25">
      <c r="A5449" s="364"/>
      <c r="B5449"/>
      <c r="C5449"/>
      <c r="D5449"/>
      <c r="E5449" s="364"/>
      <c r="F5449"/>
    </row>
    <row r="5450" spans="1:6" x14ac:dyDescent="0.25">
      <c r="A5450" s="364"/>
      <c r="B5450"/>
      <c r="C5450"/>
      <c r="D5450"/>
      <c r="E5450" s="364"/>
      <c r="F5450"/>
    </row>
    <row r="5451" spans="1:6" x14ac:dyDescent="0.25">
      <c r="A5451" s="364"/>
      <c r="B5451"/>
      <c r="C5451"/>
      <c r="D5451"/>
      <c r="E5451" s="364"/>
      <c r="F5451"/>
    </row>
    <row r="5452" spans="1:6" x14ac:dyDescent="0.25">
      <c r="A5452" s="364"/>
      <c r="B5452"/>
      <c r="C5452"/>
      <c r="D5452"/>
      <c r="E5452" s="364"/>
      <c r="F5452"/>
    </row>
    <row r="5453" spans="1:6" x14ac:dyDescent="0.25">
      <c r="A5453" s="364"/>
      <c r="B5453"/>
      <c r="C5453"/>
      <c r="D5453"/>
      <c r="E5453" s="364"/>
      <c r="F5453"/>
    </row>
    <row r="5454" spans="1:6" x14ac:dyDescent="0.25">
      <c r="A5454" s="364"/>
      <c r="B5454"/>
      <c r="C5454"/>
      <c r="D5454"/>
      <c r="E5454" s="364"/>
      <c r="F5454"/>
    </row>
    <row r="5455" spans="1:6" x14ac:dyDescent="0.25">
      <c r="A5455" s="364"/>
      <c r="B5455"/>
      <c r="C5455"/>
      <c r="D5455"/>
      <c r="E5455" s="364"/>
      <c r="F5455"/>
    </row>
    <row r="5456" spans="1:6" x14ac:dyDescent="0.25">
      <c r="A5456" s="364"/>
      <c r="B5456"/>
      <c r="C5456"/>
      <c r="D5456"/>
      <c r="E5456" s="364"/>
      <c r="F5456"/>
    </row>
    <row r="5457" spans="1:6" x14ac:dyDescent="0.25">
      <c r="A5457" s="364"/>
      <c r="B5457"/>
      <c r="C5457"/>
      <c r="D5457"/>
      <c r="E5457" s="364"/>
      <c r="F5457"/>
    </row>
    <row r="5458" spans="1:6" x14ac:dyDescent="0.25">
      <c r="A5458" s="364"/>
      <c r="B5458"/>
      <c r="C5458"/>
      <c r="D5458"/>
      <c r="E5458" s="364"/>
      <c r="F5458"/>
    </row>
    <row r="5459" spans="1:6" x14ac:dyDescent="0.25">
      <c r="A5459" s="364"/>
      <c r="B5459"/>
      <c r="C5459"/>
      <c r="D5459"/>
      <c r="E5459" s="364"/>
      <c r="F5459"/>
    </row>
    <row r="5460" spans="1:6" x14ac:dyDescent="0.25">
      <c r="A5460" s="364"/>
      <c r="B5460"/>
      <c r="C5460"/>
      <c r="D5460"/>
      <c r="E5460" s="364"/>
      <c r="F5460"/>
    </row>
    <row r="5461" spans="1:6" x14ac:dyDescent="0.25">
      <c r="A5461" s="364"/>
      <c r="B5461"/>
      <c r="C5461"/>
      <c r="D5461"/>
      <c r="E5461" s="364"/>
      <c r="F5461"/>
    </row>
    <row r="5462" spans="1:6" x14ac:dyDescent="0.25">
      <c r="A5462" s="364"/>
      <c r="B5462"/>
      <c r="C5462"/>
      <c r="D5462"/>
      <c r="E5462" s="364"/>
      <c r="F5462"/>
    </row>
    <row r="5463" spans="1:6" x14ac:dyDescent="0.25">
      <c r="A5463" s="364"/>
      <c r="B5463"/>
      <c r="C5463"/>
      <c r="D5463"/>
      <c r="E5463" s="364"/>
      <c r="F5463"/>
    </row>
    <row r="5464" spans="1:6" x14ac:dyDescent="0.25">
      <c r="A5464" s="364"/>
      <c r="B5464"/>
      <c r="C5464"/>
      <c r="D5464"/>
      <c r="E5464" s="364"/>
      <c r="F5464"/>
    </row>
    <row r="5465" spans="1:6" x14ac:dyDescent="0.25">
      <c r="A5465" s="364"/>
      <c r="B5465"/>
      <c r="C5465"/>
      <c r="D5465"/>
      <c r="E5465" s="364"/>
      <c r="F5465"/>
    </row>
    <row r="5466" spans="1:6" x14ac:dyDescent="0.25">
      <c r="A5466" s="364"/>
      <c r="B5466"/>
      <c r="C5466"/>
      <c r="D5466"/>
      <c r="E5466" s="364"/>
      <c r="F5466"/>
    </row>
    <row r="5467" spans="1:6" x14ac:dyDescent="0.25">
      <c r="A5467" s="364"/>
      <c r="B5467"/>
      <c r="C5467"/>
      <c r="D5467"/>
      <c r="E5467" s="364"/>
      <c r="F5467"/>
    </row>
    <row r="5468" spans="1:6" x14ac:dyDescent="0.25">
      <c r="A5468" s="364"/>
      <c r="B5468"/>
      <c r="C5468"/>
      <c r="D5468"/>
      <c r="E5468" s="364"/>
      <c r="F5468"/>
    </row>
    <row r="5469" spans="1:6" x14ac:dyDescent="0.25">
      <c r="A5469" s="364"/>
      <c r="B5469"/>
      <c r="C5469"/>
      <c r="D5469"/>
      <c r="E5469" s="364"/>
      <c r="F5469"/>
    </row>
    <row r="5470" spans="1:6" x14ac:dyDescent="0.25">
      <c r="A5470" s="364"/>
      <c r="B5470"/>
      <c r="C5470"/>
      <c r="D5470"/>
      <c r="E5470" s="364"/>
      <c r="F5470"/>
    </row>
    <row r="5471" spans="1:6" x14ac:dyDescent="0.25">
      <c r="A5471" s="364"/>
      <c r="B5471"/>
      <c r="C5471"/>
      <c r="D5471"/>
      <c r="E5471" s="364"/>
      <c r="F5471"/>
    </row>
    <row r="5472" spans="1:6" x14ac:dyDescent="0.25">
      <c r="A5472" s="364"/>
      <c r="B5472"/>
      <c r="C5472"/>
      <c r="D5472"/>
      <c r="E5472" s="364"/>
      <c r="F5472"/>
    </row>
    <row r="5473" spans="1:6" x14ac:dyDescent="0.25">
      <c r="A5473" s="364"/>
      <c r="B5473"/>
      <c r="C5473"/>
      <c r="D5473"/>
      <c r="E5473" s="364"/>
      <c r="F5473"/>
    </row>
    <row r="5474" spans="1:6" x14ac:dyDescent="0.25">
      <c r="A5474" s="364"/>
      <c r="B5474"/>
      <c r="C5474"/>
      <c r="D5474"/>
      <c r="E5474" s="364"/>
      <c r="F5474"/>
    </row>
    <row r="5475" spans="1:6" x14ac:dyDescent="0.25">
      <c r="A5475" s="364"/>
      <c r="B5475"/>
      <c r="C5475"/>
      <c r="D5475"/>
      <c r="E5475" s="364"/>
      <c r="F5475"/>
    </row>
    <row r="5476" spans="1:6" x14ac:dyDescent="0.25">
      <c r="A5476" s="364"/>
      <c r="B5476"/>
      <c r="C5476"/>
      <c r="D5476"/>
      <c r="E5476" s="364"/>
      <c r="F5476"/>
    </row>
    <row r="5477" spans="1:6" x14ac:dyDescent="0.25">
      <c r="A5477" s="364"/>
      <c r="B5477"/>
      <c r="C5477"/>
      <c r="D5477"/>
      <c r="E5477" s="364"/>
      <c r="F5477"/>
    </row>
    <row r="5478" spans="1:6" x14ac:dyDescent="0.25">
      <c r="A5478" s="364"/>
      <c r="B5478"/>
      <c r="C5478"/>
      <c r="D5478"/>
      <c r="E5478" s="364"/>
      <c r="F5478"/>
    </row>
    <row r="5479" spans="1:6" x14ac:dyDescent="0.25">
      <c r="A5479" s="364"/>
      <c r="B5479"/>
      <c r="C5479"/>
      <c r="D5479"/>
      <c r="E5479" s="364"/>
      <c r="F5479"/>
    </row>
    <row r="5480" spans="1:6" x14ac:dyDescent="0.25">
      <c r="A5480" s="364"/>
      <c r="B5480"/>
      <c r="C5480"/>
      <c r="D5480"/>
      <c r="E5480" s="364"/>
      <c r="F5480"/>
    </row>
    <row r="5481" spans="1:6" x14ac:dyDescent="0.25">
      <c r="A5481" s="364"/>
      <c r="B5481"/>
      <c r="C5481"/>
      <c r="D5481"/>
      <c r="E5481" s="364"/>
      <c r="F5481"/>
    </row>
    <row r="5482" spans="1:6" x14ac:dyDescent="0.25">
      <c r="A5482" s="364"/>
      <c r="B5482"/>
      <c r="C5482"/>
      <c r="D5482"/>
      <c r="E5482" s="364"/>
      <c r="F5482"/>
    </row>
    <row r="5483" spans="1:6" x14ac:dyDescent="0.25">
      <c r="A5483" s="364"/>
      <c r="B5483"/>
      <c r="C5483"/>
      <c r="D5483"/>
      <c r="E5483" s="364"/>
      <c r="F5483"/>
    </row>
    <row r="5484" spans="1:6" x14ac:dyDescent="0.25">
      <c r="A5484" s="364"/>
      <c r="B5484"/>
      <c r="C5484"/>
      <c r="D5484"/>
      <c r="E5484" s="364"/>
      <c r="F5484"/>
    </row>
    <row r="5485" spans="1:6" x14ac:dyDescent="0.25">
      <c r="A5485" s="364"/>
      <c r="B5485"/>
      <c r="C5485"/>
      <c r="D5485"/>
      <c r="E5485" s="364"/>
      <c r="F5485"/>
    </row>
    <row r="5486" spans="1:6" x14ac:dyDescent="0.25">
      <c r="A5486" s="364"/>
      <c r="B5486"/>
      <c r="C5486"/>
      <c r="D5486"/>
      <c r="E5486" s="364"/>
      <c r="F5486"/>
    </row>
    <row r="5487" spans="1:6" x14ac:dyDescent="0.25">
      <c r="A5487" s="364"/>
      <c r="B5487"/>
      <c r="C5487"/>
      <c r="D5487"/>
      <c r="E5487" s="364"/>
      <c r="F5487"/>
    </row>
    <row r="5488" spans="1:6" x14ac:dyDescent="0.25">
      <c r="A5488" s="364"/>
      <c r="B5488"/>
      <c r="C5488"/>
      <c r="D5488"/>
      <c r="E5488" s="364"/>
      <c r="F5488"/>
    </row>
    <row r="5489" spans="1:6" x14ac:dyDescent="0.25">
      <c r="A5489" s="364"/>
      <c r="B5489"/>
      <c r="C5489"/>
      <c r="D5489"/>
      <c r="E5489" s="364"/>
      <c r="F5489"/>
    </row>
    <row r="5490" spans="1:6" x14ac:dyDescent="0.25">
      <c r="A5490" s="364"/>
      <c r="B5490"/>
      <c r="C5490"/>
      <c r="D5490"/>
      <c r="E5490" s="364"/>
      <c r="F5490"/>
    </row>
    <row r="5491" spans="1:6" x14ac:dyDescent="0.25">
      <c r="A5491" s="364"/>
      <c r="B5491"/>
      <c r="C5491"/>
      <c r="D5491"/>
      <c r="E5491" s="364"/>
      <c r="F5491"/>
    </row>
    <row r="5492" spans="1:6" x14ac:dyDescent="0.25">
      <c r="A5492" s="364"/>
      <c r="B5492"/>
      <c r="C5492"/>
      <c r="D5492"/>
      <c r="E5492" s="364"/>
      <c r="F5492"/>
    </row>
    <row r="5493" spans="1:6" x14ac:dyDescent="0.25">
      <c r="A5493" s="364"/>
      <c r="B5493"/>
      <c r="C5493"/>
      <c r="D5493"/>
      <c r="E5493" s="364"/>
      <c r="F5493"/>
    </row>
    <row r="5494" spans="1:6" x14ac:dyDescent="0.25">
      <c r="A5494" s="364"/>
      <c r="B5494"/>
      <c r="C5494"/>
      <c r="D5494"/>
      <c r="E5494" s="364"/>
      <c r="F5494"/>
    </row>
    <row r="5495" spans="1:6" x14ac:dyDescent="0.25">
      <c r="A5495" s="364"/>
      <c r="B5495"/>
      <c r="C5495"/>
      <c r="D5495"/>
      <c r="E5495" s="364"/>
      <c r="F5495"/>
    </row>
    <row r="5496" spans="1:6" x14ac:dyDescent="0.25">
      <c r="A5496" s="364"/>
      <c r="B5496"/>
      <c r="C5496"/>
      <c r="D5496"/>
      <c r="E5496" s="364"/>
      <c r="F5496"/>
    </row>
    <row r="5497" spans="1:6" x14ac:dyDescent="0.25">
      <c r="A5497" s="364"/>
      <c r="B5497"/>
      <c r="C5497"/>
      <c r="D5497"/>
      <c r="E5497" s="364"/>
      <c r="F5497"/>
    </row>
    <row r="5498" spans="1:6" x14ac:dyDescent="0.25">
      <c r="A5498" s="364"/>
      <c r="B5498"/>
      <c r="C5498"/>
      <c r="D5498"/>
      <c r="E5498" s="364"/>
      <c r="F5498"/>
    </row>
    <row r="5499" spans="1:6" x14ac:dyDescent="0.25">
      <c r="A5499" s="364"/>
      <c r="B5499"/>
      <c r="C5499"/>
      <c r="D5499"/>
      <c r="E5499" s="364"/>
      <c r="F5499"/>
    </row>
    <row r="5500" spans="1:6" x14ac:dyDescent="0.25">
      <c r="A5500" s="364"/>
      <c r="B5500"/>
      <c r="C5500"/>
      <c r="D5500"/>
      <c r="E5500" s="364"/>
      <c r="F5500"/>
    </row>
    <row r="5501" spans="1:6" x14ac:dyDescent="0.25">
      <c r="A5501" s="364"/>
      <c r="B5501"/>
      <c r="C5501"/>
      <c r="D5501"/>
      <c r="E5501" s="364"/>
      <c r="F5501"/>
    </row>
    <row r="5502" spans="1:6" x14ac:dyDescent="0.25">
      <c r="A5502" s="364"/>
      <c r="B5502"/>
      <c r="C5502"/>
      <c r="D5502"/>
      <c r="E5502" s="364"/>
      <c r="F5502"/>
    </row>
    <row r="5503" spans="1:6" x14ac:dyDescent="0.25">
      <c r="A5503" s="364"/>
      <c r="B5503"/>
      <c r="C5503"/>
      <c r="D5503"/>
      <c r="E5503" s="364"/>
      <c r="F5503"/>
    </row>
    <row r="5504" spans="1:6" x14ac:dyDescent="0.25">
      <c r="A5504" s="364"/>
      <c r="B5504"/>
      <c r="C5504"/>
      <c r="D5504"/>
      <c r="E5504" s="364"/>
      <c r="F5504"/>
    </row>
    <row r="5505" spans="1:6" x14ac:dyDescent="0.25">
      <c r="A5505" s="364"/>
      <c r="B5505"/>
      <c r="C5505"/>
      <c r="D5505"/>
      <c r="E5505" s="364"/>
      <c r="F5505"/>
    </row>
    <row r="5506" spans="1:6" x14ac:dyDescent="0.25">
      <c r="A5506" s="364"/>
      <c r="B5506"/>
      <c r="C5506"/>
      <c r="D5506"/>
      <c r="E5506" s="364"/>
      <c r="F5506"/>
    </row>
    <row r="5507" spans="1:6" x14ac:dyDescent="0.25">
      <c r="A5507" s="364"/>
      <c r="B5507"/>
      <c r="C5507"/>
      <c r="D5507"/>
      <c r="E5507" s="364"/>
      <c r="F5507"/>
    </row>
    <row r="5508" spans="1:6" x14ac:dyDescent="0.25">
      <c r="A5508" s="364"/>
      <c r="B5508"/>
      <c r="C5508"/>
      <c r="D5508"/>
      <c r="E5508" s="364"/>
      <c r="F5508"/>
    </row>
    <row r="5509" spans="1:6" x14ac:dyDescent="0.25">
      <c r="A5509" s="364"/>
      <c r="B5509"/>
      <c r="C5509"/>
      <c r="D5509"/>
      <c r="E5509" s="364"/>
      <c r="F5509"/>
    </row>
    <row r="5510" spans="1:6" x14ac:dyDescent="0.25">
      <c r="A5510" s="364"/>
      <c r="B5510"/>
      <c r="C5510"/>
      <c r="D5510"/>
      <c r="E5510" s="364"/>
      <c r="F5510"/>
    </row>
    <row r="5511" spans="1:6" x14ac:dyDescent="0.25">
      <c r="A5511" s="364"/>
      <c r="B5511"/>
      <c r="C5511"/>
      <c r="D5511"/>
      <c r="E5511" s="364"/>
      <c r="F5511"/>
    </row>
    <row r="5512" spans="1:6" x14ac:dyDescent="0.25">
      <c r="A5512" s="364"/>
      <c r="B5512"/>
      <c r="C5512"/>
      <c r="D5512"/>
      <c r="E5512" s="364"/>
      <c r="F5512"/>
    </row>
    <row r="5513" spans="1:6" x14ac:dyDescent="0.25">
      <c r="A5513" s="364"/>
      <c r="B5513"/>
      <c r="C5513"/>
      <c r="D5513"/>
      <c r="E5513" s="364"/>
      <c r="F5513"/>
    </row>
    <row r="5514" spans="1:6" x14ac:dyDescent="0.25">
      <c r="A5514" s="364"/>
      <c r="B5514"/>
      <c r="C5514"/>
      <c r="D5514"/>
      <c r="E5514" s="364"/>
      <c r="F5514"/>
    </row>
    <row r="5515" spans="1:6" x14ac:dyDescent="0.25">
      <c r="A5515" s="364"/>
      <c r="B5515"/>
      <c r="C5515"/>
      <c r="D5515"/>
      <c r="E5515" s="364"/>
      <c r="F5515"/>
    </row>
    <row r="5516" spans="1:6" x14ac:dyDescent="0.25">
      <c r="A5516" s="364"/>
      <c r="B5516"/>
      <c r="C5516"/>
      <c r="D5516"/>
      <c r="E5516" s="364"/>
      <c r="F5516"/>
    </row>
    <row r="5517" spans="1:6" x14ac:dyDescent="0.25">
      <c r="A5517" s="364"/>
      <c r="B5517"/>
      <c r="C5517"/>
      <c r="D5517"/>
      <c r="E5517" s="364"/>
      <c r="F5517"/>
    </row>
    <row r="5518" spans="1:6" x14ac:dyDescent="0.25">
      <c r="A5518" s="364"/>
      <c r="B5518"/>
      <c r="C5518"/>
      <c r="D5518"/>
      <c r="E5518" s="364"/>
      <c r="F5518"/>
    </row>
    <row r="5519" spans="1:6" x14ac:dyDescent="0.25">
      <c r="A5519" s="364"/>
      <c r="B5519"/>
      <c r="C5519"/>
      <c r="D5519"/>
      <c r="E5519" s="364"/>
      <c r="F5519"/>
    </row>
    <row r="5520" spans="1:6" x14ac:dyDescent="0.25">
      <c r="A5520" s="364"/>
      <c r="B5520"/>
      <c r="C5520"/>
      <c r="D5520"/>
      <c r="E5520" s="364"/>
      <c r="F5520"/>
    </row>
    <row r="5521" spans="1:6" x14ac:dyDescent="0.25">
      <c r="A5521" s="364"/>
      <c r="B5521"/>
      <c r="C5521"/>
      <c r="D5521"/>
      <c r="E5521" s="364"/>
      <c r="F5521"/>
    </row>
    <row r="5522" spans="1:6" x14ac:dyDescent="0.25">
      <c r="A5522" s="364"/>
      <c r="B5522"/>
      <c r="C5522"/>
      <c r="D5522"/>
      <c r="E5522" s="364"/>
      <c r="F5522"/>
    </row>
    <row r="5523" spans="1:6" x14ac:dyDescent="0.25">
      <c r="A5523" s="364"/>
      <c r="B5523"/>
      <c r="C5523"/>
      <c r="D5523"/>
      <c r="E5523" s="364"/>
      <c r="F5523"/>
    </row>
    <row r="5524" spans="1:6" x14ac:dyDescent="0.25">
      <c r="A5524" s="364"/>
      <c r="B5524"/>
      <c r="C5524"/>
      <c r="D5524"/>
      <c r="E5524" s="364"/>
      <c r="F5524"/>
    </row>
    <row r="5525" spans="1:6" x14ac:dyDescent="0.25">
      <c r="A5525" s="364"/>
      <c r="B5525"/>
      <c r="C5525"/>
      <c r="D5525"/>
      <c r="E5525" s="364"/>
      <c r="F5525"/>
    </row>
    <row r="5526" spans="1:6" x14ac:dyDescent="0.25">
      <c r="A5526" s="364"/>
      <c r="B5526"/>
      <c r="C5526"/>
      <c r="D5526"/>
      <c r="E5526" s="364"/>
      <c r="F5526"/>
    </row>
    <row r="5527" spans="1:6" x14ac:dyDescent="0.25">
      <c r="A5527" s="364"/>
      <c r="B5527"/>
      <c r="C5527"/>
      <c r="D5527"/>
      <c r="E5527" s="364"/>
      <c r="F5527"/>
    </row>
    <row r="5528" spans="1:6" x14ac:dyDescent="0.25">
      <c r="A5528" s="364"/>
      <c r="B5528"/>
      <c r="C5528"/>
      <c r="D5528"/>
      <c r="E5528" s="364"/>
      <c r="F5528"/>
    </row>
    <row r="5529" spans="1:6" x14ac:dyDescent="0.25">
      <c r="A5529" s="364"/>
      <c r="B5529"/>
      <c r="C5529"/>
      <c r="D5529"/>
      <c r="E5529" s="364"/>
      <c r="F5529"/>
    </row>
    <row r="5530" spans="1:6" x14ac:dyDescent="0.25">
      <c r="A5530" s="364"/>
      <c r="B5530"/>
      <c r="C5530"/>
      <c r="D5530"/>
      <c r="E5530" s="364"/>
      <c r="F5530"/>
    </row>
    <row r="5531" spans="1:6" x14ac:dyDescent="0.25">
      <c r="A5531" s="364"/>
      <c r="B5531"/>
      <c r="C5531"/>
      <c r="D5531"/>
      <c r="E5531" s="364"/>
      <c r="F5531"/>
    </row>
    <row r="5532" spans="1:6" x14ac:dyDescent="0.25">
      <c r="A5532" s="364"/>
      <c r="B5532"/>
      <c r="C5532"/>
      <c r="D5532"/>
      <c r="E5532" s="364"/>
      <c r="F5532"/>
    </row>
    <row r="5533" spans="1:6" x14ac:dyDescent="0.25">
      <c r="A5533" s="364"/>
      <c r="B5533"/>
      <c r="C5533"/>
      <c r="D5533"/>
      <c r="E5533" s="364"/>
      <c r="F5533"/>
    </row>
    <row r="5534" spans="1:6" x14ac:dyDescent="0.25">
      <c r="A5534" s="364"/>
      <c r="B5534"/>
      <c r="C5534"/>
      <c r="D5534"/>
      <c r="E5534" s="364"/>
      <c r="F5534"/>
    </row>
    <row r="5535" spans="1:6" x14ac:dyDescent="0.25">
      <c r="A5535" s="364"/>
      <c r="B5535"/>
      <c r="C5535"/>
      <c r="D5535"/>
      <c r="E5535" s="364"/>
      <c r="F5535"/>
    </row>
    <row r="5536" spans="1:6" x14ac:dyDescent="0.25">
      <c r="A5536" s="364"/>
      <c r="B5536"/>
      <c r="C5536"/>
      <c r="D5536"/>
      <c r="E5536" s="364"/>
      <c r="F5536"/>
    </row>
    <row r="5537" spans="1:6" x14ac:dyDescent="0.25">
      <c r="A5537" s="364"/>
      <c r="B5537"/>
      <c r="C5537"/>
      <c r="D5537"/>
      <c r="E5537" s="364"/>
      <c r="F5537"/>
    </row>
    <row r="5538" spans="1:6" x14ac:dyDescent="0.25">
      <c r="A5538" s="364"/>
      <c r="B5538"/>
      <c r="C5538"/>
      <c r="D5538"/>
      <c r="E5538" s="364"/>
      <c r="F5538"/>
    </row>
    <row r="5539" spans="1:6" x14ac:dyDescent="0.25">
      <c r="A5539" s="364"/>
      <c r="B5539"/>
      <c r="C5539"/>
      <c r="D5539"/>
      <c r="E5539" s="364"/>
      <c r="F5539"/>
    </row>
    <row r="5540" spans="1:6" x14ac:dyDescent="0.25">
      <c r="A5540" s="364"/>
      <c r="B5540"/>
      <c r="C5540"/>
      <c r="D5540"/>
      <c r="E5540" s="364"/>
      <c r="F5540"/>
    </row>
    <row r="5541" spans="1:6" x14ac:dyDescent="0.25">
      <c r="A5541" s="364"/>
      <c r="B5541"/>
      <c r="C5541"/>
      <c r="D5541"/>
      <c r="E5541" s="364"/>
      <c r="F5541"/>
    </row>
    <row r="5542" spans="1:6" x14ac:dyDescent="0.25">
      <c r="A5542" s="364"/>
      <c r="B5542"/>
      <c r="C5542"/>
      <c r="D5542"/>
      <c r="E5542" s="364"/>
      <c r="F5542"/>
    </row>
    <row r="5543" spans="1:6" x14ac:dyDescent="0.25">
      <c r="A5543" s="364"/>
      <c r="B5543"/>
      <c r="C5543"/>
      <c r="D5543"/>
      <c r="E5543" s="364"/>
      <c r="F5543"/>
    </row>
    <row r="5544" spans="1:6" x14ac:dyDescent="0.25">
      <c r="A5544" s="364"/>
      <c r="B5544"/>
      <c r="C5544"/>
      <c r="D5544"/>
      <c r="E5544" s="364"/>
      <c r="F5544"/>
    </row>
    <row r="5545" spans="1:6" x14ac:dyDescent="0.25">
      <c r="A5545" s="364"/>
      <c r="B5545"/>
      <c r="C5545"/>
      <c r="D5545"/>
      <c r="E5545" s="364"/>
      <c r="F5545"/>
    </row>
    <row r="5546" spans="1:6" x14ac:dyDescent="0.25">
      <c r="A5546" s="364"/>
      <c r="B5546"/>
      <c r="C5546"/>
      <c r="D5546"/>
      <c r="E5546" s="364"/>
      <c r="F5546"/>
    </row>
    <row r="5547" spans="1:6" x14ac:dyDescent="0.25">
      <c r="A5547" s="364"/>
      <c r="B5547"/>
      <c r="C5547"/>
      <c r="D5547"/>
      <c r="E5547" s="364"/>
      <c r="F5547"/>
    </row>
    <row r="5548" spans="1:6" x14ac:dyDescent="0.25">
      <c r="A5548" s="364"/>
      <c r="B5548"/>
      <c r="C5548"/>
      <c r="D5548"/>
      <c r="E5548" s="364"/>
      <c r="F5548"/>
    </row>
    <row r="5549" spans="1:6" x14ac:dyDescent="0.25">
      <c r="A5549" s="364"/>
      <c r="B5549"/>
      <c r="C5549"/>
      <c r="D5549"/>
      <c r="E5549" s="364"/>
      <c r="F5549"/>
    </row>
    <row r="5550" spans="1:6" x14ac:dyDescent="0.25">
      <c r="A5550" s="364"/>
      <c r="B5550"/>
      <c r="C5550"/>
      <c r="D5550"/>
      <c r="E5550" s="364"/>
      <c r="F5550"/>
    </row>
    <row r="5551" spans="1:6" x14ac:dyDescent="0.25">
      <c r="A5551" s="364"/>
      <c r="B5551"/>
      <c r="C5551"/>
      <c r="D5551"/>
      <c r="E5551" s="364"/>
      <c r="F5551"/>
    </row>
    <row r="5552" spans="1:6" x14ac:dyDescent="0.25">
      <c r="A5552" s="364"/>
      <c r="B5552"/>
      <c r="C5552"/>
      <c r="D5552"/>
      <c r="E5552" s="364"/>
      <c r="F5552"/>
    </row>
    <row r="5553" spans="1:6" x14ac:dyDescent="0.25">
      <c r="A5553" s="364"/>
      <c r="B5553"/>
      <c r="C5553"/>
      <c r="D5553"/>
      <c r="E5553" s="364"/>
      <c r="F5553"/>
    </row>
    <row r="5554" spans="1:6" x14ac:dyDescent="0.25">
      <c r="A5554" s="364"/>
      <c r="B5554"/>
      <c r="C5554"/>
      <c r="D5554"/>
      <c r="E5554" s="364"/>
      <c r="F5554"/>
    </row>
    <row r="5555" spans="1:6" x14ac:dyDescent="0.25">
      <c r="A5555" s="364"/>
      <c r="B5555"/>
      <c r="C5555"/>
      <c r="D5555"/>
      <c r="E5555" s="364"/>
      <c r="F5555"/>
    </row>
    <row r="5556" spans="1:6" x14ac:dyDescent="0.25">
      <c r="A5556" s="364"/>
      <c r="B5556"/>
      <c r="C5556"/>
      <c r="D5556"/>
      <c r="E5556" s="364"/>
      <c r="F5556"/>
    </row>
    <row r="5557" spans="1:6" x14ac:dyDescent="0.25">
      <c r="A5557" s="364"/>
      <c r="B5557"/>
      <c r="C5557"/>
      <c r="D5557"/>
      <c r="E5557" s="364"/>
      <c r="F5557"/>
    </row>
    <row r="5558" spans="1:6" x14ac:dyDescent="0.25">
      <c r="A5558" s="364"/>
      <c r="B5558"/>
      <c r="C5558"/>
      <c r="D5558"/>
      <c r="E5558" s="364"/>
      <c r="F5558"/>
    </row>
    <row r="5559" spans="1:6" x14ac:dyDescent="0.25">
      <c r="A5559" s="364"/>
      <c r="B5559"/>
      <c r="C5559"/>
      <c r="D5559"/>
      <c r="E5559" s="364"/>
      <c r="F5559"/>
    </row>
    <row r="5560" spans="1:6" x14ac:dyDescent="0.25">
      <c r="A5560" s="364"/>
      <c r="B5560"/>
      <c r="C5560"/>
      <c r="D5560"/>
      <c r="E5560" s="364"/>
      <c r="F5560"/>
    </row>
    <row r="5561" spans="1:6" x14ac:dyDescent="0.25">
      <c r="A5561" s="364"/>
      <c r="B5561"/>
      <c r="C5561"/>
      <c r="D5561"/>
      <c r="E5561" s="364"/>
      <c r="F5561"/>
    </row>
    <row r="5562" spans="1:6" x14ac:dyDescent="0.25">
      <c r="A5562" s="364"/>
      <c r="B5562"/>
      <c r="C5562"/>
      <c r="D5562"/>
      <c r="E5562" s="364"/>
      <c r="F5562"/>
    </row>
    <row r="5563" spans="1:6" x14ac:dyDescent="0.25">
      <c r="A5563" s="364"/>
      <c r="B5563"/>
      <c r="C5563"/>
      <c r="D5563"/>
      <c r="E5563" s="364"/>
      <c r="F5563"/>
    </row>
    <row r="5564" spans="1:6" x14ac:dyDescent="0.25">
      <c r="A5564" s="364"/>
      <c r="B5564"/>
      <c r="C5564"/>
      <c r="D5564"/>
      <c r="E5564" s="364"/>
      <c r="F5564"/>
    </row>
    <row r="5565" spans="1:6" x14ac:dyDescent="0.25">
      <c r="A5565" s="364"/>
      <c r="B5565"/>
      <c r="C5565"/>
      <c r="D5565"/>
      <c r="E5565" s="364"/>
      <c r="F5565"/>
    </row>
    <row r="5566" spans="1:6" x14ac:dyDescent="0.25">
      <c r="A5566" s="364"/>
      <c r="B5566"/>
      <c r="C5566"/>
      <c r="D5566"/>
      <c r="E5566" s="364"/>
      <c r="F5566"/>
    </row>
    <row r="5567" spans="1:6" x14ac:dyDescent="0.25">
      <c r="A5567" s="364"/>
      <c r="B5567"/>
      <c r="C5567"/>
      <c r="D5567"/>
      <c r="E5567" s="364"/>
      <c r="F5567"/>
    </row>
    <row r="5568" spans="1:6" x14ac:dyDescent="0.25">
      <c r="A5568" s="364"/>
      <c r="B5568"/>
      <c r="C5568"/>
      <c r="D5568"/>
      <c r="E5568" s="364"/>
      <c r="F5568"/>
    </row>
    <row r="5569" spans="1:6" x14ac:dyDescent="0.25">
      <c r="A5569" s="364"/>
      <c r="B5569"/>
      <c r="C5569"/>
      <c r="D5569"/>
      <c r="E5569" s="364"/>
      <c r="F5569"/>
    </row>
    <row r="5570" spans="1:6" x14ac:dyDescent="0.25">
      <c r="A5570" s="364"/>
      <c r="B5570"/>
      <c r="C5570"/>
      <c r="D5570"/>
      <c r="E5570" s="364"/>
      <c r="F5570"/>
    </row>
    <row r="5571" spans="1:6" x14ac:dyDescent="0.25">
      <c r="A5571" s="364"/>
      <c r="B5571"/>
      <c r="C5571"/>
      <c r="D5571"/>
      <c r="E5571" s="364"/>
      <c r="F5571"/>
    </row>
    <row r="5572" spans="1:6" x14ac:dyDescent="0.25">
      <c r="A5572" s="364"/>
      <c r="B5572"/>
      <c r="C5572"/>
      <c r="D5572"/>
      <c r="E5572" s="364"/>
      <c r="F5572"/>
    </row>
    <row r="5573" spans="1:6" x14ac:dyDescent="0.25">
      <c r="A5573" s="364"/>
      <c r="B5573"/>
      <c r="C5573"/>
      <c r="D5573"/>
      <c r="E5573" s="364"/>
      <c r="F5573"/>
    </row>
    <row r="5574" spans="1:6" x14ac:dyDescent="0.25">
      <c r="A5574" s="364"/>
      <c r="B5574"/>
      <c r="C5574"/>
      <c r="D5574"/>
      <c r="E5574" s="364"/>
      <c r="F5574"/>
    </row>
    <row r="5575" spans="1:6" x14ac:dyDescent="0.25">
      <c r="A5575" s="364"/>
      <c r="B5575"/>
      <c r="C5575"/>
      <c r="D5575"/>
      <c r="E5575" s="364"/>
      <c r="F5575"/>
    </row>
    <row r="5576" spans="1:6" x14ac:dyDescent="0.25">
      <c r="A5576" s="364"/>
      <c r="B5576"/>
      <c r="C5576"/>
      <c r="D5576"/>
      <c r="E5576" s="364"/>
      <c r="F5576"/>
    </row>
    <row r="5577" spans="1:6" x14ac:dyDescent="0.25">
      <c r="A5577" s="364"/>
      <c r="B5577"/>
      <c r="C5577"/>
      <c r="D5577"/>
      <c r="E5577" s="364"/>
      <c r="F5577"/>
    </row>
    <row r="5578" spans="1:6" x14ac:dyDescent="0.25">
      <c r="A5578" s="364"/>
      <c r="B5578"/>
      <c r="C5578"/>
      <c r="D5578"/>
      <c r="E5578" s="364"/>
      <c r="F5578"/>
    </row>
    <row r="5579" spans="1:6" x14ac:dyDescent="0.25">
      <c r="A5579" s="364"/>
      <c r="B5579"/>
      <c r="C5579"/>
      <c r="D5579"/>
      <c r="E5579" s="364"/>
      <c r="F5579"/>
    </row>
    <row r="5580" spans="1:6" x14ac:dyDescent="0.25">
      <c r="A5580" s="364"/>
      <c r="B5580"/>
      <c r="C5580"/>
      <c r="D5580"/>
      <c r="E5580" s="364"/>
      <c r="F5580"/>
    </row>
    <row r="5581" spans="1:6" x14ac:dyDescent="0.25">
      <c r="A5581" s="364"/>
      <c r="B5581"/>
      <c r="C5581"/>
      <c r="D5581"/>
      <c r="E5581" s="364"/>
      <c r="F5581"/>
    </row>
    <row r="5582" spans="1:6" x14ac:dyDescent="0.25">
      <c r="A5582" s="364"/>
      <c r="B5582"/>
      <c r="C5582"/>
      <c r="D5582"/>
      <c r="E5582" s="364"/>
      <c r="F5582"/>
    </row>
    <row r="5583" spans="1:6" x14ac:dyDescent="0.25">
      <c r="A5583" s="364"/>
      <c r="B5583"/>
      <c r="C5583"/>
      <c r="D5583"/>
      <c r="E5583" s="364"/>
      <c r="F5583"/>
    </row>
    <row r="5584" spans="1:6" x14ac:dyDescent="0.25">
      <c r="A5584" s="364"/>
      <c r="B5584"/>
      <c r="C5584"/>
      <c r="D5584"/>
      <c r="E5584" s="364"/>
      <c r="F5584"/>
    </row>
    <row r="5585" spans="1:6" x14ac:dyDescent="0.25">
      <c r="A5585" s="364"/>
      <c r="B5585"/>
      <c r="C5585"/>
      <c r="D5585"/>
      <c r="E5585" s="364"/>
      <c r="F5585"/>
    </row>
    <row r="5586" spans="1:6" x14ac:dyDescent="0.25">
      <c r="A5586" s="364"/>
      <c r="B5586"/>
      <c r="C5586"/>
      <c r="D5586"/>
      <c r="E5586" s="364"/>
      <c r="F5586"/>
    </row>
    <row r="5587" spans="1:6" x14ac:dyDescent="0.25">
      <c r="A5587" s="364"/>
      <c r="B5587"/>
      <c r="C5587"/>
      <c r="D5587"/>
      <c r="E5587" s="364"/>
      <c r="F5587"/>
    </row>
    <row r="5588" spans="1:6" x14ac:dyDescent="0.25">
      <c r="A5588" s="364"/>
      <c r="B5588"/>
      <c r="C5588"/>
      <c r="D5588"/>
      <c r="E5588" s="364"/>
      <c r="F5588"/>
    </row>
    <row r="5589" spans="1:6" x14ac:dyDescent="0.25">
      <c r="A5589" s="364"/>
      <c r="B5589"/>
      <c r="C5589"/>
      <c r="D5589"/>
      <c r="E5589" s="364"/>
      <c r="F5589"/>
    </row>
    <row r="5590" spans="1:6" x14ac:dyDescent="0.25">
      <c r="A5590" s="364"/>
      <c r="B5590"/>
      <c r="C5590"/>
      <c r="D5590"/>
      <c r="E5590" s="364"/>
      <c r="F5590"/>
    </row>
    <row r="5591" spans="1:6" x14ac:dyDescent="0.25">
      <c r="A5591" s="364"/>
      <c r="B5591"/>
      <c r="C5591"/>
      <c r="D5591"/>
      <c r="E5591" s="364"/>
      <c r="F5591"/>
    </row>
    <row r="5592" spans="1:6" x14ac:dyDescent="0.25">
      <c r="A5592" s="364"/>
      <c r="B5592"/>
      <c r="C5592"/>
      <c r="D5592"/>
      <c r="E5592" s="364"/>
      <c r="F5592"/>
    </row>
    <row r="5593" spans="1:6" x14ac:dyDescent="0.25">
      <c r="A5593" s="364"/>
      <c r="B5593"/>
      <c r="C5593"/>
      <c r="D5593"/>
      <c r="E5593" s="364"/>
      <c r="F5593"/>
    </row>
    <row r="5594" spans="1:6" x14ac:dyDescent="0.25">
      <c r="A5594" s="364"/>
      <c r="B5594"/>
      <c r="C5594"/>
      <c r="D5594"/>
      <c r="E5594" s="364"/>
      <c r="F5594"/>
    </row>
    <row r="5595" spans="1:6" x14ac:dyDescent="0.25">
      <c r="A5595" s="364"/>
      <c r="B5595"/>
      <c r="C5595"/>
      <c r="D5595"/>
      <c r="E5595" s="364"/>
      <c r="F5595"/>
    </row>
    <row r="5596" spans="1:6" x14ac:dyDescent="0.25">
      <c r="A5596" s="364"/>
      <c r="B5596"/>
      <c r="C5596"/>
      <c r="D5596"/>
      <c r="E5596" s="364"/>
      <c r="F5596"/>
    </row>
    <row r="5597" spans="1:6" x14ac:dyDescent="0.25">
      <c r="A5597" s="364"/>
      <c r="B5597"/>
      <c r="C5597"/>
      <c r="D5597"/>
      <c r="E5597" s="364"/>
      <c r="F5597"/>
    </row>
    <row r="5598" spans="1:6" x14ac:dyDescent="0.25">
      <c r="A5598" s="364"/>
      <c r="B5598"/>
      <c r="C5598"/>
      <c r="D5598"/>
      <c r="E5598" s="364"/>
      <c r="F5598"/>
    </row>
    <row r="5599" spans="1:6" x14ac:dyDescent="0.25">
      <c r="A5599" s="364"/>
      <c r="B5599"/>
      <c r="C5599"/>
      <c r="D5599"/>
      <c r="E5599" s="364"/>
      <c r="F5599"/>
    </row>
    <row r="5600" spans="1:6" x14ac:dyDescent="0.25">
      <c r="A5600" s="364"/>
      <c r="B5600"/>
      <c r="C5600"/>
      <c r="D5600"/>
      <c r="E5600" s="364"/>
      <c r="F5600"/>
    </row>
    <row r="5601" spans="1:6" x14ac:dyDescent="0.25">
      <c r="A5601" s="364"/>
      <c r="B5601"/>
      <c r="C5601"/>
      <c r="D5601"/>
      <c r="E5601" s="364"/>
      <c r="F5601"/>
    </row>
    <row r="5602" spans="1:6" x14ac:dyDescent="0.25">
      <c r="A5602" s="364"/>
      <c r="B5602"/>
      <c r="C5602"/>
      <c r="D5602"/>
      <c r="E5602" s="364"/>
      <c r="F5602"/>
    </row>
    <row r="5603" spans="1:6" x14ac:dyDescent="0.25">
      <c r="A5603" s="364"/>
      <c r="B5603"/>
      <c r="C5603"/>
      <c r="D5603"/>
      <c r="E5603" s="364"/>
      <c r="F5603"/>
    </row>
    <row r="5604" spans="1:6" x14ac:dyDescent="0.25">
      <c r="A5604" s="364"/>
      <c r="B5604"/>
      <c r="C5604"/>
      <c r="D5604"/>
      <c r="E5604" s="364"/>
      <c r="F5604"/>
    </row>
    <row r="5605" spans="1:6" x14ac:dyDescent="0.25">
      <c r="A5605" s="364"/>
      <c r="B5605"/>
      <c r="C5605"/>
      <c r="D5605"/>
      <c r="E5605" s="364"/>
      <c r="F5605"/>
    </row>
    <row r="5606" spans="1:6" x14ac:dyDescent="0.25">
      <c r="A5606" s="364"/>
      <c r="B5606"/>
      <c r="C5606"/>
      <c r="D5606"/>
      <c r="E5606" s="364"/>
      <c r="F5606"/>
    </row>
    <row r="5607" spans="1:6" x14ac:dyDescent="0.25">
      <c r="A5607" s="364"/>
      <c r="B5607"/>
      <c r="C5607"/>
      <c r="D5607"/>
      <c r="E5607" s="364"/>
      <c r="F5607"/>
    </row>
    <row r="5608" spans="1:6" x14ac:dyDescent="0.25">
      <c r="A5608" s="364"/>
      <c r="B5608"/>
      <c r="C5608"/>
      <c r="D5608"/>
      <c r="E5608" s="364"/>
      <c r="F5608"/>
    </row>
    <row r="5609" spans="1:6" x14ac:dyDescent="0.25">
      <c r="A5609" s="364"/>
      <c r="B5609"/>
      <c r="C5609"/>
      <c r="D5609"/>
      <c r="E5609" s="364"/>
      <c r="F5609"/>
    </row>
    <row r="5610" spans="1:6" x14ac:dyDescent="0.25">
      <c r="A5610" s="364"/>
      <c r="B5610"/>
      <c r="C5610"/>
      <c r="D5610"/>
      <c r="E5610" s="364"/>
      <c r="F5610"/>
    </row>
    <row r="5611" spans="1:6" x14ac:dyDescent="0.25">
      <c r="A5611" s="364"/>
      <c r="B5611"/>
      <c r="C5611"/>
      <c r="D5611"/>
      <c r="E5611" s="364"/>
      <c r="F5611"/>
    </row>
    <row r="5612" spans="1:6" x14ac:dyDescent="0.25">
      <c r="A5612" s="364"/>
      <c r="B5612"/>
      <c r="C5612"/>
      <c r="D5612"/>
      <c r="E5612" s="364"/>
      <c r="F5612"/>
    </row>
    <row r="5613" spans="1:6" x14ac:dyDescent="0.25">
      <c r="A5613" s="364"/>
      <c r="B5613"/>
      <c r="C5613"/>
      <c r="D5613"/>
      <c r="E5613" s="364"/>
      <c r="F5613"/>
    </row>
    <row r="5614" spans="1:6" x14ac:dyDescent="0.25">
      <c r="A5614" s="364"/>
      <c r="B5614"/>
      <c r="C5614"/>
      <c r="D5614"/>
      <c r="E5614" s="364"/>
      <c r="F5614"/>
    </row>
    <row r="5615" spans="1:6" x14ac:dyDescent="0.25">
      <c r="A5615" s="364"/>
      <c r="B5615"/>
      <c r="C5615"/>
      <c r="D5615"/>
      <c r="E5615" s="364"/>
      <c r="F5615"/>
    </row>
    <row r="5616" spans="1:6" x14ac:dyDescent="0.25">
      <c r="A5616" s="364"/>
      <c r="B5616"/>
      <c r="C5616"/>
      <c r="D5616"/>
      <c r="E5616" s="364"/>
      <c r="F5616"/>
    </row>
    <row r="5617" spans="1:6" x14ac:dyDescent="0.25">
      <c r="A5617" s="364"/>
      <c r="B5617"/>
      <c r="C5617"/>
      <c r="D5617"/>
      <c r="E5617" s="364"/>
      <c r="F5617"/>
    </row>
    <row r="5618" spans="1:6" x14ac:dyDescent="0.25">
      <c r="A5618" s="364"/>
      <c r="B5618"/>
      <c r="C5618"/>
      <c r="D5618"/>
      <c r="E5618" s="364"/>
      <c r="F5618"/>
    </row>
    <row r="5619" spans="1:6" x14ac:dyDescent="0.25">
      <c r="A5619" s="364"/>
      <c r="B5619"/>
      <c r="C5619"/>
      <c r="D5619"/>
      <c r="E5619" s="364"/>
      <c r="F5619"/>
    </row>
    <row r="5620" spans="1:6" x14ac:dyDescent="0.25">
      <c r="A5620" s="364"/>
      <c r="B5620"/>
      <c r="C5620"/>
      <c r="D5620"/>
      <c r="E5620" s="364"/>
      <c r="F5620"/>
    </row>
    <row r="5621" spans="1:6" x14ac:dyDescent="0.25">
      <c r="A5621" s="364"/>
      <c r="B5621"/>
      <c r="C5621"/>
      <c r="D5621"/>
      <c r="E5621" s="364"/>
      <c r="F5621"/>
    </row>
    <row r="5622" spans="1:6" x14ac:dyDescent="0.25">
      <c r="A5622" s="364"/>
      <c r="B5622"/>
      <c r="C5622"/>
      <c r="D5622"/>
      <c r="E5622" s="364"/>
      <c r="F5622"/>
    </row>
    <row r="5623" spans="1:6" x14ac:dyDescent="0.25">
      <c r="A5623" s="364"/>
      <c r="B5623"/>
      <c r="C5623"/>
      <c r="D5623"/>
      <c r="E5623" s="364"/>
      <c r="F5623"/>
    </row>
    <row r="5624" spans="1:6" x14ac:dyDescent="0.25">
      <c r="A5624" s="364"/>
      <c r="B5624"/>
      <c r="C5624"/>
      <c r="D5624"/>
      <c r="E5624" s="364"/>
      <c r="F5624"/>
    </row>
    <row r="5625" spans="1:6" x14ac:dyDescent="0.25">
      <c r="A5625" s="364"/>
      <c r="B5625"/>
      <c r="C5625"/>
      <c r="D5625"/>
      <c r="E5625" s="364"/>
      <c r="F5625"/>
    </row>
    <row r="5626" spans="1:6" x14ac:dyDescent="0.25">
      <c r="A5626" s="364"/>
      <c r="B5626"/>
      <c r="C5626"/>
      <c r="D5626"/>
      <c r="E5626" s="364"/>
      <c r="F5626"/>
    </row>
    <row r="5627" spans="1:6" x14ac:dyDescent="0.25">
      <c r="A5627" s="364"/>
      <c r="B5627"/>
      <c r="C5627"/>
      <c r="D5627"/>
      <c r="E5627" s="364"/>
      <c r="F5627"/>
    </row>
    <row r="5628" spans="1:6" x14ac:dyDescent="0.25">
      <c r="A5628" s="364"/>
      <c r="B5628"/>
      <c r="C5628"/>
      <c r="D5628"/>
      <c r="E5628" s="364"/>
      <c r="F5628"/>
    </row>
    <row r="5629" spans="1:6" x14ac:dyDescent="0.25">
      <c r="A5629" s="364"/>
      <c r="B5629"/>
      <c r="C5629"/>
      <c r="D5629"/>
      <c r="E5629" s="364"/>
      <c r="F5629"/>
    </row>
    <row r="5630" spans="1:6" x14ac:dyDescent="0.25">
      <c r="A5630" s="364"/>
      <c r="B5630"/>
      <c r="C5630"/>
      <c r="D5630"/>
      <c r="E5630" s="364"/>
      <c r="F5630"/>
    </row>
    <row r="5631" spans="1:6" x14ac:dyDescent="0.25">
      <c r="A5631" s="364"/>
      <c r="B5631"/>
      <c r="C5631"/>
      <c r="D5631"/>
      <c r="E5631" s="364"/>
      <c r="F5631"/>
    </row>
    <row r="5632" spans="1:6" x14ac:dyDescent="0.25">
      <c r="A5632" s="364"/>
      <c r="B5632"/>
      <c r="C5632"/>
      <c r="D5632"/>
      <c r="E5632" s="364"/>
      <c r="F5632"/>
    </row>
    <row r="5633" spans="1:6" x14ac:dyDescent="0.25">
      <c r="A5633" s="364"/>
      <c r="B5633"/>
      <c r="C5633"/>
      <c r="D5633"/>
      <c r="E5633" s="364"/>
      <c r="F5633"/>
    </row>
    <row r="5634" spans="1:6" x14ac:dyDescent="0.25">
      <c r="A5634" s="364"/>
      <c r="B5634"/>
      <c r="C5634"/>
      <c r="D5634"/>
      <c r="E5634" s="364"/>
      <c r="F5634"/>
    </row>
    <row r="5635" spans="1:6" x14ac:dyDescent="0.25">
      <c r="A5635" s="364"/>
      <c r="B5635"/>
      <c r="C5635"/>
      <c r="D5635"/>
      <c r="E5635" s="364"/>
      <c r="F5635"/>
    </row>
    <row r="5636" spans="1:6" x14ac:dyDescent="0.25">
      <c r="A5636" s="364"/>
      <c r="B5636"/>
      <c r="C5636"/>
      <c r="D5636"/>
      <c r="E5636" s="364"/>
      <c r="F5636"/>
    </row>
    <row r="5637" spans="1:6" x14ac:dyDescent="0.25">
      <c r="A5637" s="364"/>
      <c r="B5637"/>
      <c r="C5637"/>
      <c r="D5637"/>
      <c r="E5637" s="364"/>
      <c r="F5637"/>
    </row>
    <row r="5638" spans="1:6" x14ac:dyDescent="0.25">
      <c r="A5638" s="364"/>
      <c r="B5638"/>
      <c r="C5638"/>
      <c r="D5638"/>
      <c r="E5638" s="364"/>
      <c r="F5638"/>
    </row>
    <row r="5639" spans="1:6" x14ac:dyDescent="0.25">
      <c r="A5639" s="364"/>
      <c r="B5639"/>
      <c r="C5639"/>
      <c r="D5639"/>
      <c r="E5639" s="364"/>
      <c r="F5639"/>
    </row>
    <row r="5640" spans="1:6" x14ac:dyDescent="0.25">
      <c r="A5640" s="364"/>
      <c r="B5640"/>
      <c r="C5640"/>
      <c r="D5640"/>
      <c r="E5640" s="364"/>
      <c r="F5640"/>
    </row>
    <row r="5641" spans="1:6" x14ac:dyDescent="0.25">
      <c r="A5641" s="364"/>
      <c r="B5641"/>
      <c r="C5641"/>
      <c r="D5641"/>
      <c r="E5641" s="364"/>
      <c r="F5641"/>
    </row>
    <row r="5642" spans="1:6" x14ac:dyDescent="0.25">
      <c r="A5642" s="364"/>
      <c r="B5642"/>
      <c r="C5642"/>
      <c r="D5642"/>
      <c r="E5642" s="364"/>
      <c r="F5642"/>
    </row>
    <row r="5643" spans="1:6" x14ac:dyDescent="0.25">
      <c r="A5643" s="364"/>
      <c r="B5643"/>
      <c r="C5643"/>
      <c r="D5643"/>
      <c r="E5643" s="364"/>
      <c r="F5643"/>
    </row>
    <row r="5644" spans="1:6" x14ac:dyDescent="0.25">
      <c r="A5644" s="364"/>
      <c r="B5644"/>
      <c r="C5644"/>
      <c r="D5644"/>
      <c r="E5644" s="364"/>
      <c r="F5644"/>
    </row>
    <row r="5645" spans="1:6" x14ac:dyDescent="0.25">
      <c r="A5645" s="364"/>
      <c r="B5645"/>
      <c r="C5645"/>
      <c r="D5645"/>
      <c r="E5645" s="364"/>
      <c r="F5645"/>
    </row>
    <row r="5646" spans="1:6" x14ac:dyDescent="0.25">
      <c r="A5646" s="364"/>
      <c r="B5646"/>
      <c r="C5646"/>
      <c r="D5646"/>
      <c r="E5646" s="364"/>
      <c r="F5646"/>
    </row>
    <row r="5647" spans="1:6" x14ac:dyDescent="0.25">
      <c r="A5647" s="364"/>
      <c r="B5647"/>
      <c r="C5647"/>
      <c r="D5647"/>
      <c r="E5647" s="364"/>
      <c r="F5647"/>
    </row>
    <row r="5648" spans="1:6" x14ac:dyDescent="0.25">
      <c r="A5648" s="364"/>
      <c r="B5648"/>
      <c r="C5648"/>
      <c r="D5648"/>
      <c r="E5648" s="364"/>
      <c r="F5648"/>
    </row>
    <row r="5649" spans="1:6" x14ac:dyDescent="0.25">
      <c r="A5649" s="364"/>
      <c r="B5649"/>
      <c r="C5649"/>
      <c r="D5649"/>
      <c r="E5649" s="364"/>
      <c r="F5649"/>
    </row>
    <row r="5650" spans="1:6" x14ac:dyDescent="0.25">
      <c r="A5650" s="364"/>
      <c r="B5650"/>
      <c r="C5650"/>
      <c r="D5650"/>
      <c r="E5650" s="364"/>
      <c r="F5650"/>
    </row>
    <row r="5651" spans="1:6" x14ac:dyDescent="0.25">
      <c r="A5651" s="364"/>
      <c r="B5651"/>
      <c r="C5651"/>
      <c r="D5651"/>
      <c r="E5651" s="364"/>
      <c r="F5651"/>
    </row>
    <row r="5652" spans="1:6" x14ac:dyDescent="0.25">
      <c r="A5652" s="364"/>
      <c r="B5652"/>
      <c r="C5652"/>
      <c r="D5652"/>
      <c r="E5652" s="364"/>
      <c r="F5652"/>
    </row>
    <row r="5653" spans="1:6" x14ac:dyDescent="0.25">
      <c r="A5653" s="364"/>
      <c r="B5653"/>
      <c r="C5653"/>
      <c r="D5653"/>
      <c r="E5653" s="364"/>
      <c r="F5653"/>
    </row>
    <row r="5654" spans="1:6" x14ac:dyDescent="0.25">
      <c r="A5654" s="364"/>
      <c r="B5654"/>
      <c r="C5654"/>
      <c r="D5654"/>
      <c r="E5654" s="364"/>
      <c r="F5654"/>
    </row>
    <row r="5655" spans="1:6" x14ac:dyDescent="0.25">
      <c r="A5655" s="364"/>
      <c r="B5655"/>
      <c r="C5655"/>
      <c r="D5655"/>
      <c r="E5655" s="364"/>
      <c r="F5655"/>
    </row>
    <row r="5656" spans="1:6" x14ac:dyDescent="0.25">
      <c r="A5656" s="364"/>
      <c r="B5656"/>
      <c r="C5656"/>
      <c r="D5656"/>
      <c r="E5656" s="364"/>
      <c r="F5656"/>
    </row>
    <row r="5657" spans="1:6" x14ac:dyDescent="0.25">
      <c r="A5657" s="364"/>
      <c r="B5657"/>
      <c r="C5657"/>
      <c r="D5657"/>
      <c r="E5657" s="364"/>
      <c r="F5657"/>
    </row>
    <row r="5658" spans="1:6" x14ac:dyDescent="0.25">
      <c r="A5658" s="364"/>
      <c r="B5658"/>
      <c r="C5658"/>
      <c r="D5658"/>
      <c r="E5658" s="364"/>
      <c r="F5658"/>
    </row>
    <row r="5659" spans="1:6" x14ac:dyDescent="0.25">
      <c r="A5659" s="364"/>
      <c r="B5659"/>
      <c r="C5659"/>
      <c r="D5659"/>
      <c r="E5659" s="364"/>
      <c r="F5659"/>
    </row>
    <row r="5660" spans="1:6" x14ac:dyDescent="0.25">
      <c r="A5660" s="364"/>
      <c r="B5660"/>
      <c r="C5660"/>
      <c r="D5660"/>
      <c r="E5660" s="364"/>
      <c r="F5660"/>
    </row>
    <row r="5661" spans="1:6" x14ac:dyDescent="0.25">
      <c r="A5661" s="364"/>
      <c r="B5661"/>
      <c r="C5661"/>
      <c r="D5661"/>
      <c r="E5661" s="364"/>
      <c r="F5661"/>
    </row>
    <row r="5662" spans="1:6" x14ac:dyDescent="0.25">
      <c r="A5662" s="364"/>
      <c r="B5662"/>
      <c r="C5662"/>
      <c r="D5662"/>
      <c r="E5662" s="364"/>
      <c r="F5662"/>
    </row>
    <row r="5663" spans="1:6" x14ac:dyDescent="0.25">
      <c r="A5663" s="364"/>
      <c r="B5663"/>
      <c r="C5663"/>
      <c r="D5663"/>
      <c r="E5663" s="364"/>
      <c r="F5663"/>
    </row>
    <row r="5664" spans="1:6" x14ac:dyDescent="0.25">
      <c r="A5664" s="364"/>
      <c r="B5664"/>
      <c r="C5664"/>
      <c r="D5664"/>
      <c r="E5664" s="364"/>
      <c r="F5664"/>
    </row>
    <row r="5665" spans="1:6" x14ac:dyDescent="0.25">
      <c r="A5665" s="364"/>
      <c r="B5665"/>
      <c r="C5665"/>
      <c r="D5665"/>
      <c r="E5665" s="364"/>
      <c r="F5665"/>
    </row>
    <row r="5666" spans="1:6" x14ac:dyDescent="0.25">
      <c r="A5666" s="364"/>
      <c r="B5666"/>
      <c r="C5666"/>
      <c r="D5666"/>
      <c r="E5666" s="364"/>
      <c r="F5666"/>
    </row>
    <row r="5667" spans="1:6" x14ac:dyDescent="0.25">
      <c r="A5667" s="364"/>
      <c r="B5667"/>
      <c r="C5667"/>
      <c r="D5667"/>
      <c r="E5667" s="364"/>
      <c r="F5667"/>
    </row>
    <row r="5668" spans="1:6" x14ac:dyDescent="0.25">
      <c r="A5668" s="364"/>
      <c r="B5668"/>
      <c r="C5668"/>
      <c r="D5668"/>
      <c r="E5668" s="364"/>
      <c r="F5668"/>
    </row>
    <row r="5669" spans="1:6" x14ac:dyDescent="0.25">
      <c r="A5669" s="364"/>
      <c r="B5669"/>
      <c r="C5669"/>
      <c r="D5669"/>
      <c r="E5669" s="364"/>
      <c r="F5669"/>
    </row>
    <row r="5670" spans="1:6" x14ac:dyDescent="0.25">
      <c r="A5670" s="364"/>
      <c r="B5670"/>
      <c r="C5670"/>
      <c r="D5670"/>
      <c r="E5670" s="364"/>
      <c r="F5670"/>
    </row>
    <row r="5671" spans="1:6" x14ac:dyDescent="0.25">
      <c r="A5671" s="364"/>
      <c r="B5671"/>
      <c r="C5671"/>
      <c r="D5671"/>
      <c r="E5671" s="364"/>
      <c r="F5671"/>
    </row>
    <row r="5672" spans="1:6" x14ac:dyDescent="0.25">
      <c r="A5672" s="364"/>
      <c r="B5672"/>
      <c r="C5672"/>
      <c r="D5672"/>
      <c r="E5672" s="364"/>
      <c r="F5672"/>
    </row>
    <row r="5673" spans="1:6" x14ac:dyDescent="0.25">
      <c r="A5673" s="364"/>
      <c r="B5673"/>
      <c r="C5673"/>
      <c r="D5673"/>
      <c r="E5673" s="364"/>
      <c r="F5673"/>
    </row>
    <row r="5674" spans="1:6" x14ac:dyDescent="0.25">
      <c r="A5674" s="364"/>
      <c r="B5674"/>
      <c r="C5674"/>
      <c r="D5674"/>
      <c r="E5674" s="364"/>
      <c r="F5674"/>
    </row>
    <row r="5675" spans="1:6" x14ac:dyDescent="0.25">
      <c r="A5675" s="364"/>
      <c r="B5675"/>
      <c r="C5675"/>
      <c r="D5675"/>
      <c r="E5675" s="364"/>
      <c r="F5675"/>
    </row>
    <row r="5676" spans="1:6" x14ac:dyDescent="0.25">
      <c r="A5676" s="364"/>
      <c r="B5676"/>
      <c r="C5676"/>
      <c r="D5676"/>
      <c r="E5676" s="364"/>
      <c r="F5676"/>
    </row>
    <row r="5677" spans="1:6" x14ac:dyDescent="0.25">
      <c r="A5677" s="364"/>
      <c r="B5677"/>
      <c r="C5677"/>
      <c r="D5677"/>
      <c r="E5677" s="364"/>
      <c r="F5677"/>
    </row>
    <row r="5678" spans="1:6" x14ac:dyDescent="0.25">
      <c r="A5678" s="364"/>
      <c r="B5678"/>
      <c r="C5678"/>
      <c r="D5678"/>
      <c r="E5678" s="364"/>
      <c r="F5678"/>
    </row>
    <row r="5679" spans="1:6" x14ac:dyDescent="0.25">
      <c r="A5679" s="364"/>
      <c r="B5679"/>
      <c r="C5679"/>
      <c r="D5679"/>
      <c r="E5679" s="364"/>
      <c r="F5679"/>
    </row>
    <row r="5680" spans="1:6" x14ac:dyDescent="0.25">
      <c r="A5680" s="364"/>
      <c r="B5680"/>
      <c r="C5680"/>
      <c r="D5680"/>
      <c r="E5680" s="364"/>
      <c r="F5680"/>
    </row>
    <row r="5681" spans="1:6" x14ac:dyDescent="0.25">
      <c r="A5681" s="364"/>
      <c r="B5681"/>
      <c r="C5681"/>
      <c r="D5681"/>
      <c r="E5681" s="364"/>
      <c r="F5681"/>
    </row>
    <row r="5682" spans="1:6" x14ac:dyDescent="0.25">
      <c r="A5682" s="364"/>
      <c r="B5682"/>
      <c r="C5682"/>
      <c r="D5682"/>
      <c r="E5682" s="364"/>
      <c r="F5682"/>
    </row>
    <row r="5683" spans="1:6" x14ac:dyDescent="0.25">
      <c r="A5683" s="364"/>
      <c r="B5683"/>
      <c r="C5683"/>
      <c r="D5683"/>
      <c r="E5683" s="364"/>
      <c r="F5683"/>
    </row>
    <row r="5684" spans="1:6" x14ac:dyDescent="0.25">
      <c r="A5684" s="364"/>
      <c r="B5684"/>
      <c r="C5684"/>
      <c r="D5684"/>
      <c r="E5684" s="364"/>
      <c r="F5684"/>
    </row>
    <row r="5685" spans="1:6" x14ac:dyDescent="0.25">
      <c r="A5685" s="364"/>
      <c r="B5685"/>
      <c r="C5685"/>
      <c r="D5685"/>
      <c r="E5685" s="364"/>
      <c r="F5685"/>
    </row>
    <row r="5686" spans="1:6" x14ac:dyDescent="0.25">
      <c r="A5686" s="364"/>
      <c r="B5686"/>
      <c r="C5686"/>
      <c r="D5686"/>
      <c r="E5686" s="364"/>
      <c r="F5686"/>
    </row>
    <row r="5687" spans="1:6" x14ac:dyDescent="0.25">
      <c r="A5687" s="364"/>
      <c r="B5687"/>
      <c r="C5687"/>
      <c r="D5687"/>
      <c r="E5687" s="364"/>
      <c r="F5687"/>
    </row>
    <row r="5688" spans="1:6" x14ac:dyDescent="0.25">
      <c r="A5688" s="364"/>
      <c r="B5688"/>
      <c r="C5688"/>
      <c r="D5688"/>
      <c r="E5688" s="364"/>
      <c r="F5688"/>
    </row>
    <row r="5689" spans="1:6" x14ac:dyDescent="0.25">
      <c r="A5689" s="364"/>
      <c r="B5689"/>
      <c r="C5689"/>
      <c r="D5689"/>
      <c r="E5689" s="364"/>
      <c r="F5689"/>
    </row>
    <row r="5690" spans="1:6" x14ac:dyDescent="0.25">
      <c r="A5690" s="364"/>
      <c r="B5690"/>
      <c r="C5690"/>
      <c r="D5690"/>
      <c r="E5690" s="364"/>
      <c r="F5690"/>
    </row>
    <row r="5691" spans="1:6" x14ac:dyDescent="0.25">
      <c r="A5691" s="364"/>
      <c r="B5691"/>
      <c r="C5691"/>
      <c r="D5691"/>
      <c r="E5691" s="364"/>
      <c r="F5691"/>
    </row>
    <row r="5692" spans="1:6" x14ac:dyDescent="0.25">
      <c r="A5692" s="364"/>
      <c r="B5692"/>
      <c r="C5692"/>
      <c r="D5692"/>
      <c r="E5692" s="364"/>
      <c r="F5692"/>
    </row>
    <row r="5693" spans="1:6" x14ac:dyDescent="0.25">
      <c r="A5693" s="364"/>
      <c r="B5693"/>
      <c r="C5693"/>
      <c r="D5693"/>
      <c r="E5693" s="364"/>
      <c r="F5693"/>
    </row>
    <row r="5694" spans="1:6" x14ac:dyDescent="0.25">
      <c r="A5694" s="364"/>
      <c r="B5694"/>
      <c r="C5694"/>
      <c r="D5694"/>
      <c r="E5694" s="364"/>
      <c r="F5694"/>
    </row>
    <row r="5695" spans="1:6" x14ac:dyDescent="0.25">
      <c r="A5695" s="364"/>
      <c r="B5695"/>
      <c r="C5695"/>
      <c r="D5695"/>
      <c r="E5695" s="364"/>
      <c r="F5695"/>
    </row>
    <row r="5696" spans="1:6" x14ac:dyDescent="0.25">
      <c r="A5696" s="364"/>
      <c r="B5696"/>
      <c r="C5696"/>
      <c r="D5696"/>
      <c r="E5696" s="364"/>
      <c r="F5696"/>
    </row>
    <row r="5697" spans="1:6" x14ac:dyDescent="0.25">
      <c r="A5697" s="364"/>
      <c r="B5697"/>
      <c r="C5697"/>
      <c r="D5697"/>
      <c r="E5697" s="364"/>
      <c r="F5697"/>
    </row>
    <row r="5698" spans="1:6" x14ac:dyDescent="0.25">
      <c r="A5698" s="364"/>
      <c r="B5698"/>
      <c r="C5698"/>
      <c r="D5698"/>
      <c r="E5698" s="364"/>
      <c r="F5698"/>
    </row>
    <row r="5699" spans="1:6" x14ac:dyDescent="0.25">
      <c r="A5699" s="364"/>
      <c r="B5699"/>
      <c r="C5699"/>
      <c r="D5699"/>
      <c r="E5699" s="364"/>
      <c r="F5699"/>
    </row>
    <row r="5700" spans="1:6" x14ac:dyDescent="0.25">
      <c r="A5700" s="364"/>
      <c r="B5700"/>
      <c r="C5700"/>
      <c r="D5700"/>
      <c r="E5700" s="364"/>
      <c r="F5700"/>
    </row>
    <row r="5701" spans="1:6" x14ac:dyDescent="0.25">
      <c r="A5701" s="364"/>
      <c r="B5701"/>
      <c r="C5701"/>
      <c r="D5701"/>
      <c r="E5701" s="364"/>
      <c r="F5701"/>
    </row>
    <row r="5702" spans="1:6" x14ac:dyDescent="0.25">
      <c r="A5702" s="364"/>
      <c r="B5702"/>
      <c r="C5702"/>
      <c r="D5702"/>
      <c r="E5702" s="364"/>
      <c r="F5702"/>
    </row>
    <row r="5703" spans="1:6" x14ac:dyDescent="0.25">
      <c r="A5703" s="364"/>
      <c r="B5703"/>
      <c r="C5703"/>
      <c r="D5703"/>
      <c r="E5703" s="364"/>
      <c r="F5703"/>
    </row>
    <row r="5704" spans="1:6" x14ac:dyDescent="0.25">
      <c r="A5704" s="364"/>
      <c r="B5704"/>
      <c r="C5704"/>
      <c r="D5704"/>
      <c r="E5704" s="364"/>
      <c r="F5704"/>
    </row>
    <row r="5705" spans="1:6" x14ac:dyDescent="0.25">
      <c r="A5705" s="364"/>
      <c r="B5705"/>
      <c r="C5705"/>
      <c r="D5705"/>
      <c r="E5705" s="364"/>
      <c r="F5705"/>
    </row>
    <row r="5706" spans="1:6" x14ac:dyDescent="0.25">
      <c r="A5706" s="364"/>
      <c r="B5706"/>
      <c r="C5706"/>
      <c r="D5706"/>
      <c r="E5706" s="364"/>
      <c r="F5706"/>
    </row>
    <row r="5707" spans="1:6" x14ac:dyDescent="0.25">
      <c r="A5707" s="364"/>
      <c r="B5707"/>
      <c r="C5707"/>
      <c r="D5707"/>
      <c r="E5707" s="364"/>
      <c r="F5707"/>
    </row>
    <row r="5708" spans="1:6" x14ac:dyDescent="0.25">
      <c r="A5708" s="364"/>
      <c r="B5708"/>
      <c r="C5708"/>
      <c r="D5708"/>
      <c r="E5708" s="364"/>
      <c r="F5708"/>
    </row>
    <row r="5709" spans="1:6" x14ac:dyDescent="0.25">
      <c r="A5709" s="364"/>
      <c r="B5709"/>
      <c r="C5709"/>
      <c r="D5709"/>
      <c r="E5709" s="364"/>
      <c r="F5709"/>
    </row>
    <row r="5710" spans="1:6" x14ac:dyDescent="0.25">
      <c r="A5710" s="364"/>
      <c r="B5710"/>
      <c r="C5710"/>
      <c r="D5710"/>
      <c r="E5710" s="364"/>
      <c r="F5710"/>
    </row>
    <row r="5711" spans="1:6" x14ac:dyDescent="0.25">
      <c r="A5711" s="364"/>
      <c r="B5711"/>
      <c r="C5711"/>
      <c r="D5711"/>
      <c r="E5711" s="364"/>
      <c r="F5711"/>
    </row>
    <row r="5712" spans="1:6" x14ac:dyDescent="0.25">
      <c r="A5712" s="364"/>
      <c r="B5712"/>
      <c r="C5712"/>
      <c r="D5712"/>
      <c r="E5712" s="364"/>
      <c r="F5712"/>
    </row>
    <row r="5713" spans="1:6" x14ac:dyDescent="0.25">
      <c r="A5713" s="364"/>
      <c r="B5713"/>
      <c r="C5713"/>
      <c r="D5713"/>
      <c r="E5713" s="364"/>
      <c r="F5713"/>
    </row>
    <row r="5714" spans="1:6" x14ac:dyDescent="0.25">
      <c r="A5714" s="364"/>
      <c r="B5714"/>
      <c r="C5714"/>
      <c r="D5714"/>
      <c r="E5714" s="364"/>
      <c r="F5714"/>
    </row>
    <row r="5715" spans="1:6" x14ac:dyDescent="0.25">
      <c r="A5715" s="364"/>
      <c r="B5715"/>
      <c r="C5715"/>
      <c r="D5715"/>
      <c r="E5715" s="364"/>
      <c r="F5715"/>
    </row>
    <row r="5716" spans="1:6" x14ac:dyDescent="0.25">
      <c r="A5716" s="364"/>
      <c r="B5716"/>
      <c r="C5716"/>
      <c r="D5716"/>
      <c r="E5716" s="364"/>
      <c r="F5716"/>
    </row>
    <row r="5717" spans="1:6" x14ac:dyDescent="0.25">
      <c r="A5717" s="364"/>
      <c r="B5717"/>
      <c r="C5717"/>
      <c r="D5717"/>
      <c r="E5717" s="364"/>
      <c r="F5717"/>
    </row>
    <row r="5718" spans="1:6" x14ac:dyDescent="0.25">
      <c r="A5718" s="364"/>
      <c r="B5718"/>
      <c r="C5718"/>
      <c r="D5718"/>
      <c r="E5718" s="364"/>
      <c r="F5718"/>
    </row>
    <row r="5719" spans="1:6" x14ac:dyDescent="0.25">
      <c r="A5719" s="364"/>
      <c r="B5719"/>
      <c r="C5719"/>
      <c r="D5719"/>
      <c r="E5719" s="364"/>
      <c r="F5719"/>
    </row>
    <row r="5720" spans="1:6" x14ac:dyDescent="0.25">
      <c r="A5720" s="364"/>
      <c r="B5720"/>
      <c r="C5720"/>
      <c r="D5720"/>
      <c r="E5720" s="364"/>
      <c r="F5720"/>
    </row>
    <row r="5721" spans="1:6" x14ac:dyDescent="0.25">
      <c r="A5721" s="364"/>
      <c r="B5721"/>
      <c r="C5721"/>
      <c r="D5721"/>
      <c r="E5721" s="364"/>
      <c r="F5721"/>
    </row>
    <row r="5722" spans="1:6" x14ac:dyDescent="0.25">
      <c r="A5722" s="364"/>
      <c r="B5722"/>
      <c r="C5722"/>
      <c r="D5722"/>
      <c r="E5722" s="364"/>
      <c r="F5722"/>
    </row>
    <row r="5723" spans="1:6" x14ac:dyDescent="0.25">
      <c r="A5723" s="364"/>
      <c r="B5723"/>
      <c r="C5723"/>
      <c r="D5723"/>
      <c r="E5723" s="364"/>
      <c r="F5723"/>
    </row>
    <row r="5724" spans="1:6" x14ac:dyDescent="0.25">
      <c r="A5724" s="364"/>
      <c r="B5724"/>
      <c r="C5724"/>
      <c r="D5724"/>
      <c r="E5724" s="364"/>
      <c r="F5724"/>
    </row>
    <row r="5725" spans="1:6" x14ac:dyDescent="0.25">
      <c r="A5725" s="364"/>
      <c r="B5725"/>
      <c r="C5725"/>
      <c r="D5725"/>
      <c r="E5725" s="364"/>
      <c r="F5725"/>
    </row>
    <row r="5726" spans="1:6" x14ac:dyDescent="0.25">
      <c r="A5726" s="364"/>
      <c r="B5726"/>
      <c r="C5726"/>
      <c r="D5726"/>
      <c r="E5726" s="364"/>
      <c r="F5726"/>
    </row>
    <row r="5727" spans="1:6" x14ac:dyDescent="0.25">
      <c r="A5727" s="364"/>
      <c r="B5727"/>
      <c r="C5727"/>
      <c r="D5727"/>
      <c r="E5727" s="364"/>
      <c r="F5727"/>
    </row>
    <row r="5728" spans="1:6" x14ac:dyDescent="0.25">
      <c r="A5728" s="364"/>
      <c r="B5728"/>
      <c r="C5728"/>
      <c r="D5728"/>
      <c r="E5728" s="364"/>
      <c r="F5728"/>
    </row>
    <row r="5729" spans="1:6" x14ac:dyDescent="0.25">
      <c r="A5729" s="364"/>
      <c r="B5729"/>
      <c r="C5729"/>
      <c r="D5729"/>
      <c r="E5729" s="364"/>
      <c r="F5729"/>
    </row>
    <row r="5730" spans="1:6" x14ac:dyDescent="0.25">
      <c r="A5730" s="364"/>
      <c r="B5730"/>
      <c r="C5730"/>
      <c r="D5730"/>
      <c r="E5730" s="364"/>
      <c r="F5730"/>
    </row>
    <row r="5731" spans="1:6" x14ac:dyDescent="0.25">
      <c r="A5731" s="364"/>
      <c r="B5731"/>
      <c r="C5731"/>
      <c r="D5731"/>
      <c r="E5731" s="364"/>
      <c r="F5731"/>
    </row>
    <row r="5732" spans="1:6" x14ac:dyDescent="0.25">
      <c r="A5732" s="364"/>
      <c r="B5732"/>
      <c r="C5732"/>
      <c r="D5732"/>
      <c r="E5732" s="364"/>
      <c r="F5732"/>
    </row>
    <row r="5733" spans="1:6" x14ac:dyDescent="0.25">
      <c r="A5733" s="364"/>
      <c r="B5733"/>
      <c r="C5733"/>
      <c r="D5733"/>
      <c r="E5733" s="364"/>
      <c r="F5733"/>
    </row>
    <row r="5734" spans="1:6" x14ac:dyDescent="0.25">
      <c r="A5734" s="364"/>
      <c r="B5734"/>
      <c r="C5734"/>
      <c r="D5734"/>
      <c r="E5734" s="364"/>
      <c r="F5734"/>
    </row>
    <row r="5735" spans="1:6" x14ac:dyDescent="0.25">
      <c r="A5735" s="364"/>
      <c r="B5735"/>
      <c r="C5735"/>
      <c r="D5735"/>
      <c r="E5735" s="364"/>
      <c r="F5735"/>
    </row>
    <row r="5736" spans="1:6" x14ac:dyDescent="0.25">
      <c r="A5736" s="364"/>
      <c r="B5736"/>
      <c r="C5736"/>
      <c r="D5736"/>
      <c r="E5736" s="364"/>
      <c r="F5736"/>
    </row>
    <row r="5737" spans="1:6" x14ac:dyDescent="0.25">
      <c r="A5737" s="364"/>
      <c r="B5737"/>
      <c r="C5737"/>
      <c r="D5737"/>
      <c r="E5737" s="364"/>
      <c r="F5737"/>
    </row>
    <row r="5738" spans="1:6" x14ac:dyDescent="0.25">
      <c r="A5738" s="364"/>
      <c r="B5738"/>
      <c r="C5738"/>
      <c r="D5738"/>
      <c r="E5738" s="364"/>
      <c r="F5738"/>
    </row>
    <row r="5739" spans="1:6" x14ac:dyDescent="0.25">
      <c r="A5739" s="364"/>
      <c r="B5739"/>
      <c r="C5739"/>
      <c r="D5739"/>
      <c r="E5739" s="364"/>
      <c r="F5739"/>
    </row>
    <row r="5740" spans="1:6" x14ac:dyDescent="0.25">
      <c r="A5740" s="364"/>
      <c r="B5740"/>
      <c r="C5740"/>
      <c r="D5740"/>
      <c r="E5740" s="364"/>
      <c r="F5740"/>
    </row>
    <row r="5741" spans="1:6" x14ac:dyDescent="0.25">
      <c r="A5741" s="364"/>
      <c r="B5741"/>
      <c r="C5741"/>
      <c r="D5741"/>
      <c r="E5741" s="364"/>
      <c r="F5741"/>
    </row>
    <row r="5742" spans="1:6" x14ac:dyDescent="0.25">
      <c r="A5742" s="364"/>
      <c r="B5742"/>
      <c r="C5742"/>
      <c r="D5742"/>
      <c r="E5742" s="364"/>
      <c r="F5742"/>
    </row>
    <row r="5743" spans="1:6" x14ac:dyDescent="0.25">
      <c r="A5743" s="364"/>
      <c r="B5743"/>
      <c r="C5743"/>
      <c r="D5743"/>
      <c r="E5743" s="364"/>
      <c r="F5743"/>
    </row>
    <row r="5744" spans="1:6" x14ac:dyDescent="0.25">
      <c r="A5744" s="364"/>
      <c r="B5744"/>
      <c r="C5744"/>
      <c r="D5744"/>
      <c r="E5744" s="364"/>
      <c r="F5744"/>
    </row>
    <row r="5745" spans="1:6" x14ac:dyDescent="0.25">
      <c r="A5745" s="364"/>
      <c r="B5745"/>
      <c r="C5745"/>
      <c r="D5745"/>
      <c r="E5745" s="364"/>
      <c r="F5745"/>
    </row>
    <row r="5746" spans="1:6" x14ac:dyDescent="0.25">
      <c r="A5746" s="364"/>
      <c r="B5746"/>
      <c r="C5746"/>
      <c r="D5746"/>
      <c r="E5746" s="364"/>
      <c r="F5746"/>
    </row>
    <row r="5747" spans="1:6" x14ac:dyDescent="0.25">
      <c r="A5747" s="364"/>
      <c r="B5747"/>
      <c r="C5747"/>
      <c r="D5747"/>
      <c r="E5747" s="364"/>
      <c r="F5747"/>
    </row>
    <row r="5748" spans="1:6" x14ac:dyDescent="0.25">
      <c r="A5748" s="364"/>
      <c r="B5748"/>
      <c r="C5748"/>
      <c r="D5748"/>
      <c r="E5748" s="364"/>
      <c r="F5748"/>
    </row>
    <row r="5749" spans="1:6" x14ac:dyDescent="0.25">
      <c r="A5749" s="364"/>
      <c r="B5749"/>
      <c r="C5749"/>
      <c r="D5749"/>
      <c r="E5749" s="364"/>
      <c r="F5749"/>
    </row>
    <row r="5750" spans="1:6" x14ac:dyDescent="0.25">
      <c r="A5750" s="364"/>
      <c r="B5750"/>
      <c r="C5750"/>
      <c r="D5750"/>
      <c r="E5750" s="364"/>
      <c r="F5750"/>
    </row>
    <row r="5751" spans="1:6" x14ac:dyDescent="0.25">
      <c r="A5751" s="364"/>
      <c r="B5751"/>
      <c r="C5751"/>
      <c r="D5751"/>
      <c r="E5751" s="364"/>
      <c r="F5751"/>
    </row>
    <row r="5752" spans="1:6" x14ac:dyDescent="0.25">
      <c r="A5752" s="364"/>
      <c r="B5752"/>
      <c r="C5752"/>
      <c r="D5752"/>
      <c r="E5752" s="364"/>
      <c r="F5752"/>
    </row>
    <row r="5753" spans="1:6" x14ac:dyDescent="0.25">
      <c r="A5753" s="364"/>
      <c r="B5753"/>
      <c r="C5753"/>
      <c r="D5753"/>
      <c r="E5753" s="364"/>
      <c r="F5753"/>
    </row>
    <row r="5754" spans="1:6" x14ac:dyDescent="0.25">
      <c r="A5754" s="364"/>
      <c r="B5754"/>
      <c r="C5754"/>
      <c r="D5754"/>
      <c r="E5754" s="364"/>
      <c r="F5754"/>
    </row>
    <row r="5755" spans="1:6" x14ac:dyDescent="0.25">
      <c r="A5755" s="364"/>
      <c r="B5755"/>
      <c r="C5755"/>
      <c r="D5755"/>
      <c r="E5755" s="364"/>
      <c r="F5755"/>
    </row>
    <row r="5756" spans="1:6" x14ac:dyDescent="0.25">
      <c r="A5756" s="364"/>
      <c r="B5756"/>
      <c r="C5756"/>
      <c r="D5756"/>
      <c r="E5756" s="364"/>
      <c r="F5756"/>
    </row>
    <row r="5757" spans="1:6" x14ac:dyDescent="0.25">
      <c r="A5757" s="364"/>
      <c r="B5757"/>
      <c r="C5757"/>
      <c r="D5757"/>
      <c r="E5757" s="364"/>
      <c r="F5757"/>
    </row>
    <row r="5758" spans="1:6" x14ac:dyDescent="0.25">
      <c r="A5758" s="364"/>
      <c r="B5758"/>
      <c r="C5758"/>
      <c r="D5758"/>
      <c r="E5758" s="364"/>
      <c r="F5758"/>
    </row>
    <row r="5759" spans="1:6" x14ac:dyDescent="0.25">
      <c r="A5759" s="364"/>
      <c r="B5759"/>
      <c r="C5759"/>
      <c r="D5759"/>
      <c r="E5759" s="364"/>
      <c r="F5759"/>
    </row>
    <row r="5760" spans="1:6" x14ac:dyDescent="0.25">
      <c r="A5760" s="364"/>
      <c r="B5760"/>
      <c r="C5760"/>
      <c r="D5760"/>
      <c r="E5760" s="364"/>
      <c r="F5760"/>
    </row>
    <row r="5761" spans="1:6" x14ac:dyDescent="0.25">
      <c r="A5761" s="364"/>
      <c r="B5761"/>
      <c r="C5761"/>
      <c r="D5761"/>
      <c r="E5761" s="364"/>
      <c r="F5761"/>
    </row>
    <row r="5762" spans="1:6" x14ac:dyDescent="0.25">
      <c r="A5762" s="364"/>
      <c r="B5762"/>
      <c r="C5762"/>
      <c r="D5762"/>
      <c r="E5762" s="364"/>
      <c r="F5762"/>
    </row>
    <row r="5763" spans="1:6" x14ac:dyDescent="0.25">
      <c r="A5763" s="364"/>
      <c r="B5763"/>
      <c r="C5763"/>
      <c r="D5763"/>
      <c r="E5763" s="364"/>
      <c r="F5763"/>
    </row>
    <row r="5764" spans="1:6" x14ac:dyDescent="0.25">
      <c r="A5764" s="364"/>
      <c r="B5764"/>
      <c r="C5764"/>
      <c r="D5764"/>
      <c r="E5764" s="364"/>
      <c r="F5764"/>
    </row>
    <row r="5765" spans="1:6" x14ac:dyDescent="0.25">
      <c r="A5765" s="364"/>
      <c r="B5765"/>
      <c r="C5765"/>
      <c r="D5765"/>
      <c r="E5765" s="364"/>
      <c r="F5765"/>
    </row>
    <row r="5766" spans="1:6" x14ac:dyDescent="0.25">
      <c r="A5766" s="364"/>
      <c r="B5766"/>
      <c r="C5766"/>
      <c r="D5766"/>
      <c r="E5766" s="364"/>
      <c r="F5766"/>
    </row>
    <row r="5767" spans="1:6" x14ac:dyDescent="0.25">
      <c r="A5767" s="364"/>
      <c r="B5767"/>
      <c r="C5767"/>
      <c r="D5767"/>
      <c r="E5767" s="364"/>
      <c r="F5767"/>
    </row>
    <row r="5768" spans="1:6" x14ac:dyDescent="0.25">
      <c r="A5768" s="364"/>
      <c r="B5768"/>
      <c r="C5768"/>
      <c r="D5768"/>
      <c r="E5768" s="364"/>
      <c r="F5768"/>
    </row>
    <row r="5769" spans="1:6" x14ac:dyDescent="0.25">
      <c r="A5769" s="364"/>
      <c r="B5769"/>
      <c r="C5769"/>
      <c r="D5769"/>
      <c r="E5769" s="364"/>
      <c r="F5769"/>
    </row>
    <row r="5770" spans="1:6" x14ac:dyDescent="0.25">
      <c r="A5770" s="364"/>
      <c r="B5770"/>
      <c r="C5770"/>
      <c r="D5770"/>
      <c r="E5770" s="364"/>
      <c r="F5770"/>
    </row>
    <row r="5771" spans="1:6" x14ac:dyDescent="0.25">
      <c r="A5771" s="364"/>
      <c r="B5771"/>
      <c r="C5771"/>
      <c r="D5771"/>
      <c r="E5771" s="364"/>
      <c r="F5771"/>
    </row>
    <row r="5772" spans="1:6" x14ac:dyDescent="0.25">
      <c r="A5772" s="364"/>
      <c r="B5772"/>
      <c r="C5772"/>
      <c r="D5772"/>
      <c r="E5772" s="364"/>
      <c r="F5772"/>
    </row>
    <row r="5773" spans="1:6" x14ac:dyDescent="0.25">
      <c r="A5773" s="364"/>
      <c r="B5773"/>
      <c r="C5773"/>
      <c r="D5773"/>
      <c r="E5773" s="364"/>
      <c r="F5773"/>
    </row>
    <row r="5774" spans="1:6" x14ac:dyDescent="0.25">
      <c r="A5774" s="364"/>
      <c r="B5774"/>
      <c r="C5774"/>
      <c r="D5774"/>
      <c r="E5774" s="364"/>
      <c r="F5774"/>
    </row>
    <row r="5775" spans="1:6" x14ac:dyDescent="0.25">
      <c r="A5775" s="364"/>
      <c r="B5775"/>
      <c r="C5775"/>
      <c r="D5775"/>
      <c r="E5775" s="364"/>
      <c r="F5775"/>
    </row>
    <row r="5776" spans="1:6" x14ac:dyDescent="0.25">
      <c r="A5776" s="364"/>
      <c r="B5776"/>
      <c r="C5776"/>
      <c r="D5776"/>
      <c r="E5776" s="364"/>
      <c r="F5776"/>
    </row>
    <row r="5777" spans="1:6" x14ac:dyDescent="0.25">
      <c r="A5777" s="364"/>
      <c r="B5777"/>
      <c r="C5777"/>
      <c r="D5777"/>
      <c r="E5777" s="364"/>
      <c r="F5777"/>
    </row>
    <row r="5778" spans="1:6" x14ac:dyDescent="0.25">
      <c r="A5778" s="364"/>
      <c r="B5778"/>
      <c r="C5778"/>
      <c r="D5778"/>
      <c r="E5778" s="364"/>
      <c r="F5778"/>
    </row>
    <row r="5779" spans="1:6" x14ac:dyDescent="0.25">
      <c r="A5779" s="364"/>
      <c r="B5779"/>
      <c r="C5779"/>
      <c r="D5779"/>
      <c r="E5779" s="364"/>
      <c r="F5779"/>
    </row>
    <row r="5780" spans="1:6" x14ac:dyDescent="0.25">
      <c r="A5780" s="364"/>
      <c r="B5780"/>
      <c r="C5780"/>
      <c r="D5780"/>
      <c r="E5780" s="364"/>
      <c r="F5780"/>
    </row>
    <row r="5781" spans="1:6" x14ac:dyDescent="0.25">
      <c r="A5781" s="364"/>
      <c r="B5781"/>
      <c r="C5781"/>
      <c r="D5781"/>
      <c r="E5781" s="364"/>
      <c r="F5781"/>
    </row>
    <row r="5782" spans="1:6" x14ac:dyDescent="0.25">
      <c r="A5782" s="364"/>
      <c r="B5782"/>
      <c r="C5782"/>
      <c r="D5782"/>
      <c r="E5782" s="364"/>
      <c r="F5782"/>
    </row>
    <row r="5783" spans="1:6" x14ac:dyDescent="0.25">
      <c r="A5783" s="364"/>
      <c r="B5783"/>
      <c r="C5783"/>
      <c r="D5783"/>
      <c r="E5783" s="364"/>
      <c r="F5783"/>
    </row>
    <row r="5784" spans="1:6" x14ac:dyDescent="0.25">
      <c r="A5784" s="364"/>
      <c r="B5784"/>
      <c r="C5784"/>
      <c r="D5784"/>
      <c r="E5784" s="364"/>
      <c r="F5784"/>
    </row>
    <row r="5785" spans="1:6" x14ac:dyDescent="0.25">
      <c r="A5785" s="364"/>
      <c r="B5785"/>
      <c r="C5785"/>
      <c r="D5785"/>
      <c r="E5785" s="364"/>
      <c r="F5785"/>
    </row>
    <row r="5786" spans="1:6" x14ac:dyDescent="0.25">
      <c r="A5786" s="364"/>
      <c r="B5786"/>
      <c r="C5786"/>
      <c r="D5786"/>
      <c r="E5786" s="364"/>
      <c r="F5786"/>
    </row>
    <row r="5787" spans="1:6" x14ac:dyDescent="0.25">
      <c r="A5787" s="364"/>
      <c r="B5787"/>
      <c r="C5787"/>
      <c r="D5787"/>
      <c r="E5787" s="364"/>
      <c r="F5787"/>
    </row>
    <row r="5788" spans="1:6" x14ac:dyDescent="0.25">
      <c r="A5788" s="364"/>
      <c r="B5788"/>
      <c r="C5788"/>
      <c r="D5788"/>
      <c r="E5788" s="364"/>
      <c r="F5788"/>
    </row>
    <row r="5789" spans="1:6" x14ac:dyDescent="0.25">
      <c r="A5789" s="364"/>
      <c r="B5789"/>
      <c r="C5789"/>
      <c r="D5789"/>
      <c r="E5789" s="364"/>
      <c r="F5789"/>
    </row>
    <row r="5790" spans="1:6" x14ac:dyDescent="0.25">
      <c r="A5790" s="364"/>
      <c r="B5790"/>
      <c r="C5790"/>
      <c r="D5790"/>
      <c r="E5790" s="364"/>
      <c r="F5790"/>
    </row>
    <row r="5791" spans="1:6" x14ac:dyDescent="0.25">
      <c r="A5791" s="364"/>
      <c r="B5791"/>
      <c r="C5791"/>
      <c r="D5791"/>
      <c r="E5791" s="364"/>
      <c r="F5791"/>
    </row>
    <row r="5792" spans="1:6" x14ac:dyDescent="0.25">
      <c r="A5792" s="364"/>
      <c r="B5792"/>
      <c r="C5792"/>
      <c r="D5792"/>
      <c r="E5792" s="364"/>
      <c r="F5792"/>
    </row>
    <row r="5793" spans="1:6" x14ac:dyDescent="0.25">
      <c r="A5793" s="364"/>
      <c r="B5793"/>
      <c r="C5793"/>
      <c r="D5793"/>
      <c r="E5793" s="364"/>
      <c r="F5793"/>
    </row>
    <row r="5794" spans="1:6" x14ac:dyDescent="0.25">
      <c r="A5794" s="364"/>
      <c r="B5794"/>
      <c r="C5794"/>
      <c r="D5794"/>
      <c r="E5794" s="364"/>
      <c r="F5794"/>
    </row>
    <row r="5795" spans="1:6" x14ac:dyDescent="0.25">
      <c r="A5795" s="364"/>
      <c r="B5795"/>
      <c r="C5795"/>
      <c r="D5795"/>
      <c r="E5795" s="364"/>
      <c r="F5795"/>
    </row>
    <row r="5796" spans="1:6" x14ac:dyDescent="0.25">
      <c r="A5796" s="364"/>
      <c r="B5796"/>
      <c r="C5796"/>
      <c r="D5796"/>
      <c r="E5796" s="364"/>
      <c r="F5796"/>
    </row>
    <row r="5797" spans="1:6" x14ac:dyDescent="0.25">
      <c r="A5797" s="364"/>
      <c r="B5797"/>
      <c r="C5797"/>
      <c r="D5797"/>
      <c r="E5797" s="364"/>
      <c r="F5797"/>
    </row>
    <row r="5798" spans="1:6" x14ac:dyDescent="0.25">
      <c r="A5798" s="364"/>
      <c r="B5798"/>
      <c r="C5798"/>
      <c r="D5798"/>
      <c r="E5798" s="364"/>
      <c r="F5798"/>
    </row>
    <row r="5799" spans="1:6" x14ac:dyDescent="0.25">
      <c r="A5799" s="364"/>
      <c r="B5799"/>
      <c r="C5799"/>
      <c r="D5799"/>
      <c r="E5799" s="364"/>
      <c r="F5799"/>
    </row>
    <row r="5800" spans="1:6" x14ac:dyDescent="0.25">
      <c r="A5800" s="364"/>
      <c r="B5800"/>
      <c r="C5800"/>
      <c r="D5800"/>
      <c r="E5800" s="364"/>
      <c r="F5800"/>
    </row>
    <row r="5801" spans="1:6" x14ac:dyDescent="0.25">
      <c r="A5801" s="364"/>
      <c r="B5801"/>
      <c r="C5801"/>
      <c r="D5801"/>
      <c r="E5801" s="364"/>
      <c r="F5801"/>
    </row>
    <row r="5802" spans="1:6" x14ac:dyDescent="0.25">
      <c r="A5802" s="364"/>
      <c r="B5802"/>
      <c r="C5802"/>
      <c r="D5802"/>
      <c r="E5802" s="364"/>
      <c r="F5802"/>
    </row>
    <row r="5803" spans="1:6" x14ac:dyDescent="0.25">
      <c r="A5803" s="364"/>
      <c r="B5803"/>
      <c r="C5803"/>
      <c r="D5803"/>
      <c r="E5803" s="364"/>
      <c r="F5803"/>
    </row>
    <row r="5804" spans="1:6" x14ac:dyDescent="0.25">
      <c r="A5804" s="364"/>
      <c r="B5804"/>
      <c r="C5804"/>
      <c r="D5804"/>
      <c r="E5804" s="364"/>
      <c r="F5804"/>
    </row>
    <row r="5805" spans="1:6" x14ac:dyDescent="0.25">
      <c r="A5805" s="364"/>
      <c r="B5805"/>
      <c r="C5805"/>
      <c r="D5805"/>
      <c r="E5805" s="364"/>
      <c r="F5805"/>
    </row>
    <row r="5806" spans="1:6" x14ac:dyDescent="0.25">
      <c r="A5806" s="364"/>
      <c r="B5806"/>
      <c r="C5806"/>
      <c r="D5806"/>
      <c r="E5806" s="364"/>
      <c r="F5806"/>
    </row>
    <row r="5807" spans="1:6" x14ac:dyDescent="0.25">
      <c r="A5807" s="364"/>
      <c r="B5807"/>
      <c r="C5807"/>
      <c r="D5807"/>
      <c r="E5807" s="364"/>
      <c r="F5807"/>
    </row>
    <row r="5808" spans="1:6" x14ac:dyDescent="0.25">
      <c r="A5808" s="364"/>
      <c r="B5808"/>
      <c r="C5808"/>
      <c r="D5808"/>
      <c r="E5808" s="364"/>
      <c r="F5808"/>
    </row>
    <row r="5809" spans="1:6" x14ac:dyDescent="0.25">
      <c r="A5809" s="364"/>
      <c r="B5809"/>
      <c r="C5809"/>
      <c r="D5809"/>
      <c r="E5809" s="364"/>
      <c r="F5809"/>
    </row>
    <row r="5810" spans="1:6" x14ac:dyDescent="0.25">
      <c r="A5810" s="364"/>
      <c r="B5810"/>
      <c r="C5810"/>
      <c r="D5810"/>
      <c r="E5810" s="364"/>
      <c r="F5810"/>
    </row>
    <row r="5811" spans="1:6" x14ac:dyDescent="0.25">
      <c r="A5811" s="364"/>
      <c r="B5811"/>
      <c r="C5811"/>
      <c r="D5811"/>
      <c r="E5811" s="364"/>
      <c r="F5811"/>
    </row>
    <row r="5812" spans="1:6" x14ac:dyDescent="0.25">
      <c r="A5812" s="364"/>
      <c r="B5812"/>
      <c r="C5812"/>
      <c r="D5812"/>
      <c r="E5812" s="364"/>
      <c r="F5812"/>
    </row>
    <row r="5813" spans="1:6" x14ac:dyDescent="0.25">
      <c r="A5813" s="364"/>
      <c r="B5813"/>
      <c r="C5813"/>
      <c r="D5813"/>
      <c r="E5813" s="364"/>
      <c r="F5813"/>
    </row>
    <row r="5814" spans="1:6" x14ac:dyDescent="0.25">
      <c r="A5814" s="364"/>
      <c r="B5814"/>
      <c r="C5814"/>
      <c r="D5814"/>
      <c r="E5814" s="364"/>
      <c r="F5814"/>
    </row>
    <row r="5815" spans="1:6" x14ac:dyDescent="0.25">
      <c r="A5815" s="364"/>
      <c r="B5815"/>
      <c r="C5815"/>
      <c r="D5815"/>
      <c r="E5815" s="364"/>
      <c r="F5815"/>
    </row>
    <row r="5816" spans="1:6" x14ac:dyDescent="0.25">
      <c r="A5816" s="364"/>
      <c r="B5816"/>
      <c r="C5816"/>
      <c r="D5816"/>
      <c r="E5816" s="364"/>
      <c r="F5816"/>
    </row>
    <row r="5817" spans="1:6" x14ac:dyDescent="0.25">
      <c r="A5817" s="364"/>
      <c r="B5817"/>
      <c r="C5817"/>
      <c r="D5817"/>
      <c r="E5817" s="364"/>
      <c r="F5817"/>
    </row>
    <row r="5818" spans="1:6" x14ac:dyDescent="0.25">
      <c r="A5818" s="364"/>
      <c r="B5818"/>
      <c r="C5818"/>
      <c r="D5818"/>
      <c r="E5818" s="364"/>
      <c r="F5818"/>
    </row>
    <row r="5819" spans="1:6" x14ac:dyDescent="0.25">
      <c r="A5819" s="364"/>
      <c r="B5819"/>
      <c r="C5819"/>
      <c r="D5819"/>
      <c r="E5819" s="364"/>
      <c r="F5819"/>
    </row>
    <row r="5820" spans="1:6" x14ac:dyDescent="0.25">
      <c r="A5820" s="364"/>
      <c r="B5820"/>
      <c r="C5820"/>
      <c r="D5820"/>
      <c r="E5820" s="364"/>
      <c r="F5820"/>
    </row>
    <row r="5821" spans="1:6" x14ac:dyDescent="0.25">
      <c r="A5821" s="364"/>
      <c r="B5821"/>
      <c r="C5821"/>
      <c r="D5821"/>
      <c r="E5821" s="364"/>
      <c r="F5821"/>
    </row>
    <row r="5822" spans="1:6" x14ac:dyDescent="0.25">
      <c r="A5822" s="364"/>
      <c r="B5822"/>
      <c r="C5822"/>
      <c r="D5822"/>
      <c r="E5822" s="364"/>
      <c r="F5822"/>
    </row>
    <row r="5823" spans="1:6" x14ac:dyDescent="0.25">
      <c r="A5823" s="364"/>
      <c r="B5823"/>
      <c r="C5823"/>
      <c r="D5823"/>
      <c r="E5823" s="364"/>
      <c r="F5823"/>
    </row>
    <row r="5824" spans="1:6" x14ac:dyDescent="0.25">
      <c r="A5824" s="364"/>
      <c r="B5824"/>
      <c r="C5824"/>
      <c r="D5824"/>
      <c r="E5824" s="364"/>
      <c r="F5824"/>
    </row>
    <row r="5825" spans="1:6" x14ac:dyDescent="0.25">
      <c r="A5825" s="364"/>
      <c r="B5825"/>
      <c r="C5825"/>
      <c r="D5825"/>
      <c r="E5825" s="364"/>
      <c r="F5825"/>
    </row>
    <row r="5826" spans="1:6" x14ac:dyDescent="0.25">
      <c r="A5826" s="364"/>
      <c r="B5826"/>
      <c r="C5826"/>
      <c r="D5826"/>
      <c r="E5826" s="364"/>
      <c r="F5826"/>
    </row>
    <row r="5827" spans="1:6" x14ac:dyDescent="0.25">
      <c r="A5827" s="364"/>
      <c r="B5827"/>
      <c r="C5827"/>
      <c r="D5827"/>
      <c r="E5827" s="364"/>
      <c r="F5827"/>
    </row>
    <row r="5828" spans="1:6" x14ac:dyDescent="0.25">
      <c r="A5828" s="364"/>
      <c r="B5828"/>
      <c r="C5828"/>
      <c r="D5828"/>
      <c r="E5828" s="364"/>
      <c r="F5828"/>
    </row>
    <row r="5829" spans="1:6" x14ac:dyDescent="0.25">
      <c r="A5829" s="364"/>
      <c r="B5829"/>
      <c r="C5829"/>
      <c r="D5829"/>
      <c r="E5829" s="364"/>
      <c r="F5829"/>
    </row>
    <row r="5830" spans="1:6" x14ac:dyDescent="0.25">
      <c r="A5830" s="364"/>
      <c r="B5830"/>
      <c r="C5830"/>
      <c r="D5830"/>
      <c r="E5830" s="364"/>
      <c r="F5830"/>
    </row>
    <row r="5831" spans="1:6" x14ac:dyDescent="0.25">
      <c r="A5831" s="364"/>
      <c r="B5831"/>
      <c r="C5831"/>
      <c r="D5831"/>
      <c r="E5831" s="364"/>
      <c r="F5831"/>
    </row>
    <row r="5832" spans="1:6" x14ac:dyDescent="0.25">
      <c r="A5832" s="364"/>
      <c r="B5832"/>
      <c r="C5832"/>
      <c r="D5832"/>
      <c r="E5832" s="364"/>
      <c r="F5832"/>
    </row>
    <row r="5833" spans="1:6" x14ac:dyDescent="0.25">
      <c r="A5833" s="364"/>
      <c r="B5833"/>
      <c r="C5833"/>
      <c r="D5833"/>
      <c r="E5833" s="364"/>
      <c r="F5833"/>
    </row>
    <row r="5834" spans="1:6" x14ac:dyDescent="0.25">
      <c r="A5834" s="364"/>
      <c r="B5834"/>
      <c r="C5834"/>
      <c r="D5834"/>
      <c r="E5834" s="364"/>
      <c r="F5834"/>
    </row>
    <row r="5835" spans="1:6" x14ac:dyDescent="0.25">
      <c r="A5835" s="364"/>
      <c r="B5835"/>
      <c r="C5835"/>
      <c r="D5835"/>
      <c r="E5835" s="364"/>
      <c r="F5835"/>
    </row>
    <row r="5836" spans="1:6" x14ac:dyDescent="0.25">
      <c r="A5836" s="364"/>
      <c r="B5836"/>
      <c r="C5836"/>
      <c r="D5836"/>
      <c r="E5836" s="364"/>
      <c r="F5836"/>
    </row>
    <row r="5837" spans="1:6" x14ac:dyDescent="0.25">
      <c r="A5837" s="364"/>
      <c r="B5837"/>
      <c r="C5837"/>
      <c r="D5837"/>
      <c r="E5837" s="364"/>
      <c r="F5837"/>
    </row>
    <row r="5838" spans="1:6" x14ac:dyDescent="0.25">
      <c r="A5838" s="364"/>
      <c r="B5838"/>
      <c r="C5838"/>
      <c r="D5838"/>
      <c r="E5838" s="364"/>
      <c r="F5838"/>
    </row>
    <row r="5839" spans="1:6" x14ac:dyDescent="0.25">
      <c r="A5839" s="364"/>
      <c r="B5839"/>
      <c r="C5839"/>
      <c r="D5839"/>
      <c r="E5839" s="364"/>
      <c r="F5839"/>
    </row>
    <row r="5840" spans="1:6" x14ac:dyDescent="0.25">
      <c r="A5840" s="364"/>
      <c r="B5840"/>
      <c r="C5840"/>
      <c r="D5840"/>
      <c r="E5840" s="364"/>
      <c r="F5840"/>
    </row>
    <row r="5841" spans="1:6" x14ac:dyDescent="0.25">
      <c r="A5841" s="364"/>
      <c r="B5841"/>
      <c r="C5841"/>
      <c r="D5841"/>
      <c r="E5841" s="364"/>
      <c r="F5841"/>
    </row>
    <row r="5842" spans="1:6" x14ac:dyDescent="0.25">
      <c r="A5842" s="364"/>
      <c r="B5842"/>
      <c r="C5842"/>
      <c r="D5842"/>
      <c r="E5842" s="364"/>
      <c r="F5842"/>
    </row>
    <row r="5843" spans="1:6" x14ac:dyDescent="0.25">
      <c r="A5843" s="364"/>
      <c r="B5843"/>
      <c r="C5843"/>
      <c r="D5843"/>
      <c r="E5843" s="364"/>
      <c r="F5843"/>
    </row>
    <row r="5844" spans="1:6" x14ac:dyDescent="0.25">
      <c r="A5844" s="364"/>
      <c r="B5844"/>
      <c r="C5844"/>
      <c r="D5844"/>
      <c r="E5844" s="364"/>
      <c r="F5844"/>
    </row>
    <row r="5845" spans="1:6" x14ac:dyDescent="0.25">
      <c r="A5845" s="364"/>
      <c r="B5845"/>
      <c r="C5845"/>
      <c r="D5845"/>
      <c r="E5845" s="364"/>
      <c r="F5845"/>
    </row>
    <row r="5846" spans="1:6" x14ac:dyDescent="0.25">
      <c r="A5846" s="364"/>
      <c r="B5846"/>
      <c r="C5846"/>
      <c r="D5846"/>
      <c r="E5846" s="364"/>
      <c r="F5846"/>
    </row>
    <row r="5847" spans="1:6" x14ac:dyDescent="0.25">
      <c r="A5847" s="364"/>
      <c r="B5847"/>
      <c r="C5847"/>
      <c r="D5847"/>
      <c r="E5847" s="364"/>
      <c r="F5847"/>
    </row>
    <row r="5848" spans="1:6" x14ac:dyDescent="0.25">
      <c r="A5848" s="364"/>
      <c r="B5848"/>
      <c r="C5848"/>
      <c r="D5848"/>
      <c r="E5848" s="364"/>
      <c r="F5848"/>
    </row>
    <row r="5849" spans="1:6" x14ac:dyDescent="0.25">
      <c r="A5849" s="364"/>
      <c r="B5849"/>
      <c r="C5849"/>
      <c r="D5849"/>
      <c r="E5849" s="364"/>
      <c r="F5849"/>
    </row>
    <row r="5850" spans="1:6" x14ac:dyDescent="0.25">
      <c r="A5850" s="364"/>
      <c r="B5850"/>
      <c r="C5850"/>
      <c r="D5850"/>
      <c r="E5850" s="364"/>
      <c r="F5850"/>
    </row>
    <row r="5851" spans="1:6" x14ac:dyDescent="0.25">
      <c r="A5851" s="364"/>
      <c r="B5851"/>
      <c r="C5851"/>
      <c r="D5851"/>
      <c r="E5851" s="364"/>
      <c r="F5851"/>
    </row>
    <row r="5852" spans="1:6" x14ac:dyDescent="0.25">
      <c r="A5852" s="364"/>
      <c r="B5852"/>
      <c r="C5852"/>
      <c r="D5852"/>
      <c r="E5852" s="364"/>
      <c r="F5852"/>
    </row>
    <row r="5853" spans="1:6" x14ac:dyDescent="0.25">
      <c r="A5853" s="364"/>
      <c r="B5853"/>
      <c r="C5853"/>
      <c r="D5853"/>
      <c r="E5853" s="364"/>
      <c r="F5853"/>
    </row>
    <row r="5854" spans="1:6" x14ac:dyDescent="0.25">
      <c r="A5854" s="364"/>
      <c r="B5854"/>
      <c r="C5854"/>
      <c r="D5854"/>
      <c r="E5854" s="364"/>
      <c r="F5854"/>
    </row>
    <row r="5855" spans="1:6" x14ac:dyDescent="0.25">
      <c r="A5855" s="364"/>
      <c r="B5855"/>
      <c r="C5855"/>
      <c r="D5855"/>
      <c r="E5855" s="364"/>
      <c r="F5855"/>
    </row>
    <row r="5856" spans="1:6" x14ac:dyDescent="0.25">
      <c r="A5856" s="364"/>
      <c r="B5856"/>
      <c r="C5856"/>
      <c r="D5856"/>
      <c r="E5856" s="364"/>
      <c r="F5856"/>
    </row>
    <row r="5857" spans="1:6" x14ac:dyDescent="0.25">
      <c r="A5857" s="364"/>
      <c r="B5857"/>
      <c r="C5857"/>
      <c r="D5857"/>
      <c r="E5857" s="364"/>
      <c r="F5857"/>
    </row>
    <row r="5858" spans="1:6" x14ac:dyDescent="0.25">
      <c r="A5858" s="364"/>
      <c r="B5858"/>
      <c r="C5858"/>
      <c r="D5858"/>
      <c r="E5858" s="364"/>
      <c r="F5858"/>
    </row>
    <row r="5859" spans="1:6" x14ac:dyDescent="0.25">
      <c r="A5859" s="364"/>
      <c r="B5859"/>
      <c r="C5859"/>
      <c r="D5859"/>
      <c r="E5859" s="364"/>
      <c r="F5859"/>
    </row>
    <row r="5860" spans="1:6" x14ac:dyDescent="0.25">
      <c r="A5860" s="364"/>
      <c r="B5860"/>
      <c r="C5860"/>
      <c r="D5860"/>
      <c r="E5860" s="364"/>
      <c r="F5860"/>
    </row>
    <row r="5861" spans="1:6" x14ac:dyDescent="0.25">
      <c r="A5861" s="364"/>
      <c r="B5861"/>
      <c r="C5861"/>
      <c r="D5861"/>
      <c r="E5861" s="364"/>
      <c r="F5861"/>
    </row>
    <row r="5862" spans="1:6" x14ac:dyDescent="0.25">
      <c r="A5862" s="364"/>
      <c r="B5862"/>
      <c r="C5862"/>
      <c r="D5862"/>
      <c r="E5862" s="364"/>
      <c r="F5862"/>
    </row>
    <row r="5863" spans="1:6" x14ac:dyDescent="0.25">
      <c r="A5863" s="364"/>
      <c r="B5863"/>
      <c r="C5863"/>
      <c r="D5863"/>
      <c r="E5863" s="364"/>
      <c r="F5863"/>
    </row>
    <row r="5864" spans="1:6" x14ac:dyDescent="0.25">
      <c r="A5864" s="364"/>
      <c r="B5864"/>
      <c r="C5864"/>
      <c r="D5864"/>
      <c r="E5864" s="364"/>
      <c r="F5864"/>
    </row>
    <row r="5865" spans="1:6" x14ac:dyDescent="0.25">
      <c r="A5865" s="364"/>
      <c r="B5865"/>
      <c r="C5865"/>
      <c r="D5865"/>
      <c r="E5865" s="364"/>
      <c r="F5865"/>
    </row>
    <row r="5866" spans="1:6" x14ac:dyDescent="0.25">
      <c r="A5866" s="364"/>
      <c r="B5866"/>
      <c r="C5866"/>
      <c r="D5866"/>
      <c r="E5866" s="364"/>
      <c r="F5866"/>
    </row>
    <row r="5867" spans="1:6" x14ac:dyDescent="0.25">
      <c r="A5867" s="364"/>
      <c r="B5867"/>
      <c r="C5867"/>
      <c r="D5867"/>
      <c r="E5867" s="364"/>
      <c r="F5867"/>
    </row>
    <row r="5868" spans="1:6" x14ac:dyDescent="0.25">
      <c r="A5868" s="364"/>
      <c r="B5868"/>
      <c r="C5868"/>
      <c r="D5868"/>
      <c r="E5868" s="364"/>
      <c r="F5868"/>
    </row>
    <row r="5869" spans="1:6" x14ac:dyDescent="0.25">
      <c r="A5869" s="364"/>
      <c r="B5869"/>
      <c r="C5869"/>
      <c r="D5869"/>
      <c r="E5869" s="364"/>
      <c r="F5869"/>
    </row>
    <row r="5870" spans="1:6" x14ac:dyDescent="0.25">
      <c r="A5870" s="364"/>
      <c r="B5870"/>
      <c r="C5870"/>
      <c r="D5870"/>
      <c r="E5870" s="364"/>
      <c r="F5870"/>
    </row>
    <row r="5871" spans="1:6" x14ac:dyDescent="0.25">
      <c r="A5871" s="364"/>
      <c r="B5871"/>
      <c r="C5871"/>
      <c r="D5871"/>
      <c r="E5871" s="364"/>
      <c r="F5871"/>
    </row>
    <row r="5872" spans="1:6" x14ac:dyDescent="0.25">
      <c r="A5872" s="364"/>
      <c r="B5872"/>
      <c r="C5872"/>
      <c r="D5872"/>
      <c r="E5872" s="364"/>
      <c r="F5872"/>
    </row>
    <row r="5873" spans="1:6" x14ac:dyDescent="0.25">
      <c r="A5873" s="364"/>
      <c r="B5873"/>
      <c r="C5873"/>
      <c r="D5873"/>
      <c r="E5873" s="364"/>
      <c r="F5873"/>
    </row>
    <row r="5874" spans="1:6" x14ac:dyDescent="0.25">
      <c r="A5874" s="364"/>
      <c r="B5874"/>
      <c r="C5874"/>
      <c r="D5874"/>
      <c r="E5874" s="364"/>
      <c r="F5874"/>
    </row>
    <row r="5875" spans="1:6" x14ac:dyDescent="0.25">
      <c r="A5875" s="364"/>
      <c r="B5875"/>
      <c r="C5875"/>
      <c r="D5875"/>
      <c r="E5875" s="364"/>
      <c r="F5875"/>
    </row>
    <row r="5876" spans="1:6" x14ac:dyDescent="0.25">
      <c r="A5876" s="364"/>
      <c r="B5876"/>
      <c r="C5876"/>
      <c r="D5876"/>
      <c r="E5876" s="364"/>
      <c r="F5876"/>
    </row>
    <row r="5877" spans="1:6" x14ac:dyDescent="0.25">
      <c r="A5877" s="364"/>
      <c r="B5877"/>
      <c r="C5877"/>
      <c r="D5877"/>
      <c r="E5877" s="364"/>
      <c r="F5877"/>
    </row>
    <row r="5878" spans="1:6" x14ac:dyDescent="0.25">
      <c r="A5878" s="364"/>
      <c r="B5878"/>
      <c r="C5878"/>
      <c r="D5878"/>
      <c r="E5878" s="364"/>
      <c r="F5878"/>
    </row>
    <row r="5879" spans="1:6" x14ac:dyDescent="0.25">
      <c r="A5879" s="364"/>
      <c r="B5879"/>
      <c r="C5879"/>
      <c r="D5879"/>
      <c r="E5879" s="364"/>
      <c r="F5879"/>
    </row>
    <row r="5880" spans="1:6" x14ac:dyDescent="0.25">
      <c r="A5880" s="364"/>
      <c r="B5880"/>
      <c r="C5880"/>
      <c r="D5880"/>
      <c r="E5880" s="364"/>
      <c r="F5880"/>
    </row>
    <row r="5881" spans="1:6" x14ac:dyDescent="0.25">
      <c r="A5881" s="364"/>
      <c r="B5881"/>
      <c r="C5881"/>
      <c r="D5881"/>
      <c r="E5881" s="364"/>
      <c r="F5881"/>
    </row>
    <row r="5882" spans="1:6" x14ac:dyDescent="0.25">
      <c r="A5882" s="364"/>
      <c r="B5882"/>
      <c r="C5882"/>
      <c r="D5882"/>
      <c r="E5882" s="364"/>
      <c r="F5882"/>
    </row>
    <row r="5883" spans="1:6" x14ac:dyDescent="0.25">
      <c r="A5883" s="364"/>
      <c r="B5883"/>
      <c r="C5883"/>
      <c r="D5883"/>
      <c r="E5883" s="364"/>
      <c r="F5883"/>
    </row>
    <row r="5884" spans="1:6" x14ac:dyDescent="0.25">
      <c r="A5884" s="364"/>
      <c r="B5884"/>
      <c r="C5884"/>
      <c r="D5884"/>
      <c r="E5884" s="364"/>
      <c r="F5884"/>
    </row>
    <row r="5885" spans="1:6" x14ac:dyDescent="0.25">
      <c r="A5885" s="364"/>
      <c r="B5885"/>
      <c r="C5885"/>
      <c r="D5885"/>
      <c r="E5885" s="364"/>
      <c r="F5885"/>
    </row>
    <row r="5886" spans="1:6" x14ac:dyDescent="0.25">
      <c r="A5886" s="364"/>
      <c r="B5886"/>
      <c r="C5886"/>
      <c r="D5886"/>
      <c r="E5886" s="364"/>
      <c r="F5886"/>
    </row>
    <row r="5887" spans="1:6" x14ac:dyDescent="0.25">
      <c r="A5887" s="364"/>
      <c r="B5887"/>
      <c r="C5887"/>
      <c r="D5887"/>
      <c r="E5887" s="364"/>
      <c r="F5887"/>
    </row>
    <row r="5888" spans="1:6" x14ac:dyDescent="0.25">
      <c r="A5888" s="364"/>
      <c r="B5888"/>
      <c r="C5888"/>
      <c r="D5888"/>
      <c r="E5888" s="364"/>
      <c r="F5888"/>
    </row>
    <row r="5889" spans="1:6" x14ac:dyDescent="0.25">
      <c r="A5889" s="364"/>
      <c r="B5889"/>
      <c r="C5889"/>
      <c r="D5889"/>
      <c r="E5889" s="364"/>
      <c r="F5889"/>
    </row>
    <row r="5890" spans="1:6" x14ac:dyDescent="0.25">
      <c r="A5890" s="364"/>
      <c r="B5890"/>
      <c r="C5890"/>
      <c r="D5890"/>
      <c r="E5890" s="364"/>
      <c r="F5890"/>
    </row>
    <row r="5891" spans="1:6" x14ac:dyDescent="0.25">
      <c r="A5891" s="364"/>
      <c r="B5891"/>
      <c r="C5891"/>
      <c r="D5891"/>
      <c r="E5891" s="364"/>
      <c r="F5891"/>
    </row>
    <row r="5892" spans="1:6" x14ac:dyDescent="0.25">
      <c r="A5892" s="364"/>
      <c r="B5892"/>
      <c r="C5892"/>
      <c r="D5892"/>
      <c r="E5892" s="364"/>
      <c r="F5892"/>
    </row>
    <row r="5893" spans="1:6" x14ac:dyDescent="0.25">
      <c r="A5893" s="364"/>
      <c r="B5893"/>
      <c r="C5893"/>
      <c r="D5893"/>
      <c r="E5893" s="364"/>
      <c r="F5893"/>
    </row>
    <row r="5894" spans="1:6" x14ac:dyDescent="0.25">
      <c r="A5894" s="364"/>
      <c r="B5894"/>
      <c r="C5894"/>
      <c r="D5894"/>
      <c r="E5894" s="364"/>
      <c r="F5894"/>
    </row>
    <row r="5895" spans="1:6" x14ac:dyDescent="0.25">
      <c r="A5895" s="364"/>
      <c r="B5895"/>
      <c r="C5895"/>
      <c r="D5895"/>
      <c r="E5895" s="364"/>
      <c r="F5895"/>
    </row>
    <row r="5896" spans="1:6" x14ac:dyDescent="0.25">
      <c r="A5896" s="364"/>
      <c r="B5896"/>
      <c r="C5896"/>
      <c r="D5896"/>
      <c r="E5896" s="364"/>
      <c r="F5896"/>
    </row>
    <row r="5897" spans="1:6" x14ac:dyDescent="0.25">
      <c r="A5897" s="364"/>
      <c r="B5897"/>
      <c r="C5897"/>
      <c r="D5897"/>
      <c r="E5897" s="364"/>
      <c r="F5897"/>
    </row>
    <row r="5898" spans="1:6" x14ac:dyDescent="0.25">
      <c r="A5898" s="364"/>
      <c r="B5898"/>
      <c r="C5898"/>
      <c r="D5898"/>
      <c r="E5898" s="364"/>
      <c r="F5898"/>
    </row>
    <row r="5899" spans="1:6" x14ac:dyDescent="0.25">
      <c r="A5899" s="364"/>
      <c r="B5899"/>
      <c r="C5899"/>
      <c r="D5899"/>
      <c r="E5899" s="364"/>
      <c r="F5899"/>
    </row>
    <row r="5900" spans="1:6" x14ac:dyDescent="0.25">
      <c r="A5900" s="364"/>
      <c r="B5900"/>
      <c r="C5900"/>
      <c r="D5900"/>
      <c r="E5900" s="364"/>
      <c r="F5900"/>
    </row>
    <row r="5901" spans="1:6" x14ac:dyDescent="0.25">
      <c r="A5901" s="364"/>
      <c r="B5901"/>
      <c r="C5901"/>
      <c r="D5901"/>
      <c r="E5901" s="364"/>
      <c r="F5901"/>
    </row>
    <row r="5902" spans="1:6" x14ac:dyDescent="0.25">
      <c r="A5902" s="364"/>
      <c r="B5902"/>
      <c r="C5902"/>
      <c r="D5902"/>
      <c r="E5902" s="364"/>
      <c r="F5902"/>
    </row>
    <row r="5903" spans="1:6" x14ac:dyDescent="0.25">
      <c r="A5903" s="364"/>
      <c r="B5903"/>
      <c r="C5903"/>
      <c r="D5903"/>
      <c r="E5903" s="364"/>
      <c r="F5903"/>
    </row>
    <row r="5904" spans="1:6" x14ac:dyDescent="0.25">
      <c r="A5904" s="364"/>
      <c r="B5904"/>
      <c r="C5904"/>
      <c r="D5904"/>
      <c r="E5904" s="364"/>
      <c r="F5904"/>
    </row>
    <row r="5905" spans="1:6" x14ac:dyDescent="0.25">
      <c r="A5905" s="364"/>
      <c r="B5905"/>
      <c r="C5905"/>
      <c r="D5905"/>
      <c r="E5905" s="364"/>
      <c r="F5905"/>
    </row>
    <row r="5906" spans="1:6" x14ac:dyDescent="0.25">
      <c r="A5906" s="364"/>
      <c r="B5906"/>
      <c r="C5906"/>
      <c r="D5906"/>
      <c r="E5906" s="364"/>
      <c r="F5906"/>
    </row>
    <row r="5907" spans="1:6" x14ac:dyDescent="0.25">
      <c r="A5907" s="364"/>
      <c r="B5907"/>
      <c r="C5907"/>
      <c r="D5907"/>
      <c r="E5907" s="364"/>
      <c r="F5907"/>
    </row>
    <row r="5908" spans="1:6" x14ac:dyDescent="0.25">
      <c r="A5908" s="364"/>
      <c r="B5908"/>
      <c r="C5908"/>
      <c r="D5908"/>
      <c r="E5908" s="364"/>
      <c r="F5908"/>
    </row>
    <row r="5909" spans="1:6" x14ac:dyDescent="0.25">
      <c r="A5909" s="364"/>
      <c r="B5909"/>
      <c r="C5909"/>
      <c r="D5909"/>
      <c r="E5909" s="364"/>
      <c r="F5909"/>
    </row>
    <row r="5910" spans="1:6" x14ac:dyDescent="0.25">
      <c r="A5910" s="364"/>
      <c r="B5910"/>
      <c r="C5910"/>
      <c r="D5910"/>
      <c r="E5910" s="364"/>
      <c r="F5910"/>
    </row>
    <row r="5911" spans="1:6" x14ac:dyDescent="0.25">
      <c r="A5911" s="364"/>
      <c r="B5911"/>
      <c r="C5911"/>
      <c r="D5911"/>
      <c r="E5911" s="364"/>
      <c r="F5911"/>
    </row>
    <row r="5912" spans="1:6" x14ac:dyDescent="0.25">
      <c r="A5912" s="364"/>
      <c r="B5912"/>
      <c r="C5912"/>
      <c r="D5912"/>
      <c r="E5912" s="364"/>
      <c r="F5912"/>
    </row>
    <row r="5913" spans="1:6" x14ac:dyDescent="0.25">
      <c r="A5913" s="364"/>
      <c r="B5913"/>
      <c r="C5913"/>
      <c r="D5913"/>
      <c r="E5913" s="364"/>
      <c r="F5913"/>
    </row>
    <row r="5914" spans="1:6" x14ac:dyDescent="0.25">
      <c r="A5914" s="364"/>
      <c r="B5914"/>
      <c r="C5914"/>
      <c r="D5914"/>
      <c r="E5914" s="364"/>
      <c r="F5914"/>
    </row>
    <row r="5915" spans="1:6" x14ac:dyDescent="0.25">
      <c r="A5915" s="364"/>
      <c r="B5915"/>
      <c r="C5915"/>
      <c r="D5915"/>
      <c r="E5915" s="364"/>
      <c r="F5915"/>
    </row>
    <row r="5916" spans="1:6" x14ac:dyDescent="0.25">
      <c r="A5916" s="364"/>
      <c r="B5916"/>
      <c r="C5916"/>
      <c r="D5916"/>
      <c r="E5916" s="364"/>
      <c r="F5916"/>
    </row>
    <row r="5917" spans="1:6" x14ac:dyDescent="0.25">
      <c r="A5917" s="364"/>
      <c r="B5917"/>
      <c r="C5917"/>
      <c r="D5917"/>
      <c r="E5917" s="364"/>
      <c r="F5917"/>
    </row>
    <row r="5918" spans="1:6" x14ac:dyDescent="0.25">
      <c r="A5918" s="364"/>
      <c r="B5918"/>
      <c r="C5918"/>
      <c r="D5918"/>
      <c r="E5918" s="364"/>
      <c r="F5918"/>
    </row>
    <row r="5919" spans="1:6" x14ac:dyDescent="0.25">
      <c r="A5919" s="364"/>
      <c r="B5919"/>
      <c r="C5919"/>
      <c r="D5919"/>
      <c r="E5919" s="364"/>
      <c r="F5919"/>
    </row>
    <row r="5920" spans="1:6" x14ac:dyDescent="0.25">
      <c r="A5920" s="364"/>
      <c r="B5920"/>
      <c r="C5920"/>
      <c r="D5920"/>
      <c r="E5920" s="364"/>
      <c r="F5920"/>
    </row>
    <row r="5921" spans="1:6" x14ac:dyDescent="0.25">
      <c r="A5921" s="364"/>
      <c r="B5921"/>
      <c r="C5921"/>
      <c r="D5921"/>
      <c r="E5921" s="364"/>
      <c r="F5921"/>
    </row>
    <row r="5922" spans="1:6" x14ac:dyDescent="0.25">
      <c r="A5922" s="364"/>
      <c r="B5922"/>
      <c r="C5922"/>
      <c r="D5922"/>
      <c r="E5922" s="364"/>
      <c r="F5922"/>
    </row>
    <row r="5923" spans="1:6" x14ac:dyDescent="0.25">
      <c r="A5923" s="364"/>
      <c r="B5923"/>
      <c r="C5923"/>
      <c r="D5923"/>
      <c r="E5923" s="364"/>
      <c r="F5923"/>
    </row>
    <row r="5924" spans="1:6" x14ac:dyDescent="0.25">
      <c r="A5924" s="364"/>
      <c r="B5924"/>
      <c r="C5924"/>
      <c r="D5924"/>
      <c r="E5924" s="364"/>
      <c r="F5924"/>
    </row>
    <row r="5925" spans="1:6" x14ac:dyDescent="0.25">
      <c r="A5925" s="364"/>
      <c r="B5925"/>
      <c r="C5925"/>
      <c r="D5925"/>
      <c r="E5925" s="364"/>
      <c r="F5925"/>
    </row>
    <row r="5926" spans="1:6" x14ac:dyDescent="0.25">
      <c r="A5926" s="364"/>
      <c r="B5926"/>
      <c r="C5926"/>
      <c r="D5926"/>
      <c r="E5926" s="364"/>
      <c r="F5926"/>
    </row>
    <row r="5927" spans="1:6" x14ac:dyDescent="0.25">
      <c r="A5927" s="364"/>
      <c r="B5927"/>
      <c r="C5927"/>
      <c r="D5927"/>
      <c r="E5927" s="364"/>
      <c r="F5927"/>
    </row>
    <row r="5928" spans="1:6" x14ac:dyDescent="0.25">
      <c r="A5928" s="364"/>
      <c r="B5928"/>
      <c r="C5928"/>
      <c r="D5928"/>
      <c r="E5928" s="364"/>
      <c r="F5928"/>
    </row>
    <row r="5929" spans="1:6" x14ac:dyDescent="0.25">
      <c r="A5929" s="364"/>
      <c r="B5929"/>
      <c r="C5929"/>
      <c r="D5929"/>
      <c r="E5929" s="364"/>
      <c r="F5929"/>
    </row>
    <row r="5930" spans="1:6" x14ac:dyDescent="0.25">
      <c r="A5930" s="364"/>
      <c r="B5930"/>
      <c r="C5930"/>
      <c r="D5930"/>
      <c r="E5930" s="364"/>
      <c r="F5930"/>
    </row>
    <row r="5931" spans="1:6" x14ac:dyDescent="0.25">
      <c r="A5931" s="364"/>
      <c r="B5931"/>
      <c r="C5931"/>
      <c r="D5931"/>
      <c r="E5931" s="364"/>
      <c r="F5931"/>
    </row>
    <row r="5932" spans="1:6" x14ac:dyDescent="0.25">
      <c r="A5932" s="364"/>
      <c r="B5932"/>
      <c r="C5932"/>
      <c r="D5932"/>
      <c r="E5932" s="364"/>
      <c r="F5932"/>
    </row>
    <row r="5933" spans="1:6" x14ac:dyDescent="0.25">
      <c r="A5933" s="364"/>
      <c r="B5933"/>
      <c r="C5933"/>
      <c r="D5933"/>
      <c r="E5933" s="364"/>
      <c r="F5933"/>
    </row>
    <row r="5934" spans="1:6" x14ac:dyDescent="0.25">
      <c r="A5934" s="364"/>
      <c r="B5934"/>
      <c r="C5934"/>
      <c r="D5934"/>
      <c r="E5934" s="364"/>
      <c r="F5934"/>
    </row>
    <row r="5935" spans="1:6" x14ac:dyDescent="0.25">
      <c r="A5935" s="364"/>
      <c r="B5935"/>
      <c r="C5935"/>
      <c r="D5935"/>
      <c r="E5935" s="364"/>
      <c r="F5935"/>
    </row>
    <row r="5936" spans="1:6" x14ac:dyDescent="0.25">
      <c r="A5936" s="364"/>
      <c r="B5936"/>
      <c r="C5936"/>
      <c r="D5936"/>
      <c r="E5936" s="364"/>
      <c r="F5936"/>
    </row>
    <row r="5937" spans="1:6" x14ac:dyDescent="0.25">
      <c r="A5937" s="364"/>
      <c r="B5937"/>
      <c r="C5937"/>
      <c r="D5937"/>
      <c r="E5937" s="364"/>
      <c r="F5937"/>
    </row>
    <row r="5938" spans="1:6" x14ac:dyDescent="0.25">
      <c r="A5938" s="364"/>
      <c r="B5938"/>
      <c r="C5938"/>
      <c r="D5938"/>
      <c r="E5938" s="364"/>
      <c r="F5938"/>
    </row>
    <row r="5939" spans="1:6" x14ac:dyDescent="0.25">
      <c r="A5939" s="364"/>
      <c r="B5939"/>
      <c r="C5939"/>
      <c r="D5939"/>
      <c r="E5939" s="364"/>
      <c r="F5939"/>
    </row>
    <row r="5940" spans="1:6" x14ac:dyDescent="0.25">
      <c r="A5940" s="364"/>
      <c r="B5940"/>
      <c r="C5940"/>
      <c r="D5940"/>
      <c r="E5940" s="364"/>
      <c r="F5940"/>
    </row>
    <row r="5941" spans="1:6" x14ac:dyDescent="0.25">
      <c r="A5941" s="364"/>
      <c r="B5941"/>
      <c r="C5941"/>
      <c r="D5941"/>
      <c r="E5941" s="364"/>
      <c r="F5941"/>
    </row>
    <row r="5942" spans="1:6" x14ac:dyDescent="0.25">
      <c r="A5942" s="364"/>
      <c r="B5942"/>
      <c r="C5942"/>
      <c r="D5942"/>
      <c r="E5942" s="364"/>
      <c r="F5942"/>
    </row>
    <row r="5943" spans="1:6" x14ac:dyDescent="0.25">
      <c r="A5943" s="364"/>
      <c r="B5943"/>
      <c r="C5943"/>
      <c r="D5943"/>
      <c r="E5943" s="364"/>
      <c r="F5943"/>
    </row>
    <row r="5944" spans="1:6" x14ac:dyDescent="0.25">
      <c r="A5944" s="364"/>
      <c r="B5944"/>
      <c r="C5944"/>
      <c r="D5944"/>
      <c r="E5944" s="364"/>
      <c r="F5944"/>
    </row>
    <row r="5945" spans="1:6" x14ac:dyDescent="0.25">
      <c r="A5945" s="364"/>
      <c r="B5945"/>
      <c r="C5945"/>
      <c r="D5945"/>
      <c r="E5945" s="364"/>
      <c r="F5945"/>
    </row>
    <row r="5946" spans="1:6" x14ac:dyDescent="0.25">
      <c r="A5946" s="364"/>
      <c r="B5946"/>
      <c r="C5946"/>
      <c r="D5946"/>
      <c r="E5946" s="364"/>
      <c r="F5946"/>
    </row>
    <row r="5947" spans="1:6" x14ac:dyDescent="0.25">
      <c r="A5947" s="364"/>
      <c r="B5947"/>
      <c r="C5947"/>
      <c r="D5947"/>
      <c r="E5947" s="364"/>
      <c r="F5947"/>
    </row>
    <row r="5948" spans="1:6" x14ac:dyDescent="0.25">
      <c r="A5948" s="364"/>
      <c r="B5948"/>
      <c r="C5948"/>
      <c r="D5948"/>
      <c r="E5948" s="364"/>
      <c r="F5948"/>
    </row>
    <row r="5949" spans="1:6" x14ac:dyDescent="0.25">
      <c r="A5949" s="364"/>
      <c r="B5949"/>
      <c r="C5949"/>
      <c r="D5949"/>
      <c r="E5949" s="364"/>
      <c r="F5949"/>
    </row>
    <row r="5950" spans="1:6" x14ac:dyDescent="0.25">
      <c r="A5950" s="364"/>
      <c r="B5950"/>
      <c r="C5950"/>
      <c r="D5950"/>
      <c r="E5950" s="364"/>
      <c r="F5950"/>
    </row>
    <row r="5951" spans="1:6" x14ac:dyDescent="0.25">
      <c r="A5951" s="364"/>
      <c r="B5951"/>
      <c r="C5951"/>
      <c r="D5951"/>
      <c r="E5951" s="364"/>
      <c r="F5951"/>
    </row>
    <row r="5952" spans="1:6" x14ac:dyDescent="0.25">
      <c r="A5952" s="364"/>
      <c r="B5952"/>
      <c r="C5952"/>
      <c r="D5952"/>
      <c r="E5952" s="364"/>
      <c r="F5952"/>
    </row>
    <row r="5953" spans="1:6" x14ac:dyDescent="0.25">
      <c r="A5953" s="364"/>
      <c r="B5953"/>
      <c r="C5953"/>
      <c r="D5953"/>
      <c r="E5953" s="364"/>
      <c r="F5953"/>
    </row>
    <row r="5954" spans="1:6" x14ac:dyDescent="0.25">
      <c r="A5954" s="364"/>
      <c r="B5954"/>
      <c r="C5954"/>
      <c r="D5954"/>
      <c r="E5954" s="364"/>
      <c r="F5954"/>
    </row>
    <row r="5955" spans="1:6" x14ac:dyDescent="0.25">
      <c r="A5955" s="364"/>
      <c r="B5955"/>
      <c r="C5955"/>
      <c r="D5955"/>
      <c r="E5955" s="364"/>
      <c r="F5955"/>
    </row>
    <row r="5956" spans="1:6" x14ac:dyDescent="0.25">
      <c r="A5956" s="364"/>
      <c r="B5956"/>
      <c r="C5956"/>
      <c r="D5956"/>
      <c r="E5956" s="364"/>
      <c r="F5956"/>
    </row>
    <row r="5957" spans="1:6" x14ac:dyDescent="0.25">
      <c r="A5957" s="364"/>
      <c r="B5957"/>
      <c r="C5957"/>
      <c r="D5957"/>
      <c r="E5957" s="364"/>
      <c r="F5957"/>
    </row>
    <row r="5958" spans="1:6" x14ac:dyDescent="0.25">
      <c r="A5958" s="364"/>
      <c r="B5958"/>
      <c r="C5958"/>
      <c r="D5958"/>
      <c r="E5958" s="364"/>
      <c r="F5958"/>
    </row>
    <row r="5959" spans="1:6" x14ac:dyDescent="0.25">
      <c r="A5959" s="364"/>
      <c r="B5959"/>
      <c r="C5959"/>
      <c r="D5959"/>
      <c r="E5959" s="364"/>
      <c r="F5959"/>
    </row>
    <row r="5960" spans="1:6" x14ac:dyDescent="0.25">
      <c r="A5960" s="364"/>
      <c r="B5960"/>
      <c r="C5960"/>
      <c r="D5960"/>
      <c r="E5960" s="364"/>
      <c r="F5960"/>
    </row>
    <row r="5961" spans="1:6" x14ac:dyDescent="0.25">
      <c r="A5961" s="364"/>
      <c r="B5961"/>
      <c r="C5961"/>
      <c r="D5961"/>
      <c r="E5961" s="364"/>
      <c r="F5961"/>
    </row>
    <row r="5962" spans="1:6" x14ac:dyDescent="0.25">
      <c r="A5962" s="364"/>
      <c r="B5962"/>
      <c r="C5962"/>
      <c r="D5962"/>
      <c r="E5962" s="364"/>
      <c r="F5962"/>
    </row>
    <row r="5963" spans="1:6" x14ac:dyDescent="0.25">
      <c r="A5963" s="364"/>
      <c r="B5963"/>
      <c r="C5963"/>
      <c r="D5963"/>
      <c r="E5963" s="364"/>
      <c r="F5963"/>
    </row>
    <row r="5964" spans="1:6" x14ac:dyDescent="0.25">
      <c r="A5964" s="364"/>
      <c r="B5964"/>
      <c r="C5964"/>
      <c r="D5964"/>
      <c r="E5964" s="364"/>
      <c r="F5964"/>
    </row>
    <row r="5965" spans="1:6" x14ac:dyDescent="0.25">
      <c r="A5965" s="364"/>
      <c r="B5965"/>
      <c r="C5965"/>
      <c r="D5965"/>
      <c r="E5965" s="364"/>
      <c r="F5965"/>
    </row>
    <row r="5966" spans="1:6" x14ac:dyDescent="0.25">
      <c r="A5966" s="364"/>
      <c r="B5966"/>
      <c r="C5966"/>
      <c r="D5966"/>
      <c r="E5966" s="364"/>
      <c r="F5966"/>
    </row>
    <row r="5967" spans="1:6" x14ac:dyDescent="0.25">
      <c r="A5967" s="364"/>
      <c r="B5967"/>
      <c r="C5967"/>
      <c r="D5967"/>
      <c r="E5967" s="364"/>
      <c r="F5967"/>
    </row>
    <row r="5968" spans="1:6" x14ac:dyDescent="0.25">
      <c r="A5968" s="364"/>
      <c r="B5968"/>
      <c r="C5968"/>
      <c r="D5968"/>
      <c r="E5968" s="364"/>
      <c r="F5968"/>
    </row>
    <row r="5969" spans="1:6" x14ac:dyDescent="0.25">
      <c r="A5969" s="364"/>
      <c r="B5969"/>
      <c r="C5969"/>
      <c r="D5969"/>
      <c r="E5969" s="364"/>
      <c r="F5969"/>
    </row>
    <row r="5970" spans="1:6" x14ac:dyDescent="0.25">
      <c r="A5970" s="364"/>
      <c r="B5970"/>
      <c r="C5970"/>
      <c r="D5970"/>
      <c r="E5970" s="364"/>
      <c r="F5970"/>
    </row>
    <row r="5971" spans="1:6" x14ac:dyDescent="0.25">
      <c r="A5971" s="364"/>
      <c r="B5971"/>
      <c r="C5971"/>
      <c r="D5971"/>
      <c r="E5971" s="364"/>
      <c r="F5971"/>
    </row>
    <row r="5972" spans="1:6" x14ac:dyDescent="0.25">
      <c r="A5972" s="364"/>
      <c r="B5972"/>
      <c r="C5972"/>
      <c r="D5972"/>
      <c r="E5972" s="364"/>
      <c r="F5972"/>
    </row>
    <row r="5973" spans="1:6" x14ac:dyDescent="0.25">
      <c r="A5973" s="364"/>
      <c r="B5973"/>
      <c r="C5973"/>
      <c r="D5973"/>
      <c r="E5973" s="364"/>
      <c r="F5973"/>
    </row>
    <row r="5974" spans="1:6" x14ac:dyDescent="0.25">
      <c r="A5974" s="364"/>
      <c r="B5974"/>
      <c r="C5974"/>
      <c r="D5974"/>
      <c r="E5974" s="364"/>
      <c r="F5974"/>
    </row>
    <row r="5975" spans="1:6" x14ac:dyDescent="0.25">
      <c r="A5975" s="364"/>
      <c r="B5975"/>
      <c r="C5975"/>
      <c r="D5975"/>
      <c r="E5975" s="364"/>
      <c r="F5975"/>
    </row>
    <row r="5976" spans="1:6" x14ac:dyDescent="0.25">
      <c r="A5976" s="364"/>
      <c r="B5976"/>
      <c r="C5976"/>
      <c r="D5976"/>
      <c r="E5976" s="364"/>
      <c r="F5976"/>
    </row>
    <row r="5977" spans="1:6" x14ac:dyDescent="0.25">
      <c r="A5977" s="364"/>
      <c r="B5977"/>
      <c r="C5977"/>
      <c r="D5977"/>
      <c r="E5977" s="364"/>
      <c r="F5977"/>
    </row>
    <row r="5978" spans="1:6" x14ac:dyDescent="0.25">
      <c r="A5978" s="364"/>
      <c r="B5978"/>
      <c r="C5978"/>
      <c r="D5978"/>
      <c r="E5978" s="364"/>
      <c r="F5978"/>
    </row>
    <row r="5979" spans="1:6" x14ac:dyDescent="0.25">
      <c r="A5979" s="364"/>
      <c r="B5979"/>
      <c r="C5979"/>
      <c r="D5979"/>
      <c r="E5979" s="364"/>
      <c r="F5979"/>
    </row>
    <row r="5980" spans="1:6" x14ac:dyDescent="0.25">
      <c r="A5980" s="364"/>
      <c r="B5980"/>
      <c r="C5980"/>
      <c r="D5980"/>
      <c r="E5980" s="364"/>
      <c r="F5980"/>
    </row>
    <row r="5981" spans="1:6" x14ac:dyDescent="0.25">
      <c r="A5981" s="364"/>
      <c r="B5981"/>
      <c r="C5981"/>
      <c r="D5981"/>
      <c r="E5981" s="364"/>
      <c r="F5981"/>
    </row>
    <row r="5982" spans="1:6" x14ac:dyDescent="0.25">
      <c r="A5982" s="364"/>
      <c r="B5982"/>
      <c r="C5982"/>
      <c r="D5982"/>
      <c r="E5982" s="364"/>
      <c r="F5982"/>
    </row>
    <row r="5983" spans="1:6" x14ac:dyDescent="0.25">
      <c r="A5983" s="364"/>
      <c r="B5983"/>
      <c r="C5983"/>
      <c r="D5983"/>
      <c r="E5983" s="364"/>
      <c r="F5983"/>
    </row>
    <row r="5984" spans="1:6" x14ac:dyDescent="0.25">
      <c r="A5984" s="364"/>
      <c r="B5984"/>
      <c r="C5984"/>
      <c r="D5984"/>
      <c r="E5984" s="364"/>
      <c r="F5984"/>
    </row>
    <row r="5985" spans="1:6" x14ac:dyDescent="0.25">
      <c r="A5985" s="364"/>
      <c r="B5985"/>
      <c r="C5985"/>
      <c r="D5985"/>
      <c r="E5985" s="364"/>
      <c r="F5985"/>
    </row>
    <row r="5986" spans="1:6" x14ac:dyDescent="0.25">
      <c r="A5986" s="364"/>
      <c r="B5986"/>
      <c r="C5986"/>
      <c r="D5986"/>
      <c r="E5986" s="364"/>
      <c r="F5986"/>
    </row>
    <row r="5987" spans="1:6" x14ac:dyDescent="0.25">
      <c r="A5987" s="364"/>
      <c r="B5987"/>
      <c r="C5987"/>
      <c r="D5987"/>
      <c r="E5987" s="364"/>
      <c r="F5987"/>
    </row>
    <row r="5988" spans="1:6" x14ac:dyDescent="0.25">
      <c r="A5988" s="364"/>
      <c r="B5988"/>
      <c r="C5988"/>
      <c r="D5988"/>
      <c r="E5988" s="364"/>
      <c r="F5988"/>
    </row>
    <row r="5989" spans="1:6" x14ac:dyDescent="0.25">
      <c r="A5989" s="364"/>
      <c r="B5989"/>
      <c r="C5989"/>
      <c r="D5989"/>
      <c r="E5989" s="364"/>
      <c r="F5989"/>
    </row>
    <row r="5990" spans="1:6" x14ac:dyDescent="0.25">
      <c r="A5990" s="364"/>
      <c r="B5990"/>
      <c r="C5990"/>
      <c r="D5990"/>
      <c r="E5990" s="364"/>
      <c r="F5990"/>
    </row>
    <row r="5991" spans="1:6" x14ac:dyDescent="0.25">
      <c r="A5991" s="364"/>
      <c r="B5991"/>
      <c r="C5991"/>
      <c r="D5991"/>
      <c r="E5991" s="364"/>
      <c r="F5991"/>
    </row>
    <row r="5992" spans="1:6" x14ac:dyDescent="0.25">
      <c r="A5992" s="364"/>
      <c r="B5992"/>
      <c r="C5992"/>
      <c r="D5992"/>
      <c r="E5992" s="364"/>
      <c r="F5992"/>
    </row>
    <row r="5993" spans="1:6" x14ac:dyDescent="0.25">
      <c r="A5993" s="364"/>
      <c r="B5993"/>
      <c r="C5993"/>
      <c r="D5993"/>
      <c r="E5993" s="364"/>
      <c r="F5993"/>
    </row>
    <row r="5994" spans="1:6" x14ac:dyDescent="0.25">
      <c r="A5994" s="364"/>
      <c r="B5994"/>
      <c r="C5994"/>
      <c r="D5994"/>
      <c r="E5994" s="364"/>
      <c r="F5994"/>
    </row>
    <row r="5995" spans="1:6" x14ac:dyDescent="0.25">
      <c r="A5995" s="364"/>
      <c r="B5995"/>
      <c r="C5995"/>
      <c r="D5995"/>
      <c r="E5995" s="364"/>
      <c r="F5995"/>
    </row>
    <row r="5996" spans="1:6" x14ac:dyDescent="0.25">
      <c r="A5996" s="364"/>
      <c r="B5996"/>
      <c r="C5996"/>
      <c r="D5996"/>
      <c r="E5996" s="364"/>
      <c r="F5996"/>
    </row>
    <row r="5997" spans="1:6" x14ac:dyDescent="0.25">
      <c r="A5997" s="364"/>
      <c r="B5997"/>
      <c r="C5997"/>
      <c r="D5997"/>
      <c r="E5997" s="364"/>
      <c r="F5997"/>
    </row>
    <row r="5998" spans="1:6" x14ac:dyDescent="0.25">
      <c r="A5998" s="364"/>
      <c r="B5998"/>
      <c r="C5998"/>
      <c r="D5998"/>
      <c r="E5998" s="364"/>
      <c r="F5998"/>
    </row>
    <row r="5999" spans="1:6" x14ac:dyDescent="0.25">
      <c r="A5999" s="364"/>
      <c r="B5999"/>
      <c r="C5999"/>
      <c r="D5999"/>
      <c r="E5999" s="364"/>
      <c r="F5999"/>
    </row>
    <row r="6000" spans="1:6" x14ac:dyDescent="0.25">
      <c r="A6000" s="364"/>
      <c r="B6000"/>
      <c r="C6000"/>
      <c r="D6000"/>
      <c r="E6000" s="364"/>
      <c r="F6000"/>
    </row>
    <row r="6001" spans="1:6" x14ac:dyDescent="0.25">
      <c r="A6001" s="364"/>
      <c r="B6001"/>
      <c r="C6001"/>
      <c r="D6001"/>
      <c r="E6001" s="364"/>
      <c r="F6001"/>
    </row>
    <row r="6002" spans="1:6" x14ac:dyDescent="0.25">
      <c r="A6002" s="364"/>
      <c r="B6002"/>
      <c r="C6002"/>
      <c r="D6002"/>
      <c r="E6002" s="364"/>
      <c r="F6002"/>
    </row>
    <row r="6003" spans="1:6" x14ac:dyDescent="0.25">
      <c r="A6003" s="364"/>
      <c r="B6003"/>
      <c r="C6003"/>
      <c r="D6003"/>
      <c r="E6003" s="364"/>
      <c r="F6003"/>
    </row>
    <row r="6004" spans="1:6" x14ac:dyDescent="0.25">
      <c r="A6004" s="364"/>
      <c r="B6004"/>
      <c r="C6004"/>
      <c r="D6004"/>
      <c r="E6004" s="364"/>
      <c r="F6004"/>
    </row>
    <row r="6005" spans="1:6" x14ac:dyDescent="0.25">
      <c r="A6005" s="364"/>
      <c r="B6005"/>
      <c r="C6005"/>
      <c r="D6005"/>
      <c r="E6005" s="364"/>
      <c r="F6005"/>
    </row>
    <row r="6006" spans="1:6" x14ac:dyDescent="0.25">
      <c r="A6006" s="364"/>
      <c r="B6006"/>
      <c r="C6006"/>
      <c r="D6006"/>
      <c r="E6006" s="364"/>
      <c r="F6006"/>
    </row>
    <row r="6007" spans="1:6" x14ac:dyDescent="0.25">
      <c r="A6007" s="364"/>
      <c r="B6007"/>
      <c r="C6007"/>
      <c r="D6007"/>
      <c r="E6007" s="364"/>
      <c r="F6007"/>
    </row>
    <row r="6008" spans="1:6" x14ac:dyDescent="0.25">
      <c r="A6008" s="364"/>
      <c r="B6008"/>
      <c r="C6008"/>
      <c r="D6008"/>
      <c r="E6008" s="364"/>
      <c r="F6008"/>
    </row>
    <row r="6009" spans="1:6" x14ac:dyDescent="0.25">
      <c r="A6009" s="364"/>
      <c r="B6009"/>
      <c r="C6009"/>
      <c r="D6009"/>
      <c r="E6009" s="364"/>
      <c r="F6009"/>
    </row>
    <row r="6010" spans="1:6" x14ac:dyDescent="0.25">
      <c r="A6010" s="364"/>
      <c r="B6010"/>
      <c r="C6010"/>
      <c r="D6010"/>
      <c r="E6010" s="364"/>
      <c r="F6010"/>
    </row>
    <row r="6011" spans="1:6" x14ac:dyDescent="0.25">
      <c r="A6011" s="364"/>
      <c r="B6011"/>
      <c r="C6011"/>
      <c r="D6011"/>
      <c r="E6011" s="364"/>
      <c r="F6011"/>
    </row>
    <row r="6012" spans="1:6" x14ac:dyDescent="0.25">
      <c r="A6012" s="364"/>
      <c r="B6012"/>
      <c r="C6012"/>
      <c r="D6012"/>
      <c r="E6012" s="364"/>
      <c r="F6012"/>
    </row>
    <row r="6013" spans="1:6" x14ac:dyDescent="0.25">
      <c r="A6013" s="364"/>
      <c r="B6013"/>
      <c r="C6013"/>
      <c r="D6013"/>
      <c r="E6013" s="364"/>
      <c r="F6013"/>
    </row>
    <row r="6014" spans="1:6" x14ac:dyDescent="0.25">
      <c r="A6014" s="364"/>
      <c r="B6014"/>
      <c r="C6014"/>
      <c r="D6014"/>
      <c r="E6014" s="364"/>
      <c r="F6014"/>
    </row>
    <row r="6015" spans="1:6" x14ac:dyDescent="0.25">
      <c r="A6015" s="364"/>
      <c r="B6015"/>
      <c r="C6015"/>
      <c r="D6015"/>
      <c r="E6015" s="364"/>
      <c r="F6015"/>
    </row>
    <row r="6016" spans="1:6" x14ac:dyDescent="0.25">
      <c r="A6016" s="364"/>
      <c r="B6016"/>
      <c r="C6016"/>
      <c r="D6016"/>
      <c r="E6016" s="364"/>
      <c r="F6016"/>
    </row>
    <row r="6017" spans="1:6" x14ac:dyDescent="0.25">
      <c r="A6017" s="364"/>
      <c r="B6017"/>
      <c r="C6017"/>
      <c r="D6017"/>
      <c r="E6017" s="364"/>
      <c r="F6017"/>
    </row>
    <row r="6018" spans="1:6" x14ac:dyDescent="0.25">
      <c r="A6018" s="364"/>
      <c r="B6018"/>
      <c r="C6018"/>
      <c r="D6018"/>
      <c r="E6018" s="364"/>
      <c r="F6018"/>
    </row>
    <row r="6019" spans="1:6" x14ac:dyDescent="0.25">
      <c r="A6019" s="364"/>
      <c r="B6019"/>
      <c r="C6019"/>
      <c r="D6019"/>
      <c r="E6019" s="364"/>
      <c r="F6019"/>
    </row>
    <row r="6020" spans="1:6" x14ac:dyDescent="0.25">
      <c r="A6020" s="364"/>
      <c r="B6020"/>
      <c r="C6020"/>
      <c r="D6020"/>
      <c r="E6020" s="364"/>
      <c r="F6020"/>
    </row>
    <row r="6021" spans="1:6" x14ac:dyDescent="0.25">
      <c r="A6021" s="364"/>
      <c r="B6021"/>
      <c r="C6021"/>
      <c r="D6021"/>
      <c r="E6021" s="364"/>
      <c r="F6021"/>
    </row>
    <row r="6022" spans="1:6" x14ac:dyDescent="0.25">
      <c r="A6022" s="364"/>
      <c r="B6022"/>
      <c r="C6022"/>
      <c r="D6022"/>
      <c r="E6022" s="364"/>
      <c r="F6022"/>
    </row>
    <row r="6023" spans="1:6" x14ac:dyDescent="0.25">
      <c r="A6023" s="364"/>
      <c r="B6023"/>
      <c r="C6023"/>
      <c r="D6023"/>
      <c r="E6023" s="364"/>
      <c r="F6023"/>
    </row>
    <row r="6024" spans="1:6" x14ac:dyDescent="0.25">
      <c r="A6024" s="364"/>
      <c r="B6024"/>
      <c r="C6024"/>
      <c r="D6024"/>
      <c r="E6024" s="364"/>
      <c r="F6024"/>
    </row>
    <row r="6025" spans="1:6" x14ac:dyDescent="0.25">
      <c r="A6025" s="364"/>
      <c r="B6025"/>
      <c r="C6025"/>
      <c r="D6025"/>
      <c r="E6025" s="364"/>
      <c r="F6025"/>
    </row>
    <row r="6026" spans="1:6" x14ac:dyDescent="0.25">
      <c r="A6026" s="364"/>
      <c r="B6026"/>
      <c r="C6026"/>
      <c r="D6026"/>
      <c r="E6026" s="364"/>
      <c r="F6026"/>
    </row>
    <row r="6027" spans="1:6" x14ac:dyDescent="0.25">
      <c r="A6027" s="364"/>
      <c r="B6027"/>
      <c r="C6027"/>
      <c r="D6027"/>
      <c r="E6027" s="364"/>
      <c r="F6027"/>
    </row>
    <row r="6028" spans="1:6" x14ac:dyDescent="0.25">
      <c r="A6028" s="364"/>
      <c r="B6028"/>
      <c r="C6028"/>
      <c r="D6028"/>
      <c r="E6028" s="364"/>
      <c r="F6028"/>
    </row>
    <row r="6029" spans="1:6" x14ac:dyDescent="0.25">
      <c r="A6029" s="364"/>
      <c r="B6029"/>
      <c r="C6029"/>
      <c r="D6029"/>
      <c r="E6029" s="364"/>
      <c r="F6029"/>
    </row>
    <row r="6030" spans="1:6" x14ac:dyDescent="0.25">
      <c r="A6030" s="364"/>
      <c r="B6030"/>
      <c r="C6030"/>
      <c r="D6030"/>
      <c r="E6030" s="364"/>
      <c r="F6030"/>
    </row>
    <row r="6031" spans="1:6" x14ac:dyDescent="0.25">
      <c r="A6031" s="364"/>
      <c r="B6031"/>
      <c r="C6031"/>
      <c r="D6031"/>
      <c r="E6031" s="364"/>
      <c r="F6031"/>
    </row>
    <row r="6032" spans="1:6" x14ac:dyDescent="0.25">
      <c r="A6032" s="364"/>
      <c r="B6032"/>
      <c r="C6032"/>
      <c r="D6032"/>
      <c r="E6032" s="364"/>
      <c r="F6032"/>
    </row>
    <row r="6033" spans="1:6" x14ac:dyDescent="0.25">
      <c r="A6033" s="364"/>
      <c r="B6033"/>
      <c r="C6033"/>
      <c r="D6033"/>
      <c r="E6033" s="364"/>
      <c r="F6033"/>
    </row>
    <row r="6034" spans="1:6" x14ac:dyDescent="0.25">
      <c r="A6034" s="364"/>
      <c r="B6034"/>
      <c r="C6034"/>
      <c r="D6034"/>
      <c r="E6034" s="364"/>
      <c r="F6034"/>
    </row>
    <row r="6035" spans="1:6" x14ac:dyDescent="0.25">
      <c r="A6035" s="364"/>
      <c r="B6035"/>
      <c r="C6035"/>
      <c r="D6035"/>
      <c r="E6035" s="364"/>
      <c r="F6035"/>
    </row>
    <row r="6036" spans="1:6" x14ac:dyDescent="0.25">
      <c r="A6036" s="364"/>
      <c r="B6036"/>
      <c r="C6036"/>
      <c r="D6036"/>
      <c r="E6036" s="364"/>
      <c r="F6036"/>
    </row>
    <row r="6037" spans="1:6" x14ac:dyDescent="0.25">
      <c r="A6037" s="364"/>
      <c r="B6037"/>
      <c r="C6037"/>
      <c r="D6037"/>
      <c r="E6037" s="364"/>
      <c r="F6037"/>
    </row>
    <row r="6038" spans="1:6" x14ac:dyDescent="0.25">
      <c r="A6038" s="364"/>
      <c r="B6038"/>
      <c r="C6038"/>
      <c r="D6038"/>
      <c r="E6038" s="364"/>
      <c r="F6038"/>
    </row>
    <row r="6039" spans="1:6" x14ac:dyDescent="0.25">
      <c r="A6039" s="364"/>
      <c r="B6039"/>
      <c r="C6039"/>
      <c r="D6039"/>
      <c r="E6039" s="364"/>
      <c r="F6039"/>
    </row>
    <row r="6040" spans="1:6" x14ac:dyDescent="0.25">
      <c r="A6040" s="364"/>
      <c r="B6040"/>
      <c r="C6040"/>
      <c r="D6040"/>
      <c r="E6040" s="364"/>
      <c r="F6040"/>
    </row>
    <row r="6041" spans="1:6" x14ac:dyDescent="0.25">
      <c r="A6041" s="364"/>
      <c r="B6041"/>
      <c r="C6041"/>
      <c r="D6041"/>
      <c r="E6041" s="364"/>
      <c r="F6041"/>
    </row>
    <row r="6042" spans="1:6" x14ac:dyDescent="0.25">
      <c r="A6042" s="364"/>
      <c r="B6042"/>
      <c r="C6042"/>
      <c r="D6042"/>
      <c r="E6042" s="364"/>
      <c r="F6042"/>
    </row>
    <row r="6043" spans="1:6" x14ac:dyDescent="0.25">
      <c r="A6043" s="364"/>
      <c r="B6043"/>
      <c r="C6043"/>
      <c r="D6043"/>
      <c r="E6043" s="364"/>
      <c r="F6043"/>
    </row>
    <row r="6044" spans="1:6" x14ac:dyDescent="0.25">
      <c r="A6044" s="364"/>
      <c r="B6044"/>
      <c r="C6044"/>
      <c r="D6044"/>
      <c r="E6044" s="364"/>
      <c r="F6044"/>
    </row>
    <row r="6045" spans="1:6" x14ac:dyDescent="0.25">
      <c r="A6045" s="364"/>
      <c r="B6045"/>
      <c r="C6045"/>
      <c r="D6045"/>
      <c r="E6045" s="364"/>
      <c r="F6045"/>
    </row>
    <row r="6046" spans="1:6" x14ac:dyDescent="0.25">
      <c r="A6046" s="364"/>
      <c r="B6046"/>
      <c r="C6046"/>
      <c r="D6046"/>
      <c r="E6046" s="364"/>
      <c r="F6046"/>
    </row>
    <row r="6047" spans="1:6" x14ac:dyDescent="0.25">
      <c r="A6047" s="364"/>
      <c r="B6047"/>
      <c r="C6047"/>
      <c r="D6047"/>
      <c r="E6047" s="364"/>
      <c r="F6047"/>
    </row>
    <row r="6048" spans="1:6" x14ac:dyDescent="0.25">
      <c r="A6048" s="364"/>
      <c r="B6048"/>
      <c r="C6048"/>
      <c r="D6048"/>
      <c r="E6048" s="364"/>
      <c r="F6048"/>
    </row>
    <row r="6049" spans="1:6" x14ac:dyDescent="0.25">
      <c r="A6049" s="364"/>
      <c r="B6049"/>
      <c r="C6049"/>
      <c r="D6049"/>
      <c r="E6049" s="364"/>
      <c r="F6049"/>
    </row>
    <row r="6050" spans="1:6" x14ac:dyDescent="0.25">
      <c r="A6050" s="364"/>
      <c r="B6050"/>
      <c r="C6050"/>
      <c r="D6050"/>
      <c r="E6050" s="364"/>
      <c r="F6050"/>
    </row>
    <row r="6051" spans="1:6" x14ac:dyDescent="0.25">
      <c r="A6051" s="364"/>
      <c r="B6051"/>
      <c r="C6051"/>
      <c r="D6051"/>
      <c r="E6051" s="364"/>
      <c r="F6051"/>
    </row>
    <row r="6052" spans="1:6" x14ac:dyDescent="0.25">
      <c r="A6052" s="364"/>
      <c r="B6052"/>
      <c r="C6052"/>
      <c r="D6052"/>
      <c r="E6052" s="364"/>
      <c r="F6052"/>
    </row>
    <row r="6053" spans="1:6" x14ac:dyDescent="0.25">
      <c r="A6053" s="364"/>
      <c r="B6053"/>
      <c r="C6053"/>
      <c r="D6053"/>
      <c r="E6053" s="364"/>
      <c r="F6053"/>
    </row>
    <row r="6054" spans="1:6" x14ac:dyDescent="0.25">
      <c r="A6054" s="364"/>
      <c r="B6054"/>
      <c r="C6054"/>
      <c r="D6054"/>
      <c r="E6054" s="364"/>
      <c r="F6054"/>
    </row>
    <row r="6055" spans="1:6" x14ac:dyDescent="0.25">
      <c r="A6055" s="364"/>
      <c r="B6055"/>
      <c r="C6055"/>
      <c r="D6055"/>
      <c r="E6055" s="364"/>
      <c r="F6055"/>
    </row>
    <row r="6056" spans="1:6" x14ac:dyDescent="0.25">
      <c r="A6056" s="364"/>
      <c r="B6056"/>
      <c r="C6056"/>
      <c r="D6056"/>
      <c r="E6056" s="364"/>
      <c r="F6056"/>
    </row>
    <row r="6057" spans="1:6" x14ac:dyDescent="0.25">
      <c r="A6057" s="364"/>
      <c r="B6057"/>
      <c r="C6057"/>
      <c r="D6057"/>
      <c r="E6057" s="364"/>
      <c r="F6057"/>
    </row>
    <row r="6058" spans="1:6" x14ac:dyDescent="0.25">
      <c r="A6058" s="364"/>
      <c r="B6058"/>
      <c r="C6058"/>
      <c r="D6058"/>
      <c r="E6058" s="364"/>
      <c r="F6058"/>
    </row>
    <row r="6059" spans="1:6" x14ac:dyDescent="0.25">
      <c r="A6059" s="364"/>
      <c r="B6059"/>
      <c r="C6059"/>
      <c r="D6059"/>
      <c r="E6059" s="364"/>
      <c r="F6059"/>
    </row>
    <row r="6060" spans="1:6" x14ac:dyDescent="0.25">
      <c r="A6060" s="364"/>
      <c r="B6060"/>
      <c r="C6060"/>
      <c r="D6060"/>
      <c r="E6060" s="364"/>
      <c r="F6060"/>
    </row>
    <row r="6061" spans="1:6" x14ac:dyDescent="0.25">
      <c r="A6061" s="364"/>
      <c r="B6061"/>
      <c r="C6061"/>
      <c r="D6061"/>
      <c r="E6061" s="364"/>
      <c r="F6061"/>
    </row>
    <row r="6062" spans="1:6" x14ac:dyDescent="0.25">
      <c r="A6062" s="364"/>
      <c r="B6062"/>
      <c r="C6062"/>
      <c r="D6062"/>
      <c r="E6062" s="364"/>
      <c r="F6062"/>
    </row>
    <row r="6063" spans="1:6" x14ac:dyDescent="0.25">
      <c r="A6063" s="364"/>
      <c r="B6063"/>
      <c r="C6063"/>
      <c r="D6063"/>
      <c r="E6063" s="364"/>
      <c r="F6063"/>
    </row>
    <row r="6064" spans="1:6" x14ac:dyDescent="0.25">
      <c r="A6064" s="364"/>
      <c r="B6064"/>
      <c r="C6064"/>
      <c r="D6064"/>
      <c r="E6064" s="364"/>
      <c r="F6064"/>
    </row>
    <row r="6065" spans="1:6" x14ac:dyDescent="0.25">
      <c r="A6065" s="364"/>
      <c r="B6065"/>
      <c r="C6065"/>
      <c r="D6065"/>
      <c r="E6065" s="364"/>
      <c r="F6065"/>
    </row>
    <row r="6066" spans="1:6" x14ac:dyDescent="0.25">
      <c r="A6066" s="364"/>
      <c r="B6066"/>
      <c r="C6066"/>
      <c r="D6066"/>
      <c r="E6066" s="364"/>
      <c r="F6066"/>
    </row>
    <row r="6067" spans="1:6" x14ac:dyDescent="0.25">
      <c r="A6067" s="364"/>
      <c r="B6067"/>
      <c r="C6067"/>
      <c r="D6067"/>
      <c r="E6067" s="364"/>
      <c r="F6067"/>
    </row>
    <row r="6068" spans="1:6" x14ac:dyDescent="0.25">
      <c r="A6068" s="364"/>
      <c r="B6068"/>
      <c r="C6068"/>
      <c r="D6068"/>
      <c r="E6068" s="364"/>
      <c r="F6068"/>
    </row>
    <row r="6069" spans="1:6" x14ac:dyDescent="0.25">
      <c r="A6069" s="364"/>
      <c r="B6069"/>
      <c r="C6069"/>
      <c r="D6069"/>
      <c r="E6069" s="364"/>
      <c r="F6069"/>
    </row>
    <row r="6070" spans="1:6" x14ac:dyDescent="0.25">
      <c r="A6070" s="364"/>
      <c r="B6070"/>
      <c r="C6070"/>
      <c r="D6070"/>
      <c r="E6070" s="364"/>
      <c r="F6070"/>
    </row>
    <row r="6071" spans="1:6" x14ac:dyDescent="0.25">
      <c r="A6071" s="364"/>
      <c r="B6071"/>
      <c r="C6071"/>
      <c r="D6071"/>
      <c r="E6071" s="364"/>
      <c r="F6071"/>
    </row>
    <row r="6072" spans="1:6" x14ac:dyDescent="0.25">
      <c r="A6072" s="364"/>
      <c r="B6072"/>
      <c r="C6072"/>
      <c r="D6072"/>
      <c r="E6072" s="364"/>
      <c r="F6072"/>
    </row>
    <row r="6073" spans="1:6" x14ac:dyDescent="0.25">
      <c r="A6073" s="364"/>
      <c r="B6073"/>
      <c r="C6073"/>
      <c r="D6073"/>
      <c r="E6073" s="364"/>
      <c r="F6073"/>
    </row>
    <row r="6074" spans="1:6" x14ac:dyDescent="0.25">
      <c r="A6074" s="364"/>
      <c r="B6074"/>
      <c r="C6074"/>
      <c r="D6074"/>
      <c r="E6074" s="364"/>
      <c r="F6074"/>
    </row>
    <row r="6075" spans="1:6" x14ac:dyDescent="0.25">
      <c r="A6075" s="364"/>
      <c r="B6075"/>
      <c r="C6075"/>
      <c r="D6075"/>
      <c r="E6075" s="364"/>
      <c r="F6075"/>
    </row>
    <row r="6076" spans="1:6" x14ac:dyDescent="0.25">
      <c r="A6076" s="364"/>
      <c r="B6076"/>
      <c r="C6076"/>
      <c r="D6076"/>
      <c r="E6076" s="364"/>
      <c r="F6076"/>
    </row>
    <row r="6077" spans="1:6" x14ac:dyDescent="0.25">
      <c r="A6077" s="364"/>
      <c r="B6077"/>
      <c r="C6077"/>
      <c r="D6077"/>
      <c r="E6077" s="364"/>
      <c r="F6077"/>
    </row>
    <row r="6078" spans="1:6" x14ac:dyDescent="0.25">
      <c r="A6078" s="364"/>
      <c r="B6078"/>
      <c r="C6078"/>
      <c r="D6078"/>
      <c r="E6078" s="364"/>
      <c r="F6078"/>
    </row>
    <row r="6079" spans="1:6" x14ac:dyDescent="0.25">
      <c r="A6079" s="364"/>
      <c r="B6079"/>
      <c r="C6079"/>
      <c r="D6079"/>
      <c r="E6079" s="364"/>
      <c r="F6079"/>
    </row>
    <row r="6080" spans="1:6" x14ac:dyDescent="0.25">
      <c r="A6080" s="364"/>
      <c r="B6080"/>
      <c r="C6080"/>
      <c r="D6080"/>
      <c r="E6080" s="364"/>
      <c r="F6080"/>
    </row>
    <row r="6081" spans="1:6" x14ac:dyDescent="0.25">
      <c r="A6081" s="364"/>
      <c r="B6081"/>
      <c r="C6081"/>
      <c r="D6081"/>
      <c r="E6081" s="364"/>
      <c r="F6081"/>
    </row>
    <row r="6082" spans="1:6" x14ac:dyDescent="0.25">
      <c r="A6082" s="364"/>
      <c r="B6082"/>
      <c r="C6082"/>
      <c r="D6082"/>
      <c r="E6082" s="364"/>
      <c r="F6082"/>
    </row>
    <row r="6083" spans="1:6" x14ac:dyDescent="0.25">
      <c r="A6083" s="364"/>
      <c r="B6083"/>
      <c r="C6083"/>
      <c r="D6083"/>
      <c r="E6083" s="364"/>
      <c r="F6083"/>
    </row>
    <row r="6084" spans="1:6" x14ac:dyDescent="0.25">
      <c r="A6084" s="364"/>
      <c r="B6084"/>
      <c r="C6084"/>
      <c r="D6084"/>
      <c r="E6084" s="364"/>
      <c r="F6084"/>
    </row>
    <row r="6085" spans="1:6" x14ac:dyDescent="0.25">
      <c r="A6085" s="364"/>
      <c r="B6085"/>
      <c r="C6085"/>
      <c r="D6085"/>
      <c r="E6085" s="364"/>
      <c r="F6085"/>
    </row>
    <row r="6086" spans="1:6" x14ac:dyDescent="0.25">
      <c r="A6086" s="364"/>
      <c r="B6086"/>
      <c r="C6086"/>
      <c r="D6086"/>
      <c r="E6086" s="364"/>
      <c r="F6086"/>
    </row>
    <row r="6087" spans="1:6" x14ac:dyDescent="0.25">
      <c r="A6087" s="364"/>
      <c r="B6087"/>
      <c r="C6087"/>
      <c r="D6087"/>
      <c r="E6087" s="364"/>
      <c r="F6087"/>
    </row>
    <row r="6088" spans="1:6" x14ac:dyDescent="0.25">
      <c r="A6088" s="364"/>
      <c r="B6088"/>
      <c r="C6088"/>
      <c r="D6088"/>
      <c r="E6088" s="364"/>
      <c r="F6088"/>
    </row>
    <row r="6089" spans="1:6" x14ac:dyDescent="0.25">
      <c r="A6089" s="364"/>
      <c r="B6089"/>
      <c r="C6089"/>
      <c r="D6089"/>
      <c r="E6089" s="364"/>
      <c r="F6089"/>
    </row>
    <row r="6090" spans="1:6" x14ac:dyDescent="0.25">
      <c r="A6090" s="364"/>
      <c r="B6090"/>
      <c r="C6090"/>
      <c r="D6090"/>
      <c r="E6090" s="364"/>
      <c r="F6090"/>
    </row>
    <row r="6091" spans="1:6" x14ac:dyDescent="0.25">
      <c r="A6091" s="364"/>
      <c r="B6091"/>
      <c r="C6091"/>
      <c r="D6091"/>
      <c r="E6091" s="364"/>
      <c r="F6091"/>
    </row>
    <row r="6092" spans="1:6" x14ac:dyDescent="0.25">
      <c r="A6092" s="364"/>
      <c r="B6092"/>
      <c r="C6092"/>
      <c r="D6092"/>
      <c r="E6092" s="364"/>
      <c r="F6092"/>
    </row>
    <row r="6093" spans="1:6" x14ac:dyDescent="0.25">
      <c r="A6093" s="364"/>
      <c r="B6093"/>
      <c r="C6093"/>
      <c r="D6093"/>
      <c r="E6093" s="364"/>
      <c r="F6093"/>
    </row>
    <row r="6094" spans="1:6" x14ac:dyDescent="0.25">
      <c r="A6094" s="364"/>
      <c r="B6094"/>
      <c r="C6094"/>
      <c r="D6094"/>
      <c r="E6094" s="364"/>
      <c r="F6094"/>
    </row>
    <row r="6095" spans="1:6" x14ac:dyDescent="0.25">
      <c r="A6095" s="364"/>
      <c r="B6095"/>
      <c r="C6095"/>
      <c r="D6095"/>
      <c r="E6095" s="364"/>
      <c r="F6095"/>
    </row>
    <row r="6096" spans="1:6" x14ac:dyDescent="0.25">
      <c r="A6096" s="364"/>
      <c r="B6096"/>
      <c r="C6096"/>
      <c r="D6096"/>
      <c r="E6096" s="364"/>
      <c r="F6096"/>
    </row>
    <row r="6097" spans="1:6" x14ac:dyDescent="0.25">
      <c r="A6097" s="364"/>
      <c r="B6097"/>
      <c r="C6097"/>
      <c r="D6097"/>
      <c r="E6097" s="364"/>
      <c r="F6097"/>
    </row>
    <row r="6098" spans="1:6" x14ac:dyDescent="0.25">
      <c r="A6098" s="364"/>
      <c r="B6098"/>
      <c r="C6098"/>
      <c r="D6098"/>
      <c r="E6098" s="364"/>
      <c r="F6098"/>
    </row>
    <row r="6099" spans="1:6" x14ac:dyDescent="0.25">
      <c r="A6099" s="364"/>
      <c r="B6099"/>
      <c r="C6099"/>
      <c r="D6099"/>
      <c r="E6099" s="364"/>
      <c r="F6099"/>
    </row>
    <row r="6100" spans="1:6" x14ac:dyDescent="0.25">
      <c r="A6100" s="364"/>
      <c r="B6100"/>
      <c r="C6100"/>
      <c r="D6100"/>
      <c r="E6100" s="364"/>
      <c r="F6100"/>
    </row>
    <row r="6101" spans="1:6" x14ac:dyDescent="0.25">
      <c r="A6101" s="364"/>
      <c r="B6101"/>
      <c r="C6101"/>
      <c r="D6101"/>
      <c r="E6101" s="364"/>
      <c r="F6101"/>
    </row>
    <row r="6102" spans="1:6" x14ac:dyDescent="0.25">
      <c r="A6102" s="364"/>
      <c r="B6102"/>
      <c r="C6102"/>
      <c r="D6102"/>
      <c r="E6102" s="364"/>
      <c r="F6102"/>
    </row>
    <row r="6103" spans="1:6" x14ac:dyDescent="0.25">
      <c r="A6103" s="364"/>
      <c r="B6103"/>
      <c r="C6103"/>
      <c r="D6103"/>
      <c r="E6103" s="364"/>
      <c r="F6103"/>
    </row>
    <row r="6104" spans="1:6" x14ac:dyDescent="0.25">
      <c r="A6104" s="364"/>
      <c r="B6104"/>
      <c r="C6104"/>
      <c r="D6104"/>
      <c r="E6104" s="364"/>
      <c r="F6104"/>
    </row>
    <row r="6105" spans="1:6" x14ac:dyDescent="0.25">
      <c r="A6105" s="364"/>
      <c r="B6105"/>
      <c r="C6105"/>
      <c r="D6105"/>
      <c r="E6105" s="364"/>
      <c r="F6105"/>
    </row>
    <row r="6106" spans="1:6" x14ac:dyDescent="0.25">
      <c r="A6106" s="364"/>
      <c r="B6106"/>
      <c r="C6106"/>
      <c r="D6106"/>
      <c r="E6106" s="364"/>
      <c r="F6106"/>
    </row>
    <row r="6107" spans="1:6" x14ac:dyDescent="0.25">
      <c r="A6107" s="364"/>
      <c r="B6107"/>
      <c r="C6107"/>
      <c r="D6107"/>
      <c r="E6107" s="364"/>
      <c r="F6107"/>
    </row>
    <row r="6108" spans="1:6" x14ac:dyDescent="0.25">
      <c r="A6108" s="364"/>
      <c r="B6108"/>
      <c r="C6108"/>
      <c r="D6108"/>
      <c r="E6108" s="364"/>
      <c r="F6108"/>
    </row>
    <row r="6109" spans="1:6" x14ac:dyDescent="0.25">
      <c r="A6109" s="364"/>
      <c r="B6109"/>
      <c r="C6109"/>
      <c r="D6109"/>
      <c r="E6109" s="364"/>
      <c r="F6109"/>
    </row>
    <row r="6110" spans="1:6" x14ac:dyDescent="0.25">
      <c r="A6110" s="364"/>
      <c r="B6110"/>
      <c r="C6110"/>
      <c r="D6110"/>
      <c r="E6110" s="364"/>
      <c r="F6110"/>
    </row>
    <row r="6111" spans="1:6" x14ac:dyDescent="0.25">
      <c r="A6111" s="364"/>
      <c r="B6111"/>
      <c r="C6111"/>
      <c r="D6111"/>
      <c r="E6111" s="364"/>
      <c r="F6111"/>
    </row>
    <row r="6112" spans="1:6" x14ac:dyDescent="0.25">
      <c r="A6112" s="364"/>
      <c r="B6112"/>
      <c r="C6112"/>
      <c r="D6112"/>
      <c r="E6112" s="364"/>
      <c r="F6112"/>
    </row>
    <row r="6113" spans="1:6" x14ac:dyDescent="0.25">
      <c r="A6113" s="364"/>
      <c r="B6113"/>
      <c r="C6113"/>
      <c r="D6113"/>
      <c r="E6113" s="364"/>
      <c r="F6113"/>
    </row>
    <row r="6114" spans="1:6" x14ac:dyDescent="0.25">
      <c r="A6114" s="364"/>
      <c r="B6114"/>
      <c r="C6114"/>
      <c r="D6114"/>
      <c r="E6114" s="364"/>
      <c r="F6114"/>
    </row>
    <row r="6115" spans="1:6" x14ac:dyDescent="0.25">
      <c r="A6115" s="364"/>
      <c r="B6115"/>
      <c r="C6115"/>
      <c r="D6115"/>
      <c r="E6115" s="364"/>
      <c r="F6115"/>
    </row>
    <row r="6116" spans="1:6" x14ac:dyDescent="0.25">
      <c r="A6116" s="364"/>
      <c r="B6116"/>
      <c r="C6116"/>
      <c r="D6116"/>
      <c r="E6116" s="364"/>
      <c r="F6116"/>
    </row>
    <row r="6117" spans="1:6" x14ac:dyDescent="0.25">
      <c r="A6117" s="364"/>
      <c r="B6117"/>
      <c r="C6117"/>
      <c r="D6117"/>
      <c r="E6117" s="364"/>
      <c r="F6117"/>
    </row>
    <row r="6118" spans="1:6" x14ac:dyDescent="0.25">
      <c r="A6118" s="364"/>
      <c r="B6118"/>
      <c r="C6118"/>
      <c r="D6118"/>
      <c r="E6118" s="364"/>
      <c r="F6118"/>
    </row>
    <row r="6119" spans="1:6" x14ac:dyDescent="0.25">
      <c r="A6119" s="364"/>
      <c r="B6119"/>
      <c r="C6119"/>
      <c r="D6119"/>
      <c r="E6119" s="364"/>
      <c r="F6119"/>
    </row>
    <row r="6120" spans="1:6" x14ac:dyDescent="0.25">
      <c r="A6120" s="364"/>
      <c r="B6120"/>
      <c r="C6120"/>
      <c r="D6120"/>
      <c r="E6120" s="364"/>
      <c r="F6120"/>
    </row>
    <row r="6121" spans="1:6" x14ac:dyDescent="0.25">
      <c r="A6121" s="364"/>
      <c r="B6121"/>
      <c r="C6121"/>
      <c r="D6121"/>
      <c r="E6121" s="364"/>
      <c r="F6121"/>
    </row>
    <row r="6122" spans="1:6" x14ac:dyDescent="0.25">
      <c r="A6122" s="364"/>
      <c r="B6122"/>
      <c r="C6122"/>
      <c r="D6122"/>
      <c r="E6122" s="364"/>
      <c r="F6122"/>
    </row>
    <row r="6123" spans="1:6" x14ac:dyDescent="0.25">
      <c r="A6123" s="364"/>
      <c r="B6123"/>
      <c r="C6123"/>
      <c r="D6123"/>
      <c r="E6123" s="364"/>
      <c r="F6123"/>
    </row>
    <row r="6124" spans="1:6" x14ac:dyDescent="0.25">
      <c r="A6124" s="364"/>
      <c r="B6124"/>
      <c r="C6124"/>
      <c r="D6124"/>
      <c r="E6124" s="364"/>
      <c r="F6124"/>
    </row>
    <row r="6125" spans="1:6" x14ac:dyDescent="0.25">
      <c r="A6125" s="364"/>
      <c r="B6125"/>
      <c r="C6125"/>
      <c r="D6125"/>
      <c r="E6125" s="364"/>
      <c r="F6125"/>
    </row>
    <row r="6126" spans="1:6" x14ac:dyDescent="0.25">
      <c r="A6126" s="364"/>
      <c r="B6126"/>
      <c r="C6126"/>
      <c r="D6126"/>
      <c r="E6126" s="364"/>
      <c r="F6126"/>
    </row>
    <row r="6127" spans="1:6" x14ac:dyDescent="0.25">
      <c r="A6127" s="364"/>
      <c r="B6127"/>
      <c r="C6127"/>
      <c r="D6127"/>
      <c r="E6127" s="364"/>
      <c r="F6127"/>
    </row>
    <row r="6128" spans="1:6" x14ac:dyDescent="0.25">
      <c r="A6128" s="364"/>
      <c r="B6128"/>
      <c r="C6128"/>
      <c r="D6128"/>
      <c r="E6128" s="364"/>
      <c r="F6128"/>
    </row>
    <row r="6129" spans="1:6" x14ac:dyDescent="0.25">
      <c r="A6129" s="364"/>
      <c r="B6129"/>
      <c r="C6129"/>
      <c r="D6129"/>
      <c r="E6129" s="364"/>
      <c r="F6129"/>
    </row>
    <row r="6130" spans="1:6" x14ac:dyDescent="0.25">
      <c r="A6130" s="364"/>
      <c r="B6130"/>
      <c r="C6130"/>
      <c r="D6130"/>
      <c r="E6130" s="364"/>
      <c r="F6130"/>
    </row>
    <row r="6131" spans="1:6" x14ac:dyDescent="0.25">
      <c r="A6131" s="364"/>
      <c r="B6131"/>
      <c r="C6131"/>
      <c r="D6131"/>
      <c r="E6131" s="364"/>
      <c r="F6131"/>
    </row>
    <row r="6132" spans="1:6" x14ac:dyDescent="0.25">
      <c r="A6132" s="364"/>
      <c r="B6132"/>
      <c r="C6132"/>
      <c r="D6132"/>
      <c r="E6132" s="364"/>
      <c r="F6132"/>
    </row>
    <row r="6133" spans="1:6" x14ac:dyDescent="0.25">
      <c r="A6133" s="364"/>
      <c r="B6133"/>
      <c r="C6133"/>
      <c r="D6133"/>
      <c r="E6133" s="364"/>
      <c r="F6133"/>
    </row>
    <row r="6134" spans="1:6" x14ac:dyDescent="0.25">
      <c r="A6134" s="364"/>
      <c r="B6134"/>
      <c r="C6134"/>
      <c r="D6134"/>
      <c r="E6134" s="364"/>
      <c r="F6134"/>
    </row>
    <row r="6135" spans="1:6" x14ac:dyDescent="0.25">
      <c r="A6135" s="364"/>
      <c r="B6135"/>
      <c r="C6135"/>
      <c r="D6135"/>
      <c r="E6135" s="364"/>
      <c r="F6135"/>
    </row>
    <row r="6136" spans="1:6" x14ac:dyDescent="0.25">
      <c r="A6136" s="364"/>
      <c r="B6136"/>
      <c r="C6136"/>
      <c r="D6136"/>
      <c r="E6136" s="364"/>
      <c r="F6136"/>
    </row>
    <row r="6137" spans="1:6" x14ac:dyDescent="0.25">
      <c r="A6137" s="364"/>
      <c r="B6137"/>
      <c r="C6137"/>
      <c r="D6137"/>
      <c r="E6137" s="364"/>
      <c r="F6137"/>
    </row>
    <row r="6138" spans="1:6" x14ac:dyDescent="0.25">
      <c r="A6138" s="364"/>
      <c r="B6138"/>
      <c r="C6138"/>
      <c r="D6138"/>
      <c r="E6138" s="364"/>
      <c r="F6138"/>
    </row>
    <row r="6139" spans="1:6" x14ac:dyDescent="0.25">
      <c r="A6139" s="364"/>
      <c r="B6139"/>
      <c r="C6139"/>
      <c r="D6139"/>
      <c r="E6139" s="364"/>
      <c r="F6139"/>
    </row>
    <row r="6140" spans="1:6" x14ac:dyDescent="0.25">
      <c r="A6140" s="364"/>
      <c r="B6140"/>
      <c r="C6140"/>
      <c r="D6140"/>
      <c r="E6140" s="364"/>
      <c r="F6140"/>
    </row>
    <row r="6141" spans="1:6" x14ac:dyDescent="0.25">
      <c r="A6141" s="364"/>
      <c r="B6141"/>
      <c r="C6141"/>
      <c r="D6141"/>
      <c r="E6141" s="364"/>
      <c r="F6141"/>
    </row>
    <row r="6142" spans="1:6" x14ac:dyDescent="0.25">
      <c r="A6142" s="364"/>
      <c r="B6142"/>
      <c r="C6142"/>
      <c r="D6142"/>
      <c r="E6142" s="364"/>
      <c r="F6142"/>
    </row>
    <row r="6143" spans="1:6" x14ac:dyDescent="0.25">
      <c r="A6143" s="364"/>
      <c r="B6143"/>
      <c r="C6143"/>
      <c r="D6143"/>
      <c r="E6143" s="364"/>
      <c r="F6143"/>
    </row>
    <row r="6144" spans="1:6" x14ac:dyDescent="0.25">
      <c r="A6144" s="364"/>
      <c r="B6144"/>
      <c r="C6144"/>
      <c r="D6144"/>
      <c r="E6144" s="364"/>
      <c r="F6144"/>
    </row>
    <row r="6145" spans="1:6" x14ac:dyDescent="0.25">
      <c r="A6145" s="364"/>
      <c r="B6145"/>
      <c r="C6145"/>
      <c r="D6145"/>
      <c r="E6145" s="364"/>
      <c r="F6145"/>
    </row>
    <row r="6146" spans="1:6" x14ac:dyDescent="0.25">
      <c r="A6146" s="364"/>
      <c r="B6146"/>
      <c r="C6146"/>
      <c r="D6146"/>
      <c r="E6146" s="364"/>
      <c r="F6146"/>
    </row>
    <row r="6147" spans="1:6" x14ac:dyDescent="0.25">
      <c r="A6147" s="364"/>
      <c r="B6147"/>
      <c r="C6147"/>
      <c r="D6147"/>
      <c r="E6147" s="364"/>
      <c r="F6147"/>
    </row>
    <row r="6148" spans="1:6" x14ac:dyDescent="0.25">
      <c r="A6148" s="364"/>
      <c r="B6148"/>
      <c r="C6148"/>
      <c r="D6148"/>
      <c r="E6148" s="364"/>
      <c r="F6148"/>
    </row>
    <row r="6149" spans="1:6" x14ac:dyDescent="0.25">
      <c r="A6149" s="364"/>
      <c r="B6149"/>
      <c r="C6149"/>
      <c r="D6149"/>
      <c r="E6149" s="364"/>
      <c r="F6149"/>
    </row>
    <row r="6150" spans="1:6" x14ac:dyDescent="0.25">
      <c r="A6150" s="364"/>
      <c r="B6150"/>
      <c r="C6150"/>
      <c r="D6150"/>
      <c r="E6150" s="364"/>
      <c r="F6150"/>
    </row>
    <row r="6151" spans="1:6" x14ac:dyDescent="0.25">
      <c r="A6151" s="364"/>
      <c r="B6151"/>
      <c r="C6151"/>
      <c r="D6151"/>
      <c r="E6151" s="364"/>
      <c r="F6151"/>
    </row>
    <row r="6152" spans="1:6" x14ac:dyDescent="0.25">
      <c r="A6152" s="364"/>
      <c r="B6152"/>
      <c r="C6152"/>
      <c r="D6152"/>
      <c r="E6152" s="364"/>
      <c r="F6152"/>
    </row>
    <row r="6153" spans="1:6" x14ac:dyDescent="0.25">
      <c r="A6153" s="364"/>
      <c r="B6153"/>
      <c r="C6153"/>
      <c r="D6153"/>
      <c r="E6153" s="364"/>
      <c r="F6153"/>
    </row>
    <row r="6154" spans="1:6" x14ac:dyDescent="0.25">
      <c r="A6154" s="364"/>
      <c r="B6154"/>
      <c r="C6154"/>
      <c r="D6154"/>
      <c r="E6154" s="364"/>
      <c r="F6154"/>
    </row>
    <row r="6155" spans="1:6" x14ac:dyDescent="0.25">
      <c r="A6155" s="364"/>
      <c r="B6155"/>
      <c r="C6155"/>
      <c r="D6155"/>
      <c r="E6155" s="364"/>
      <c r="F6155"/>
    </row>
    <row r="6156" spans="1:6" x14ac:dyDescent="0.25">
      <c r="A6156" s="364"/>
      <c r="B6156"/>
      <c r="C6156"/>
      <c r="D6156"/>
      <c r="E6156" s="364"/>
      <c r="F6156"/>
    </row>
    <row r="6157" spans="1:6" x14ac:dyDescent="0.25">
      <c r="A6157" s="364"/>
      <c r="B6157"/>
      <c r="C6157"/>
      <c r="D6157"/>
      <c r="E6157" s="364"/>
      <c r="F6157"/>
    </row>
    <row r="6158" spans="1:6" x14ac:dyDescent="0.25">
      <c r="A6158" s="364"/>
      <c r="B6158"/>
      <c r="C6158"/>
      <c r="D6158"/>
      <c r="E6158" s="364"/>
      <c r="F6158"/>
    </row>
    <row r="6159" spans="1:6" x14ac:dyDescent="0.25">
      <c r="A6159" s="364"/>
      <c r="B6159"/>
      <c r="C6159"/>
      <c r="D6159"/>
      <c r="E6159" s="364"/>
      <c r="F6159"/>
    </row>
    <row r="6160" spans="1:6" x14ac:dyDescent="0.25">
      <c r="A6160" s="364"/>
      <c r="B6160"/>
      <c r="C6160"/>
      <c r="D6160"/>
      <c r="E6160" s="364"/>
      <c r="F6160"/>
    </row>
    <row r="6161" spans="1:6" x14ac:dyDescent="0.25">
      <c r="A6161" s="364"/>
      <c r="B6161"/>
      <c r="C6161"/>
      <c r="D6161"/>
      <c r="E6161" s="364"/>
      <c r="F6161"/>
    </row>
    <row r="6162" spans="1:6" x14ac:dyDescent="0.25">
      <c r="A6162" s="364"/>
      <c r="B6162"/>
      <c r="C6162"/>
      <c r="D6162"/>
      <c r="E6162" s="364"/>
      <c r="F6162"/>
    </row>
    <row r="6163" spans="1:6" x14ac:dyDescent="0.25">
      <c r="A6163" s="364"/>
      <c r="B6163"/>
      <c r="C6163"/>
      <c r="D6163"/>
      <c r="E6163" s="364"/>
      <c r="F6163"/>
    </row>
    <row r="6164" spans="1:6" x14ac:dyDescent="0.25">
      <c r="A6164" s="364"/>
      <c r="B6164"/>
      <c r="C6164"/>
      <c r="D6164"/>
      <c r="E6164" s="364"/>
      <c r="F6164"/>
    </row>
    <row r="6165" spans="1:6" x14ac:dyDescent="0.25">
      <c r="A6165" s="364"/>
      <c r="B6165"/>
      <c r="C6165"/>
      <c r="D6165"/>
      <c r="E6165" s="364"/>
      <c r="F6165"/>
    </row>
    <row r="6166" spans="1:6" x14ac:dyDescent="0.25">
      <c r="A6166" s="364"/>
      <c r="B6166"/>
      <c r="C6166"/>
      <c r="D6166"/>
      <c r="E6166" s="364"/>
      <c r="F6166"/>
    </row>
    <row r="6167" spans="1:6" x14ac:dyDescent="0.25">
      <c r="A6167" s="364"/>
      <c r="B6167"/>
      <c r="C6167"/>
      <c r="D6167"/>
      <c r="E6167" s="364"/>
      <c r="F6167"/>
    </row>
    <row r="6168" spans="1:6" x14ac:dyDescent="0.25">
      <c r="A6168" s="364"/>
      <c r="B6168"/>
      <c r="C6168"/>
      <c r="D6168"/>
      <c r="E6168" s="364"/>
      <c r="F6168"/>
    </row>
    <row r="6169" spans="1:6" x14ac:dyDescent="0.25">
      <c r="A6169" s="364"/>
      <c r="B6169"/>
      <c r="C6169"/>
      <c r="D6169"/>
      <c r="E6169" s="364"/>
      <c r="F6169"/>
    </row>
    <row r="6170" spans="1:6" x14ac:dyDescent="0.25">
      <c r="A6170" s="364"/>
      <c r="B6170"/>
      <c r="C6170"/>
      <c r="D6170"/>
      <c r="E6170" s="364"/>
      <c r="F6170"/>
    </row>
    <row r="6171" spans="1:6" x14ac:dyDescent="0.25">
      <c r="A6171" s="364"/>
      <c r="B6171"/>
      <c r="C6171"/>
      <c r="D6171"/>
      <c r="E6171" s="364"/>
      <c r="F6171"/>
    </row>
    <row r="6172" spans="1:6" x14ac:dyDescent="0.25">
      <c r="A6172" s="364"/>
      <c r="B6172"/>
      <c r="C6172"/>
      <c r="D6172"/>
      <c r="E6172" s="364"/>
      <c r="F6172"/>
    </row>
    <row r="6173" spans="1:6" x14ac:dyDescent="0.25">
      <c r="A6173" s="364"/>
      <c r="B6173"/>
      <c r="C6173"/>
      <c r="D6173"/>
      <c r="E6173" s="364"/>
      <c r="F6173"/>
    </row>
    <row r="6174" spans="1:6" x14ac:dyDescent="0.25">
      <c r="A6174" s="364"/>
      <c r="B6174"/>
      <c r="C6174"/>
      <c r="D6174"/>
      <c r="E6174" s="364"/>
      <c r="F6174"/>
    </row>
    <row r="6175" spans="1:6" x14ac:dyDescent="0.25">
      <c r="A6175" s="364"/>
      <c r="B6175"/>
      <c r="C6175"/>
      <c r="D6175"/>
      <c r="E6175" s="364"/>
      <c r="F6175"/>
    </row>
    <row r="6176" spans="1:6" x14ac:dyDescent="0.25">
      <c r="A6176" s="364"/>
      <c r="B6176"/>
      <c r="C6176"/>
      <c r="D6176"/>
      <c r="E6176" s="364"/>
      <c r="F6176"/>
    </row>
    <row r="6177" spans="1:6" x14ac:dyDescent="0.25">
      <c r="A6177" s="364"/>
      <c r="B6177"/>
      <c r="C6177"/>
      <c r="D6177"/>
      <c r="E6177" s="364"/>
      <c r="F6177"/>
    </row>
    <row r="6178" spans="1:6" x14ac:dyDescent="0.25">
      <c r="A6178" s="364"/>
      <c r="B6178"/>
      <c r="C6178"/>
      <c r="D6178"/>
      <c r="E6178" s="364"/>
      <c r="F6178"/>
    </row>
    <row r="6179" spans="1:6" x14ac:dyDescent="0.25">
      <c r="A6179" s="364"/>
      <c r="B6179"/>
      <c r="C6179"/>
      <c r="D6179"/>
      <c r="E6179" s="364"/>
      <c r="F6179"/>
    </row>
    <row r="6180" spans="1:6" x14ac:dyDescent="0.25">
      <c r="A6180" s="364"/>
      <c r="B6180"/>
      <c r="C6180"/>
      <c r="D6180"/>
      <c r="E6180" s="364"/>
      <c r="F6180"/>
    </row>
    <row r="6181" spans="1:6" x14ac:dyDescent="0.25">
      <c r="A6181" s="364"/>
      <c r="B6181"/>
      <c r="C6181"/>
      <c r="D6181"/>
      <c r="E6181" s="364"/>
      <c r="F6181"/>
    </row>
    <row r="6182" spans="1:6" x14ac:dyDescent="0.25">
      <c r="A6182" s="364"/>
      <c r="B6182"/>
      <c r="C6182"/>
      <c r="D6182"/>
      <c r="E6182" s="364"/>
      <c r="F6182"/>
    </row>
    <row r="6183" spans="1:6" x14ac:dyDescent="0.25">
      <c r="A6183" s="364"/>
      <c r="B6183"/>
      <c r="C6183"/>
      <c r="D6183"/>
      <c r="E6183" s="364"/>
      <c r="F6183"/>
    </row>
    <row r="6184" spans="1:6" x14ac:dyDescent="0.25">
      <c r="A6184" s="364"/>
      <c r="B6184"/>
      <c r="C6184"/>
      <c r="D6184"/>
      <c r="E6184" s="364"/>
      <c r="F6184"/>
    </row>
    <row r="6185" spans="1:6" x14ac:dyDescent="0.25">
      <c r="A6185" s="364"/>
      <c r="B6185"/>
      <c r="C6185"/>
      <c r="D6185"/>
      <c r="E6185" s="364"/>
      <c r="F6185"/>
    </row>
    <row r="6186" spans="1:6" x14ac:dyDescent="0.25">
      <c r="A6186" s="364"/>
      <c r="B6186"/>
      <c r="C6186"/>
      <c r="D6186"/>
      <c r="E6186" s="364"/>
      <c r="F6186"/>
    </row>
    <row r="6187" spans="1:6" x14ac:dyDescent="0.25">
      <c r="A6187" s="364"/>
      <c r="B6187"/>
      <c r="C6187"/>
      <c r="D6187"/>
      <c r="E6187" s="364"/>
      <c r="F6187"/>
    </row>
    <row r="6188" spans="1:6" x14ac:dyDescent="0.25">
      <c r="A6188" s="364"/>
      <c r="B6188"/>
      <c r="C6188"/>
      <c r="D6188"/>
      <c r="E6188" s="364"/>
      <c r="F6188"/>
    </row>
    <row r="6189" spans="1:6" x14ac:dyDescent="0.25">
      <c r="A6189" s="364"/>
      <c r="B6189"/>
      <c r="C6189"/>
      <c r="D6189"/>
      <c r="E6189" s="364"/>
      <c r="F6189"/>
    </row>
    <row r="6190" spans="1:6" x14ac:dyDescent="0.25">
      <c r="A6190" s="364"/>
      <c r="B6190"/>
      <c r="C6190"/>
      <c r="D6190"/>
      <c r="E6190" s="364"/>
      <c r="F6190"/>
    </row>
    <row r="6191" spans="1:6" x14ac:dyDescent="0.25">
      <c r="A6191" s="364"/>
      <c r="B6191"/>
      <c r="C6191"/>
      <c r="D6191"/>
      <c r="E6191" s="364"/>
      <c r="F6191"/>
    </row>
    <row r="6192" spans="1:6" x14ac:dyDescent="0.25">
      <c r="A6192" s="364"/>
      <c r="B6192"/>
      <c r="C6192"/>
      <c r="D6192"/>
      <c r="E6192" s="364"/>
      <c r="F6192"/>
    </row>
    <row r="6193" spans="1:6" x14ac:dyDescent="0.25">
      <c r="A6193" s="364"/>
      <c r="B6193"/>
      <c r="C6193"/>
      <c r="D6193"/>
      <c r="E6193" s="364"/>
      <c r="F6193"/>
    </row>
    <row r="6194" spans="1:6" x14ac:dyDescent="0.25">
      <c r="A6194" s="364"/>
      <c r="B6194"/>
      <c r="C6194"/>
      <c r="D6194"/>
      <c r="E6194" s="364"/>
      <c r="F6194"/>
    </row>
    <row r="6195" spans="1:6" x14ac:dyDescent="0.25">
      <c r="A6195" s="364"/>
      <c r="B6195"/>
      <c r="C6195"/>
      <c r="D6195"/>
      <c r="E6195" s="364"/>
      <c r="F6195"/>
    </row>
    <row r="6196" spans="1:6" x14ac:dyDescent="0.25">
      <c r="A6196" s="364"/>
      <c r="B6196"/>
      <c r="C6196"/>
      <c r="D6196"/>
      <c r="E6196" s="364"/>
      <c r="F6196"/>
    </row>
    <row r="6197" spans="1:6" x14ac:dyDescent="0.25">
      <c r="A6197" s="364"/>
      <c r="B6197"/>
      <c r="C6197"/>
      <c r="D6197"/>
      <c r="E6197" s="364"/>
      <c r="F6197"/>
    </row>
    <row r="6198" spans="1:6" x14ac:dyDescent="0.25">
      <c r="A6198" s="364"/>
      <c r="B6198"/>
      <c r="C6198"/>
      <c r="D6198"/>
      <c r="E6198" s="364"/>
      <c r="F6198"/>
    </row>
    <row r="6199" spans="1:6" x14ac:dyDescent="0.25">
      <c r="A6199" s="364"/>
      <c r="B6199"/>
      <c r="C6199"/>
      <c r="D6199"/>
      <c r="E6199" s="364"/>
      <c r="F6199"/>
    </row>
    <row r="6200" spans="1:6" x14ac:dyDescent="0.25">
      <c r="A6200" s="364"/>
      <c r="B6200"/>
      <c r="C6200"/>
      <c r="D6200"/>
      <c r="E6200" s="364"/>
      <c r="F6200"/>
    </row>
    <row r="6201" spans="1:6" x14ac:dyDescent="0.25">
      <c r="A6201" s="364"/>
      <c r="B6201"/>
      <c r="C6201"/>
      <c r="D6201"/>
      <c r="E6201" s="364"/>
      <c r="F6201"/>
    </row>
    <row r="6202" spans="1:6" x14ac:dyDescent="0.25">
      <c r="A6202" s="364"/>
      <c r="B6202"/>
      <c r="C6202"/>
      <c r="D6202"/>
      <c r="E6202" s="364"/>
      <c r="F6202"/>
    </row>
    <row r="6203" spans="1:6" x14ac:dyDescent="0.25">
      <c r="A6203" s="364"/>
      <c r="B6203"/>
      <c r="C6203"/>
      <c r="D6203"/>
      <c r="E6203" s="364"/>
      <c r="F6203"/>
    </row>
    <row r="6204" spans="1:6" x14ac:dyDescent="0.25">
      <c r="A6204" s="364"/>
      <c r="B6204"/>
      <c r="C6204"/>
      <c r="D6204"/>
      <c r="E6204" s="364"/>
      <c r="F6204"/>
    </row>
    <row r="6205" spans="1:6" x14ac:dyDescent="0.25">
      <c r="A6205" s="364"/>
      <c r="B6205"/>
      <c r="C6205"/>
      <c r="D6205"/>
      <c r="E6205" s="364"/>
      <c r="F6205"/>
    </row>
    <row r="6206" spans="1:6" x14ac:dyDescent="0.25">
      <c r="A6206" s="364"/>
      <c r="B6206"/>
      <c r="C6206"/>
      <c r="D6206"/>
      <c r="E6206" s="364"/>
      <c r="F6206"/>
    </row>
    <row r="6207" spans="1:6" x14ac:dyDescent="0.25">
      <c r="A6207" s="364"/>
      <c r="B6207"/>
      <c r="C6207"/>
      <c r="D6207"/>
      <c r="E6207" s="364"/>
      <c r="F6207"/>
    </row>
    <row r="6208" spans="1:6" x14ac:dyDescent="0.25">
      <c r="A6208" s="364"/>
      <c r="B6208"/>
      <c r="C6208"/>
      <c r="D6208"/>
      <c r="E6208" s="364"/>
      <c r="F6208"/>
    </row>
    <row r="6209" spans="1:6" x14ac:dyDescent="0.25">
      <c r="A6209" s="364"/>
      <c r="B6209"/>
      <c r="C6209"/>
      <c r="D6209"/>
      <c r="E6209" s="364"/>
      <c r="F6209"/>
    </row>
    <row r="6210" spans="1:6" x14ac:dyDescent="0.25">
      <c r="A6210" s="364"/>
      <c r="B6210"/>
      <c r="C6210"/>
      <c r="D6210"/>
      <c r="E6210" s="364"/>
      <c r="F6210"/>
    </row>
    <row r="6211" spans="1:6" x14ac:dyDescent="0.25">
      <c r="A6211" s="364"/>
      <c r="B6211"/>
      <c r="C6211"/>
      <c r="D6211"/>
      <c r="E6211" s="364"/>
      <c r="F6211"/>
    </row>
    <row r="6212" spans="1:6" x14ac:dyDescent="0.25">
      <c r="A6212" s="364"/>
      <c r="B6212"/>
      <c r="C6212"/>
      <c r="D6212"/>
      <c r="E6212" s="364"/>
      <c r="F6212"/>
    </row>
    <row r="6213" spans="1:6" x14ac:dyDescent="0.25">
      <c r="A6213" s="364"/>
      <c r="B6213"/>
      <c r="C6213"/>
      <c r="D6213"/>
      <c r="E6213" s="364"/>
      <c r="F6213"/>
    </row>
    <row r="6214" spans="1:6" x14ac:dyDescent="0.25">
      <c r="A6214" s="364"/>
      <c r="B6214"/>
      <c r="C6214"/>
      <c r="D6214"/>
      <c r="E6214" s="364"/>
      <c r="F6214"/>
    </row>
    <row r="6215" spans="1:6" x14ac:dyDescent="0.25">
      <c r="A6215" s="364"/>
      <c r="B6215"/>
      <c r="C6215"/>
      <c r="D6215"/>
      <c r="E6215" s="364"/>
      <c r="F6215"/>
    </row>
    <row r="6216" spans="1:6" x14ac:dyDescent="0.25">
      <c r="A6216" s="364"/>
      <c r="B6216"/>
      <c r="C6216"/>
      <c r="D6216"/>
      <c r="E6216" s="364"/>
      <c r="F6216"/>
    </row>
    <row r="6217" spans="1:6" x14ac:dyDescent="0.25">
      <c r="A6217" s="364"/>
      <c r="B6217"/>
      <c r="C6217"/>
      <c r="D6217"/>
      <c r="E6217" s="364"/>
      <c r="F6217"/>
    </row>
    <row r="6218" spans="1:6" x14ac:dyDescent="0.25">
      <c r="A6218" s="364"/>
      <c r="B6218"/>
      <c r="C6218"/>
      <c r="D6218"/>
      <c r="E6218" s="364"/>
      <c r="F6218"/>
    </row>
    <row r="6219" spans="1:6" x14ac:dyDescent="0.25">
      <c r="A6219" s="364"/>
      <c r="B6219"/>
      <c r="C6219"/>
      <c r="D6219"/>
      <c r="E6219" s="364"/>
      <c r="F6219"/>
    </row>
    <row r="6220" spans="1:6" x14ac:dyDescent="0.25">
      <c r="A6220" s="364"/>
      <c r="B6220"/>
      <c r="C6220"/>
      <c r="D6220"/>
      <c r="E6220" s="364"/>
      <c r="F6220"/>
    </row>
    <row r="6221" spans="1:6" x14ac:dyDescent="0.25">
      <c r="A6221" s="364"/>
      <c r="B6221"/>
      <c r="C6221"/>
      <c r="D6221"/>
      <c r="E6221" s="364"/>
      <c r="F6221"/>
    </row>
    <row r="6222" spans="1:6" x14ac:dyDescent="0.25">
      <c r="A6222" s="364"/>
      <c r="B6222"/>
      <c r="C6222"/>
      <c r="D6222"/>
      <c r="E6222" s="364"/>
      <c r="F6222"/>
    </row>
    <row r="6223" spans="1:6" x14ac:dyDescent="0.25">
      <c r="A6223" s="364"/>
      <c r="B6223"/>
      <c r="C6223"/>
      <c r="D6223"/>
      <c r="E6223" s="364"/>
      <c r="F6223"/>
    </row>
    <row r="6224" spans="1:6" x14ac:dyDescent="0.25">
      <c r="A6224" s="364"/>
      <c r="B6224"/>
      <c r="C6224"/>
      <c r="D6224"/>
      <c r="E6224" s="364"/>
      <c r="F6224"/>
    </row>
    <row r="6225" spans="1:6" x14ac:dyDescent="0.25">
      <c r="A6225" s="364"/>
      <c r="B6225"/>
      <c r="C6225"/>
      <c r="D6225"/>
      <c r="E6225" s="364"/>
      <c r="F6225"/>
    </row>
    <row r="6226" spans="1:6" x14ac:dyDescent="0.25">
      <c r="A6226" s="364"/>
      <c r="B6226"/>
      <c r="C6226"/>
      <c r="D6226"/>
      <c r="E6226" s="364"/>
      <c r="F6226"/>
    </row>
    <row r="6227" spans="1:6" x14ac:dyDescent="0.25">
      <c r="A6227" s="364"/>
      <c r="B6227"/>
      <c r="C6227"/>
      <c r="D6227"/>
      <c r="E6227" s="364"/>
      <c r="F6227"/>
    </row>
    <row r="6228" spans="1:6" x14ac:dyDescent="0.25">
      <c r="A6228" s="364"/>
      <c r="B6228"/>
      <c r="C6228"/>
      <c r="D6228"/>
      <c r="E6228" s="364"/>
      <c r="F6228"/>
    </row>
    <row r="6229" spans="1:6" x14ac:dyDescent="0.25">
      <c r="A6229" s="364"/>
      <c r="B6229"/>
      <c r="C6229"/>
      <c r="D6229"/>
      <c r="E6229" s="364"/>
      <c r="F6229"/>
    </row>
    <row r="6230" spans="1:6" x14ac:dyDescent="0.25">
      <c r="A6230" s="364"/>
      <c r="B6230"/>
      <c r="C6230"/>
      <c r="D6230"/>
      <c r="E6230" s="364"/>
      <c r="F6230"/>
    </row>
    <row r="6231" spans="1:6" x14ac:dyDescent="0.25">
      <c r="A6231" s="364"/>
      <c r="B6231"/>
      <c r="C6231"/>
      <c r="D6231"/>
      <c r="E6231" s="364"/>
      <c r="F6231"/>
    </row>
    <row r="6232" spans="1:6" x14ac:dyDescent="0.25">
      <c r="A6232" s="364"/>
      <c r="B6232"/>
      <c r="C6232"/>
      <c r="D6232"/>
      <c r="E6232" s="364"/>
      <c r="F6232"/>
    </row>
    <row r="6233" spans="1:6" x14ac:dyDescent="0.25">
      <c r="A6233" s="364"/>
      <c r="B6233"/>
      <c r="C6233"/>
      <c r="D6233"/>
      <c r="E6233" s="364"/>
      <c r="F6233"/>
    </row>
    <row r="6234" spans="1:6" x14ac:dyDescent="0.25">
      <c r="A6234" s="364"/>
      <c r="B6234"/>
      <c r="C6234"/>
      <c r="D6234"/>
      <c r="E6234" s="364"/>
      <c r="F6234"/>
    </row>
    <row r="6235" spans="1:6" x14ac:dyDescent="0.25">
      <c r="A6235" s="364"/>
      <c r="B6235"/>
      <c r="C6235"/>
      <c r="D6235"/>
      <c r="E6235" s="364"/>
      <c r="F6235"/>
    </row>
    <row r="6236" spans="1:6" x14ac:dyDescent="0.25">
      <c r="A6236" s="364"/>
      <c r="B6236"/>
      <c r="C6236"/>
      <c r="D6236"/>
      <c r="E6236" s="364"/>
      <c r="F6236"/>
    </row>
    <row r="6237" spans="1:6" x14ac:dyDescent="0.25">
      <c r="A6237" s="364"/>
      <c r="B6237"/>
      <c r="C6237"/>
      <c r="D6237"/>
      <c r="E6237" s="364"/>
      <c r="F6237"/>
    </row>
    <row r="6238" spans="1:6" x14ac:dyDescent="0.25">
      <c r="A6238" s="364"/>
      <c r="B6238"/>
      <c r="C6238"/>
      <c r="D6238"/>
      <c r="E6238" s="364"/>
      <c r="F6238"/>
    </row>
    <row r="6239" spans="1:6" x14ac:dyDescent="0.25">
      <c r="A6239" s="364"/>
      <c r="B6239"/>
      <c r="C6239"/>
      <c r="D6239"/>
      <c r="E6239" s="364"/>
      <c r="F6239"/>
    </row>
    <row r="6240" spans="1:6" x14ac:dyDescent="0.25">
      <c r="A6240" s="364"/>
      <c r="B6240"/>
      <c r="C6240"/>
      <c r="D6240"/>
      <c r="E6240" s="364"/>
      <c r="F6240"/>
    </row>
    <row r="6241" spans="1:6" x14ac:dyDescent="0.25">
      <c r="A6241" s="364"/>
      <c r="B6241"/>
      <c r="C6241"/>
      <c r="D6241"/>
      <c r="E6241" s="364"/>
      <c r="F6241"/>
    </row>
    <row r="6242" spans="1:6" x14ac:dyDescent="0.25">
      <c r="A6242" s="364"/>
      <c r="B6242"/>
      <c r="C6242"/>
      <c r="D6242"/>
      <c r="E6242" s="364"/>
      <c r="F6242"/>
    </row>
    <row r="6243" spans="1:6" x14ac:dyDescent="0.25">
      <c r="A6243" s="364"/>
      <c r="B6243"/>
      <c r="C6243"/>
      <c r="D6243"/>
      <c r="E6243" s="364"/>
      <c r="F6243"/>
    </row>
    <row r="6244" spans="1:6" x14ac:dyDescent="0.25">
      <c r="A6244" s="364"/>
      <c r="B6244"/>
      <c r="C6244"/>
      <c r="D6244"/>
      <c r="E6244" s="364"/>
      <c r="F6244"/>
    </row>
    <row r="6245" spans="1:6" x14ac:dyDescent="0.25">
      <c r="A6245" s="364"/>
      <c r="B6245"/>
      <c r="C6245"/>
      <c r="D6245"/>
      <c r="E6245" s="364"/>
      <c r="F6245"/>
    </row>
    <row r="6246" spans="1:6" x14ac:dyDescent="0.25">
      <c r="A6246" s="364"/>
      <c r="B6246"/>
      <c r="C6246"/>
      <c r="D6246"/>
      <c r="E6246" s="364"/>
      <c r="F6246"/>
    </row>
    <row r="6247" spans="1:6" x14ac:dyDescent="0.25">
      <c r="A6247" s="364"/>
      <c r="B6247"/>
      <c r="C6247"/>
      <c r="D6247"/>
      <c r="E6247" s="364"/>
      <c r="F6247"/>
    </row>
    <row r="6248" spans="1:6" x14ac:dyDescent="0.25">
      <c r="A6248" s="364"/>
      <c r="B6248"/>
      <c r="C6248"/>
      <c r="D6248"/>
      <c r="E6248" s="364"/>
      <c r="F6248"/>
    </row>
    <row r="6249" spans="1:6" x14ac:dyDescent="0.25">
      <c r="A6249" s="364"/>
      <c r="B6249"/>
      <c r="C6249"/>
      <c r="D6249"/>
      <c r="E6249" s="364"/>
      <c r="F6249"/>
    </row>
    <row r="6250" spans="1:6" x14ac:dyDescent="0.25">
      <c r="A6250" s="364"/>
      <c r="B6250"/>
      <c r="C6250"/>
      <c r="D6250"/>
      <c r="E6250" s="364"/>
      <c r="F6250"/>
    </row>
    <row r="6251" spans="1:6" x14ac:dyDescent="0.25">
      <c r="A6251" s="364"/>
      <c r="B6251"/>
      <c r="C6251"/>
      <c r="D6251"/>
      <c r="E6251" s="364"/>
      <c r="F6251"/>
    </row>
    <row r="6252" spans="1:6" x14ac:dyDescent="0.25">
      <c r="A6252" s="364"/>
      <c r="B6252"/>
      <c r="C6252"/>
      <c r="D6252"/>
      <c r="E6252" s="364"/>
      <c r="F6252"/>
    </row>
    <row r="6253" spans="1:6" x14ac:dyDescent="0.25">
      <c r="A6253" s="364"/>
      <c r="B6253"/>
      <c r="C6253"/>
      <c r="D6253"/>
      <c r="E6253" s="364"/>
      <c r="F6253"/>
    </row>
    <row r="6254" spans="1:6" x14ac:dyDescent="0.25">
      <c r="A6254" s="364"/>
      <c r="B6254"/>
      <c r="C6254"/>
      <c r="D6254"/>
      <c r="E6254" s="364"/>
      <c r="F6254"/>
    </row>
    <row r="6255" spans="1:6" x14ac:dyDescent="0.25">
      <c r="A6255" s="364"/>
      <c r="B6255"/>
      <c r="C6255"/>
      <c r="D6255"/>
      <c r="E6255" s="364"/>
      <c r="F6255"/>
    </row>
    <row r="6256" spans="1:6" x14ac:dyDescent="0.25">
      <c r="A6256" s="364"/>
      <c r="B6256"/>
      <c r="C6256"/>
      <c r="D6256"/>
      <c r="E6256" s="364"/>
      <c r="F6256"/>
    </row>
    <row r="6257" spans="1:6" x14ac:dyDescent="0.25">
      <c r="A6257" s="364"/>
      <c r="B6257"/>
      <c r="C6257"/>
      <c r="D6257"/>
      <c r="E6257" s="364"/>
      <c r="F6257"/>
    </row>
    <row r="6258" spans="1:6" x14ac:dyDescent="0.25">
      <c r="A6258" s="364"/>
      <c r="B6258"/>
      <c r="C6258"/>
      <c r="D6258"/>
      <c r="E6258" s="364"/>
      <c r="F6258"/>
    </row>
    <row r="6259" spans="1:6" x14ac:dyDescent="0.25">
      <c r="A6259" s="364"/>
      <c r="B6259"/>
      <c r="C6259"/>
      <c r="D6259"/>
      <c r="E6259" s="364"/>
      <c r="F6259"/>
    </row>
    <row r="6260" spans="1:6" x14ac:dyDescent="0.25">
      <c r="A6260" s="364"/>
      <c r="B6260"/>
      <c r="C6260"/>
      <c r="D6260"/>
      <c r="E6260" s="364"/>
      <c r="F6260"/>
    </row>
    <row r="6261" spans="1:6" x14ac:dyDescent="0.25">
      <c r="A6261" s="364"/>
      <c r="B6261"/>
      <c r="C6261"/>
      <c r="D6261"/>
      <c r="E6261" s="364"/>
      <c r="F6261"/>
    </row>
    <row r="6262" spans="1:6" x14ac:dyDescent="0.25">
      <c r="A6262" s="364"/>
      <c r="B6262"/>
      <c r="C6262"/>
      <c r="D6262"/>
      <c r="E6262" s="364"/>
      <c r="F6262"/>
    </row>
    <row r="6263" spans="1:6" x14ac:dyDescent="0.25">
      <c r="A6263" s="364"/>
      <c r="B6263"/>
      <c r="C6263"/>
      <c r="D6263"/>
      <c r="E6263" s="364"/>
      <c r="F6263"/>
    </row>
    <row r="6264" spans="1:6" x14ac:dyDescent="0.25">
      <c r="A6264" s="364"/>
      <c r="B6264"/>
      <c r="C6264"/>
      <c r="D6264"/>
      <c r="E6264" s="364"/>
      <c r="F6264"/>
    </row>
    <row r="6265" spans="1:6" x14ac:dyDescent="0.25">
      <c r="A6265" s="364"/>
      <c r="B6265"/>
      <c r="C6265"/>
      <c r="D6265"/>
      <c r="E6265" s="364"/>
      <c r="F6265"/>
    </row>
    <row r="6266" spans="1:6" x14ac:dyDescent="0.25">
      <c r="A6266" s="364"/>
      <c r="B6266"/>
      <c r="C6266"/>
      <c r="D6266"/>
      <c r="E6266" s="364"/>
      <c r="F6266"/>
    </row>
    <row r="6267" spans="1:6" x14ac:dyDescent="0.25">
      <c r="A6267" s="364"/>
      <c r="B6267"/>
      <c r="C6267"/>
      <c r="D6267"/>
      <c r="E6267" s="364"/>
      <c r="F6267"/>
    </row>
    <row r="6268" spans="1:6" x14ac:dyDescent="0.25">
      <c r="A6268" s="364"/>
      <c r="B6268"/>
      <c r="C6268"/>
      <c r="D6268"/>
      <c r="E6268" s="364"/>
      <c r="F6268"/>
    </row>
    <row r="6269" spans="1:6" x14ac:dyDescent="0.25">
      <c r="A6269" s="364"/>
      <c r="B6269"/>
      <c r="C6269"/>
      <c r="D6269"/>
      <c r="E6269" s="364"/>
      <c r="F6269"/>
    </row>
    <row r="6270" spans="1:6" x14ac:dyDescent="0.25">
      <c r="A6270" s="364"/>
      <c r="B6270"/>
      <c r="C6270"/>
      <c r="D6270"/>
      <c r="E6270" s="364"/>
      <c r="F6270"/>
    </row>
    <row r="6271" spans="1:6" x14ac:dyDescent="0.25">
      <c r="A6271" s="364"/>
      <c r="B6271"/>
      <c r="C6271"/>
      <c r="D6271"/>
      <c r="E6271" s="364"/>
      <c r="F6271"/>
    </row>
    <row r="6272" spans="1:6" x14ac:dyDescent="0.25">
      <c r="A6272" s="364"/>
      <c r="B6272"/>
      <c r="C6272"/>
      <c r="D6272"/>
      <c r="E6272" s="364"/>
      <c r="F6272"/>
    </row>
    <row r="6273" spans="1:6" x14ac:dyDescent="0.25">
      <c r="A6273" s="364"/>
      <c r="B6273"/>
      <c r="C6273"/>
      <c r="D6273"/>
      <c r="E6273" s="364"/>
      <c r="F6273"/>
    </row>
    <row r="6274" spans="1:6" x14ac:dyDescent="0.25">
      <c r="A6274" s="364"/>
      <c r="B6274"/>
      <c r="C6274"/>
      <c r="D6274"/>
      <c r="E6274" s="364"/>
      <c r="F6274"/>
    </row>
    <row r="6275" spans="1:6" x14ac:dyDescent="0.25">
      <c r="A6275" s="364"/>
      <c r="B6275"/>
      <c r="C6275"/>
      <c r="D6275"/>
      <c r="E6275" s="364"/>
      <c r="F6275"/>
    </row>
    <row r="6276" spans="1:6" x14ac:dyDescent="0.25">
      <c r="A6276" s="364"/>
      <c r="B6276"/>
      <c r="C6276"/>
      <c r="D6276"/>
      <c r="E6276" s="364"/>
      <c r="F6276"/>
    </row>
    <row r="6277" spans="1:6" x14ac:dyDescent="0.25">
      <c r="A6277" s="364"/>
      <c r="B6277"/>
      <c r="C6277"/>
      <c r="D6277"/>
      <c r="E6277" s="364"/>
      <c r="F6277"/>
    </row>
    <row r="6278" spans="1:6" x14ac:dyDescent="0.25">
      <c r="A6278" s="364"/>
      <c r="B6278"/>
      <c r="C6278"/>
      <c r="D6278"/>
      <c r="E6278" s="364"/>
      <c r="F6278"/>
    </row>
    <row r="6279" spans="1:6" x14ac:dyDescent="0.25">
      <c r="A6279" s="364"/>
      <c r="B6279"/>
      <c r="C6279"/>
      <c r="D6279"/>
      <c r="E6279" s="364"/>
      <c r="F6279"/>
    </row>
    <row r="6280" spans="1:6" x14ac:dyDescent="0.25">
      <c r="A6280" s="364"/>
      <c r="B6280"/>
      <c r="C6280"/>
      <c r="D6280"/>
      <c r="E6280" s="364"/>
      <c r="F6280"/>
    </row>
    <row r="6281" spans="1:6" x14ac:dyDescent="0.25">
      <c r="A6281" s="364"/>
      <c r="B6281"/>
      <c r="C6281"/>
      <c r="D6281"/>
      <c r="E6281" s="364"/>
      <c r="F6281"/>
    </row>
    <row r="6282" spans="1:6" x14ac:dyDescent="0.25">
      <c r="A6282" s="364"/>
      <c r="B6282"/>
      <c r="C6282"/>
      <c r="D6282"/>
      <c r="E6282" s="364"/>
      <c r="F6282"/>
    </row>
    <row r="6283" spans="1:6" x14ac:dyDescent="0.25">
      <c r="A6283" s="364"/>
      <c r="B6283"/>
      <c r="C6283"/>
      <c r="D6283"/>
      <c r="E6283" s="364"/>
      <c r="F6283"/>
    </row>
    <row r="6284" spans="1:6" x14ac:dyDescent="0.25">
      <c r="A6284" s="364"/>
      <c r="B6284"/>
      <c r="C6284"/>
      <c r="D6284"/>
      <c r="E6284" s="364"/>
      <c r="F6284"/>
    </row>
    <row r="6285" spans="1:6" x14ac:dyDescent="0.25">
      <c r="A6285" s="364"/>
      <c r="B6285"/>
      <c r="C6285"/>
      <c r="D6285"/>
      <c r="E6285" s="364"/>
      <c r="F6285"/>
    </row>
    <row r="6286" spans="1:6" x14ac:dyDescent="0.25">
      <c r="A6286" s="364"/>
      <c r="B6286"/>
      <c r="C6286"/>
      <c r="D6286"/>
      <c r="E6286" s="364"/>
      <c r="F6286"/>
    </row>
    <row r="6287" spans="1:6" x14ac:dyDescent="0.25">
      <c r="A6287" s="364"/>
      <c r="B6287"/>
      <c r="C6287"/>
      <c r="D6287"/>
      <c r="E6287" s="364"/>
      <c r="F6287"/>
    </row>
    <row r="6288" spans="1:6" x14ac:dyDescent="0.25">
      <c r="A6288" s="364"/>
      <c r="B6288"/>
      <c r="C6288"/>
      <c r="D6288"/>
      <c r="E6288" s="364"/>
      <c r="F6288"/>
    </row>
    <row r="6289" spans="1:6" x14ac:dyDescent="0.25">
      <c r="A6289" s="364"/>
      <c r="B6289"/>
      <c r="C6289"/>
      <c r="D6289"/>
      <c r="E6289" s="364"/>
      <c r="F6289"/>
    </row>
    <row r="6290" spans="1:6" x14ac:dyDescent="0.25">
      <c r="A6290" s="364"/>
      <c r="B6290"/>
      <c r="C6290"/>
      <c r="D6290"/>
      <c r="E6290" s="364"/>
      <c r="F6290"/>
    </row>
    <row r="6291" spans="1:6" x14ac:dyDescent="0.25">
      <c r="A6291" s="364"/>
      <c r="B6291"/>
      <c r="C6291"/>
      <c r="D6291"/>
      <c r="E6291" s="364"/>
      <c r="F6291"/>
    </row>
    <row r="6292" spans="1:6" x14ac:dyDescent="0.25">
      <c r="A6292" s="364"/>
      <c r="B6292"/>
      <c r="C6292"/>
      <c r="D6292"/>
      <c r="E6292" s="364"/>
      <c r="F6292"/>
    </row>
    <row r="6293" spans="1:6" x14ac:dyDescent="0.25">
      <c r="A6293" s="364"/>
      <c r="B6293"/>
      <c r="C6293"/>
      <c r="D6293"/>
      <c r="E6293" s="364"/>
      <c r="F6293"/>
    </row>
    <row r="6294" spans="1:6" x14ac:dyDescent="0.25">
      <c r="A6294" s="364"/>
      <c r="B6294"/>
      <c r="C6294"/>
      <c r="D6294"/>
      <c r="E6294" s="364"/>
      <c r="F6294"/>
    </row>
    <row r="6295" spans="1:6" x14ac:dyDescent="0.25">
      <c r="A6295" s="364"/>
      <c r="B6295"/>
      <c r="C6295"/>
      <c r="D6295"/>
      <c r="E6295" s="364"/>
      <c r="F6295"/>
    </row>
    <row r="6296" spans="1:6" x14ac:dyDescent="0.25">
      <c r="A6296" s="364"/>
      <c r="B6296"/>
      <c r="C6296"/>
      <c r="D6296"/>
      <c r="E6296" s="364"/>
      <c r="F6296"/>
    </row>
    <row r="6297" spans="1:6" x14ac:dyDescent="0.25">
      <c r="A6297" s="364"/>
      <c r="B6297"/>
      <c r="C6297"/>
      <c r="D6297"/>
      <c r="E6297" s="364"/>
      <c r="F6297"/>
    </row>
    <row r="6298" spans="1:6" x14ac:dyDescent="0.25">
      <c r="A6298" s="364"/>
      <c r="B6298"/>
      <c r="C6298"/>
      <c r="D6298"/>
      <c r="E6298" s="364"/>
      <c r="F6298"/>
    </row>
    <row r="6299" spans="1:6" x14ac:dyDescent="0.25">
      <c r="A6299" s="364"/>
      <c r="B6299"/>
      <c r="C6299"/>
      <c r="D6299"/>
      <c r="E6299" s="364"/>
      <c r="F6299"/>
    </row>
    <row r="6300" spans="1:6" x14ac:dyDescent="0.25">
      <c r="A6300" s="364"/>
      <c r="B6300"/>
      <c r="C6300"/>
      <c r="D6300"/>
      <c r="E6300" s="364"/>
      <c r="F6300"/>
    </row>
    <row r="6301" spans="1:6" x14ac:dyDescent="0.25">
      <c r="A6301" s="364"/>
      <c r="B6301"/>
      <c r="C6301"/>
      <c r="D6301"/>
      <c r="E6301" s="364"/>
      <c r="F6301"/>
    </row>
    <row r="6302" spans="1:6" x14ac:dyDescent="0.25">
      <c r="A6302" s="364"/>
      <c r="B6302"/>
      <c r="C6302"/>
      <c r="D6302"/>
      <c r="E6302" s="364"/>
      <c r="F6302"/>
    </row>
    <row r="6303" spans="1:6" x14ac:dyDescent="0.25">
      <c r="A6303" s="364"/>
      <c r="B6303"/>
      <c r="C6303"/>
      <c r="D6303"/>
      <c r="E6303" s="364"/>
      <c r="F6303"/>
    </row>
    <row r="6304" spans="1:6" x14ac:dyDescent="0.25">
      <c r="A6304" s="364"/>
      <c r="B6304"/>
      <c r="C6304"/>
      <c r="D6304"/>
      <c r="E6304" s="364"/>
      <c r="F6304"/>
    </row>
    <row r="6305" spans="1:6" x14ac:dyDescent="0.25">
      <c r="A6305" s="364"/>
      <c r="B6305"/>
      <c r="C6305"/>
      <c r="D6305"/>
      <c r="E6305" s="364"/>
      <c r="F6305"/>
    </row>
    <row r="6306" spans="1:6" x14ac:dyDescent="0.25">
      <c r="A6306" s="364"/>
      <c r="B6306"/>
      <c r="C6306"/>
      <c r="D6306"/>
      <c r="E6306" s="364"/>
      <c r="F6306"/>
    </row>
    <row r="6307" spans="1:6" x14ac:dyDescent="0.25">
      <c r="A6307" s="364"/>
      <c r="B6307"/>
      <c r="C6307"/>
      <c r="D6307"/>
      <c r="E6307" s="364"/>
      <c r="F6307"/>
    </row>
    <row r="6308" spans="1:6" x14ac:dyDescent="0.25">
      <c r="A6308" s="364"/>
      <c r="B6308"/>
      <c r="C6308"/>
      <c r="D6308"/>
      <c r="E6308" s="364"/>
      <c r="F6308"/>
    </row>
    <row r="6309" spans="1:6" x14ac:dyDescent="0.25">
      <c r="A6309" s="364"/>
      <c r="B6309"/>
      <c r="C6309"/>
      <c r="D6309"/>
      <c r="E6309" s="364"/>
      <c r="F6309"/>
    </row>
    <row r="6310" spans="1:6" x14ac:dyDescent="0.25">
      <c r="A6310" s="364"/>
      <c r="B6310"/>
      <c r="C6310"/>
      <c r="D6310"/>
      <c r="E6310" s="364"/>
      <c r="F6310"/>
    </row>
    <row r="6311" spans="1:6" x14ac:dyDescent="0.25">
      <c r="A6311" s="364"/>
      <c r="B6311"/>
      <c r="C6311"/>
      <c r="D6311"/>
      <c r="E6311" s="364"/>
      <c r="F6311"/>
    </row>
    <row r="6312" spans="1:6" x14ac:dyDescent="0.25">
      <c r="A6312" s="364"/>
      <c r="B6312"/>
      <c r="C6312"/>
      <c r="D6312"/>
      <c r="E6312" s="364"/>
      <c r="F6312"/>
    </row>
    <row r="6313" spans="1:6" x14ac:dyDescent="0.25">
      <c r="A6313" s="364"/>
      <c r="B6313"/>
      <c r="C6313"/>
      <c r="D6313"/>
      <c r="E6313" s="364"/>
      <c r="F6313"/>
    </row>
    <row r="6314" spans="1:6" x14ac:dyDescent="0.25">
      <c r="A6314" s="364"/>
      <c r="B6314"/>
      <c r="C6314"/>
      <c r="D6314"/>
      <c r="E6314" s="364"/>
      <c r="F6314"/>
    </row>
    <row r="6315" spans="1:6" x14ac:dyDescent="0.25">
      <c r="A6315" s="364"/>
      <c r="B6315"/>
      <c r="C6315"/>
      <c r="D6315"/>
      <c r="E6315" s="364"/>
      <c r="F6315"/>
    </row>
    <row r="6316" spans="1:6" x14ac:dyDescent="0.25">
      <c r="A6316" s="364"/>
      <c r="B6316"/>
      <c r="C6316"/>
      <c r="D6316"/>
      <c r="E6316" s="364"/>
      <c r="F6316"/>
    </row>
    <row r="6317" spans="1:6" x14ac:dyDescent="0.25">
      <c r="A6317" s="364"/>
      <c r="B6317"/>
      <c r="C6317"/>
      <c r="D6317"/>
      <c r="E6317" s="364"/>
      <c r="F6317"/>
    </row>
    <row r="6318" spans="1:6" x14ac:dyDescent="0.25">
      <c r="A6318" s="364"/>
      <c r="B6318"/>
      <c r="C6318"/>
      <c r="D6318"/>
      <c r="E6318" s="364"/>
      <c r="F6318"/>
    </row>
    <row r="6319" spans="1:6" x14ac:dyDescent="0.25">
      <c r="A6319" s="364"/>
      <c r="B6319"/>
      <c r="C6319"/>
      <c r="D6319"/>
      <c r="E6319" s="364"/>
      <c r="F6319"/>
    </row>
    <row r="6320" spans="1:6" x14ac:dyDescent="0.25">
      <c r="A6320" s="364"/>
      <c r="B6320"/>
      <c r="C6320"/>
      <c r="D6320"/>
      <c r="E6320" s="364"/>
      <c r="F6320"/>
    </row>
    <row r="6321" spans="1:6" x14ac:dyDescent="0.25">
      <c r="A6321" s="364"/>
      <c r="B6321"/>
      <c r="C6321"/>
      <c r="D6321"/>
      <c r="E6321" s="364"/>
      <c r="F6321"/>
    </row>
    <row r="6322" spans="1:6" x14ac:dyDescent="0.25">
      <c r="A6322" s="364"/>
      <c r="B6322"/>
      <c r="C6322"/>
      <c r="D6322"/>
      <c r="E6322" s="364"/>
      <c r="F6322"/>
    </row>
    <row r="6323" spans="1:6" x14ac:dyDescent="0.25">
      <c r="A6323" s="364"/>
      <c r="B6323"/>
      <c r="C6323"/>
      <c r="D6323"/>
      <c r="E6323" s="364"/>
      <c r="F6323"/>
    </row>
    <row r="6324" spans="1:6" x14ac:dyDescent="0.25">
      <c r="A6324" s="364"/>
      <c r="B6324"/>
      <c r="C6324"/>
      <c r="D6324"/>
      <c r="E6324" s="364"/>
      <c r="F6324"/>
    </row>
    <row r="6325" spans="1:6" x14ac:dyDescent="0.25">
      <c r="A6325" s="364"/>
      <c r="B6325"/>
      <c r="C6325"/>
      <c r="D6325"/>
      <c r="E6325" s="364"/>
      <c r="F6325"/>
    </row>
    <row r="6326" spans="1:6" x14ac:dyDescent="0.25">
      <c r="A6326" s="364"/>
      <c r="B6326"/>
      <c r="C6326"/>
      <c r="D6326"/>
      <c r="E6326" s="364"/>
      <c r="F6326"/>
    </row>
    <row r="6327" spans="1:6" x14ac:dyDescent="0.25">
      <c r="A6327" s="364"/>
      <c r="B6327"/>
      <c r="C6327"/>
      <c r="D6327"/>
      <c r="E6327" s="364"/>
      <c r="F6327"/>
    </row>
    <row r="6328" spans="1:6" x14ac:dyDescent="0.25">
      <c r="A6328" s="364"/>
      <c r="B6328"/>
      <c r="C6328"/>
      <c r="D6328"/>
      <c r="E6328" s="364"/>
      <c r="F6328"/>
    </row>
    <row r="6329" spans="1:6" x14ac:dyDescent="0.25">
      <c r="A6329" s="364"/>
      <c r="B6329"/>
      <c r="C6329"/>
      <c r="D6329"/>
      <c r="E6329" s="364"/>
      <c r="F6329"/>
    </row>
    <row r="6330" spans="1:6" x14ac:dyDescent="0.25">
      <c r="A6330" s="364"/>
      <c r="B6330"/>
      <c r="C6330"/>
      <c r="D6330"/>
      <c r="E6330" s="364"/>
      <c r="F6330"/>
    </row>
    <row r="6331" spans="1:6" x14ac:dyDescent="0.25">
      <c r="A6331" s="364"/>
      <c r="B6331"/>
      <c r="C6331"/>
      <c r="D6331"/>
      <c r="E6331" s="364"/>
      <c r="F6331"/>
    </row>
    <row r="6332" spans="1:6" x14ac:dyDescent="0.25">
      <c r="A6332" s="364"/>
      <c r="B6332"/>
      <c r="C6332"/>
      <c r="D6332"/>
      <c r="E6332" s="364"/>
      <c r="F6332"/>
    </row>
    <row r="6333" spans="1:6" x14ac:dyDescent="0.25">
      <c r="A6333" s="364"/>
      <c r="B6333"/>
      <c r="C6333"/>
      <c r="D6333"/>
      <c r="E6333" s="364"/>
      <c r="F6333"/>
    </row>
    <row r="6334" spans="1:6" x14ac:dyDescent="0.25">
      <c r="A6334" s="364"/>
      <c r="B6334"/>
      <c r="C6334"/>
      <c r="D6334"/>
      <c r="E6334" s="364"/>
      <c r="F6334"/>
    </row>
    <row r="6335" spans="1:6" x14ac:dyDescent="0.25">
      <c r="A6335" s="364"/>
      <c r="B6335"/>
      <c r="C6335"/>
      <c r="D6335"/>
      <c r="E6335" s="364"/>
      <c r="F6335"/>
    </row>
    <row r="6336" spans="1:6" x14ac:dyDescent="0.25">
      <c r="A6336" s="364"/>
      <c r="B6336"/>
      <c r="C6336"/>
      <c r="D6336"/>
      <c r="E6336" s="364"/>
      <c r="F6336"/>
    </row>
    <row r="6337" spans="1:6" x14ac:dyDescent="0.25">
      <c r="A6337" s="364"/>
      <c r="B6337"/>
      <c r="C6337"/>
      <c r="D6337"/>
      <c r="E6337" s="364"/>
      <c r="F6337"/>
    </row>
    <row r="6338" spans="1:6" x14ac:dyDescent="0.25">
      <c r="A6338" s="364"/>
      <c r="B6338"/>
      <c r="C6338"/>
      <c r="D6338"/>
      <c r="E6338" s="364"/>
      <c r="F6338"/>
    </row>
    <row r="6339" spans="1:6" x14ac:dyDescent="0.25">
      <c r="A6339" s="364"/>
      <c r="B6339"/>
      <c r="C6339"/>
      <c r="D6339"/>
      <c r="E6339" s="364"/>
      <c r="F6339"/>
    </row>
    <row r="6340" spans="1:6" x14ac:dyDescent="0.25">
      <c r="A6340" s="364"/>
      <c r="B6340"/>
      <c r="C6340"/>
      <c r="D6340"/>
      <c r="E6340" s="364"/>
      <c r="F6340"/>
    </row>
    <row r="6341" spans="1:6" x14ac:dyDescent="0.25">
      <c r="A6341" s="364"/>
      <c r="B6341"/>
      <c r="C6341"/>
      <c r="D6341"/>
      <c r="E6341" s="364"/>
      <c r="F6341"/>
    </row>
    <row r="6342" spans="1:6" x14ac:dyDescent="0.25">
      <c r="A6342" s="364"/>
      <c r="B6342"/>
      <c r="C6342"/>
      <c r="D6342"/>
      <c r="E6342" s="364"/>
      <c r="F6342"/>
    </row>
    <row r="6343" spans="1:6" x14ac:dyDescent="0.25">
      <c r="A6343" s="364"/>
      <c r="B6343"/>
      <c r="C6343"/>
      <c r="D6343"/>
      <c r="E6343" s="364"/>
      <c r="F6343"/>
    </row>
    <row r="6344" spans="1:6" x14ac:dyDescent="0.25">
      <c r="A6344" s="364"/>
      <c r="B6344"/>
      <c r="C6344"/>
      <c r="D6344"/>
      <c r="E6344" s="364"/>
      <c r="F6344"/>
    </row>
    <row r="6345" spans="1:6" x14ac:dyDescent="0.25">
      <c r="A6345" s="364"/>
      <c r="B6345"/>
      <c r="C6345"/>
      <c r="D6345"/>
      <c r="E6345" s="364"/>
      <c r="F6345"/>
    </row>
    <row r="6346" spans="1:6" x14ac:dyDescent="0.25">
      <c r="A6346" s="364"/>
      <c r="B6346"/>
      <c r="C6346"/>
      <c r="D6346"/>
      <c r="E6346" s="364"/>
      <c r="F6346"/>
    </row>
    <row r="6347" spans="1:6" x14ac:dyDescent="0.25">
      <c r="A6347" s="364"/>
      <c r="B6347"/>
      <c r="C6347"/>
      <c r="D6347"/>
      <c r="E6347" s="364"/>
      <c r="F6347"/>
    </row>
    <row r="6348" spans="1:6" x14ac:dyDescent="0.25">
      <c r="A6348" s="364"/>
      <c r="B6348"/>
      <c r="C6348"/>
      <c r="D6348"/>
      <c r="E6348" s="364"/>
      <c r="F6348"/>
    </row>
    <row r="6349" spans="1:6" x14ac:dyDescent="0.25">
      <c r="A6349" s="364"/>
      <c r="B6349"/>
      <c r="C6349"/>
      <c r="D6349"/>
      <c r="E6349" s="364"/>
      <c r="F6349"/>
    </row>
    <row r="6350" spans="1:6" x14ac:dyDescent="0.25">
      <c r="A6350" s="364"/>
      <c r="B6350"/>
      <c r="C6350"/>
      <c r="D6350"/>
      <c r="E6350" s="364"/>
      <c r="F6350"/>
    </row>
    <row r="6351" spans="1:6" x14ac:dyDescent="0.25">
      <c r="A6351" s="364"/>
      <c r="B6351"/>
      <c r="C6351"/>
      <c r="D6351"/>
      <c r="E6351" s="364"/>
      <c r="F6351"/>
    </row>
    <row r="6352" spans="1:6" x14ac:dyDescent="0.25">
      <c r="A6352" s="364"/>
      <c r="B6352"/>
      <c r="C6352"/>
      <c r="D6352"/>
      <c r="E6352" s="364"/>
      <c r="F6352"/>
    </row>
    <row r="6353" spans="1:6" x14ac:dyDescent="0.25">
      <c r="A6353" s="364"/>
      <c r="B6353"/>
      <c r="C6353"/>
      <c r="D6353"/>
      <c r="E6353" s="364"/>
      <c r="F6353"/>
    </row>
    <row r="6354" spans="1:6" x14ac:dyDescent="0.25">
      <c r="A6354" s="364"/>
      <c r="B6354"/>
      <c r="C6354"/>
      <c r="D6354"/>
      <c r="E6354" s="364"/>
      <c r="F6354"/>
    </row>
    <row r="6355" spans="1:6" x14ac:dyDescent="0.25">
      <c r="A6355" s="364"/>
      <c r="B6355"/>
      <c r="C6355"/>
      <c r="D6355"/>
      <c r="E6355" s="364"/>
      <c r="F6355"/>
    </row>
    <row r="6356" spans="1:6" x14ac:dyDescent="0.25">
      <c r="A6356" s="364"/>
      <c r="B6356"/>
      <c r="C6356"/>
      <c r="D6356"/>
      <c r="E6356" s="364"/>
      <c r="F6356"/>
    </row>
    <row r="6357" spans="1:6" x14ac:dyDescent="0.25">
      <c r="A6357" s="364"/>
      <c r="B6357"/>
      <c r="C6357"/>
      <c r="D6357"/>
      <c r="E6357" s="364"/>
      <c r="F6357"/>
    </row>
    <row r="6358" spans="1:6" x14ac:dyDescent="0.25">
      <c r="A6358" s="364"/>
      <c r="B6358"/>
      <c r="C6358"/>
      <c r="D6358"/>
      <c r="E6358" s="364"/>
      <c r="F6358"/>
    </row>
    <row r="6359" spans="1:6" x14ac:dyDescent="0.25">
      <c r="A6359" s="364"/>
      <c r="B6359"/>
      <c r="C6359"/>
      <c r="D6359"/>
      <c r="E6359" s="364"/>
      <c r="F6359"/>
    </row>
    <row r="6360" spans="1:6" x14ac:dyDescent="0.25">
      <c r="A6360" s="364"/>
      <c r="B6360"/>
      <c r="C6360"/>
      <c r="D6360"/>
      <c r="E6360" s="364"/>
      <c r="F6360"/>
    </row>
    <row r="6361" spans="1:6" x14ac:dyDescent="0.25">
      <c r="A6361" s="364"/>
      <c r="B6361"/>
      <c r="C6361"/>
      <c r="D6361"/>
      <c r="E6361" s="364"/>
      <c r="F6361"/>
    </row>
    <row r="6362" spans="1:6" x14ac:dyDescent="0.25">
      <c r="A6362" s="364"/>
      <c r="B6362"/>
      <c r="C6362"/>
      <c r="D6362"/>
      <c r="E6362" s="364"/>
      <c r="F6362"/>
    </row>
    <row r="6363" spans="1:6" x14ac:dyDescent="0.25">
      <c r="A6363" s="364"/>
      <c r="B6363"/>
      <c r="C6363"/>
      <c r="D6363"/>
      <c r="E6363" s="364"/>
      <c r="F6363"/>
    </row>
    <row r="6364" spans="1:6" x14ac:dyDescent="0.25">
      <c r="A6364" s="364"/>
      <c r="B6364"/>
      <c r="C6364"/>
      <c r="D6364"/>
      <c r="E6364" s="364"/>
      <c r="F6364"/>
    </row>
    <row r="6365" spans="1:6" x14ac:dyDescent="0.25">
      <c r="A6365" s="364"/>
      <c r="B6365"/>
      <c r="C6365"/>
      <c r="D6365"/>
      <c r="E6365" s="364"/>
      <c r="F6365"/>
    </row>
    <row r="6366" spans="1:6" x14ac:dyDescent="0.25">
      <c r="A6366" s="364"/>
      <c r="B6366"/>
      <c r="C6366"/>
      <c r="D6366"/>
      <c r="E6366" s="364"/>
      <c r="F6366"/>
    </row>
    <row r="6367" spans="1:6" x14ac:dyDescent="0.25">
      <c r="A6367" s="364"/>
      <c r="B6367"/>
      <c r="C6367"/>
      <c r="D6367"/>
      <c r="E6367" s="364"/>
      <c r="F6367"/>
    </row>
    <row r="6368" spans="1:6" x14ac:dyDescent="0.25">
      <c r="A6368" s="364"/>
      <c r="B6368"/>
      <c r="C6368"/>
      <c r="D6368"/>
      <c r="E6368" s="364"/>
      <c r="F6368"/>
    </row>
    <row r="6369" spans="1:6" x14ac:dyDescent="0.25">
      <c r="A6369" s="364"/>
      <c r="B6369"/>
      <c r="C6369"/>
      <c r="D6369"/>
      <c r="E6369" s="364"/>
      <c r="F6369"/>
    </row>
    <row r="6370" spans="1:6" x14ac:dyDescent="0.25">
      <c r="A6370" s="364"/>
      <c r="B6370"/>
      <c r="C6370"/>
      <c r="D6370"/>
      <c r="E6370" s="364"/>
      <c r="F6370"/>
    </row>
    <row r="6371" spans="1:6" x14ac:dyDescent="0.25">
      <c r="A6371" s="364"/>
      <c r="B6371"/>
      <c r="C6371"/>
      <c r="D6371"/>
      <c r="E6371" s="364"/>
      <c r="F6371"/>
    </row>
    <row r="6372" spans="1:6" x14ac:dyDescent="0.25">
      <c r="A6372" s="364"/>
      <c r="B6372"/>
      <c r="C6372"/>
      <c r="D6372"/>
      <c r="E6372" s="364"/>
      <c r="F6372"/>
    </row>
    <row r="6373" spans="1:6" x14ac:dyDescent="0.25">
      <c r="A6373" s="364"/>
      <c r="B6373"/>
      <c r="C6373"/>
      <c r="D6373"/>
      <c r="E6373" s="364"/>
      <c r="F6373"/>
    </row>
    <row r="6374" spans="1:6" x14ac:dyDescent="0.25">
      <c r="A6374" s="364"/>
      <c r="B6374"/>
      <c r="C6374"/>
      <c r="D6374"/>
      <c r="E6374" s="364"/>
      <c r="F6374"/>
    </row>
    <row r="6375" spans="1:6" x14ac:dyDescent="0.25">
      <c r="A6375" s="364"/>
      <c r="B6375"/>
      <c r="C6375"/>
      <c r="D6375"/>
      <c r="E6375" s="364"/>
      <c r="F6375"/>
    </row>
    <row r="6376" spans="1:6" x14ac:dyDescent="0.25">
      <c r="A6376" s="364"/>
      <c r="B6376"/>
      <c r="C6376"/>
      <c r="D6376"/>
      <c r="E6376" s="364"/>
      <c r="F6376"/>
    </row>
    <row r="6377" spans="1:6" x14ac:dyDescent="0.25">
      <c r="A6377" s="364"/>
      <c r="B6377"/>
      <c r="C6377"/>
      <c r="D6377"/>
      <c r="E6377" s="364"/>
      <c r="F6377"/>
    </row>
    <row r="6378" spans="1:6" x14ac:dyDescent="0.25">
      <c r="A6378" s="364"/>
      <c r="B6378"/>
      <c r="C6378"/>
      <c r="D6378"/>
      <c r="E6378" s="364"/>
      <c r="F6378"/>
    </row>
    <row r="6379" spans="1:6" x14ac:dyDescent="0.25">
      <c r="A6379" s="364"/>
      <c r="B6379"/>
      <c r="C6379"/>
      <c r="D6379"/>
      <c r="E6379" s="364"/>
      <c r="F6379"/>
    </row>
    <row r="6380" spans="1:6" x14ac:dyDescent="0.25">
      <c r="A6380" s="364"/>
      <c r="B6380"/>
      <c r="C6380"/>
      <c r="D6380"/>
      <c r="E6380" s="364"/>
      <c r="F6380"/>
    </row>
    <row r="6381" spans="1:6" x14ac:dyDescent="0.25">
      <c r="A6381" s="364"/>
      <c r="B6381"/>
      <c r="C6381"/>
      <c r="D6381"/>
      <c r="E6381" s="364"/>
      <c r="F6381"/>
    </row>
    <row r="6382" spans="1:6" x14ac:dyDescent="0.25">
      <c r="A6382" s="364"/>
      <c r="B6382"/>
      <c r="C6382"/>
      <c r="D6382"/>
      <c r="E6382" s="364"/>
      <c r="F6382"/>
    </row>
    <row r="6383" spans="1:6" x14ac:dyDescent="0.25">
      <c r="A6383" s="364"/>
      <c r="B6383"/>
      <c r="C6383"/>
      <c r="D6383"/>
      <c r="E6383" s="364"/>
      <c r="F6383"/>
    </row>
    <row r="6384" spans="1:6" x14ac:dyDescent="0.25">
      <c r="A6384" s="364"/>
      <c r="B6384"/>
      <c r="C6384"/>
      <c r="D6384"/>
      <c r="E6384" s="364"/>
      <c r="F6384"/>
    </row>
    <row r="6385" spans="1:6" x14ac:dyDescent="0.25">
      <c r="A6385" s="364"/>
      <c r="B6385"/>
      <c r="C6385"/>
      <c r="D6385"/>
      <c r="E6385" s="364"/>
      <c r="F6385"/>
    </row>
    <row r="6386" spans="1:6" x14ac:dyDescent="0.25">
      <c r="A6386" s="364"/>
      <c r="B6386"/>
      <c r="C6386"/>
      <c r="D6386"/>
      <c r="E6386" s="364"/>
      <c r="F6386"/>
    </row>
    <row r="6387" spans="1:6" x14ac:dyDescent="0.25">
      <c r="A6387" s="364"/>
      <c r="B6387"/>
      <c r="C6387"/>
      <c r="D6387"/>
      <c r="E6387" s="364"/>
      <c r="F6387"/>
    </row>
    <row r="6388" spans="1:6" x14ac:dyDescent="0.25">
      <c r="A6388" s="364"/>
      <c r="B6388"/>
      <c r="C6388"/>
      <c r="D6388"/>
      <c r="E6388" s="364"/>
      <c r="F6388"/>
    </row>
    <row r="6389" spans="1:6" x14ac:dyDescent="0.25">
      <c r="A6389" s="364"/>
      <c r="B6389"/>
      <c r="C6389"/>
      <c r="D6389"/>
      <c r="E6389" s="364"/>
      <c r="F6389"/>
    </row>
    <row r="6390" spans="1:6" x14ac:dyDescent="0.25">
      <c r="A6390" s="364"/>
      <c r="B6390"/>
      <c r="C6390"/>
      <c r="D6390"/>
      <c r="E6390" s="364"/>
      <c r="F6390"/>
    </row>
    <row r="6391" spans="1:6" x14ac:dyDescent="0.25">
      <c r="A6391" s="364"/>
      <c r="B6391"/>
      <c r="C6391"/>
      <c r="D6391"/>
      <c r="E6391" s="364"/>
      <c r="F6391"/>
    </row>
    <row r="6392" spans="1:6" x14ac:dyDescent="0.25">
      <c r="A6392" s="364"/>
      <c r="B6392"/>
      <c r="C6392"/>
      <c r="D6392"/>
      <c r="E6392" s="364"/>
      <c r="F6392"/>
    </row>
    <row r="6393" spans="1:6" x14ac:dyDescent="0.25">
      <c r="A6393" s="364"/>
      <c r="B6393"/>
      <c r="C6393"/>
      <c r="D6393"/>
      <c r="E6393" s="364"/>
      <c r="F6393"/>
    </row>
    <row r="6394" spans="1:6" x14ac:dyDescent="0.25">
      <c r="A6394" s="364"/>
      <c r="B6394"/>
      <c r="C6394"/>
      <c r="D6394"/>
      <c r="E6394" s="364"/>
      <c r="F6394"/>
    </row>
    <row r="6395" spans="1:6" x14ac:dyDescent="0.25">
      <c r="A6395" s="364"/>
      <c r="B6395"/>
      <c r="C6395"/>
      <c r="D6395"/>
      <c r="E6395" s="364"/>
      <c r="F6395"/>
    </row>
    <row r="6396" spans="1:6" x14ac:dyDescent="0.25">
      <c r="A6396" s="364"/>
      <c r="B6396"/>
      <c r="C6396"/>
      <c r="D6396"/>
      <c r="E6396" s="364"/>
      <c r="F6396"/>
    </row>
    <row r="6397" spans="1:6" x14ac:dyDescent="0.25">
      <c r="A6397" s="364"/>
      <c r="B6397"/>
      <c r="C6397"/>
      <c r="D6397"/>
      <c r="E6397" s="364"/>
      <c r="F6397"/>
    </row>
    <row r="6398" spans="1:6" x14ac:dyDescent="0.25">
      <c r="A6398" s="364"/>
      <c r="B6398"/>
      <c r="C6398"/>
      <c r="D6398"/>
      <c r="E6398" s="364"/>
      <c r="F6398"/>
    </row>
    <row r="6399" spans="1:6" x14ac:dyDescent="0.25">
      <c r="A6399" s="364"/>
      <c r="B6399"/>
      <c r="C6399"/>
      <c r="D6399"/>
      <c r="E6399" s="364"/>
      <c r="F6399"/>
    </row>
    <row r="6400" spans="1:6" x14ac:dyDescent="0.25">
      <c r="A6400" s="364"/>
      <c r="B6400"/>
      <c r="C6400"/>
      <c r="D6400"/>
      <c r="E6400" s="364"/>
      <c r="F6400"/>
    </row>
    <row r="6401" spans="1:6" x14ac:dyDescent="0.25">
      <c r="A6401" s="364"/>
      <c r="B6401"/>
      <c r="C6401"/>
      <c r="D6401"/>
      <c r="E6401" s="364"/>
      <c r="F6401"/>
    </row>
    <row r="6402" spans="1:6" x14ac:dyDescent="0.25">
      <c r="A6402" s="364"/>
      <c r="B6402"/>
      <c r="C6402"/>
      <c r="D6402"/>
      <c r="E6402" s="364"/>
      <c r="F6402"/>
    </row>
    <row r="6403" spans="1:6" x14ac:dyDescent="0.25">
      <c r="A6403" s="364"/>
      <c r="B6403"/>
      <c r="C6403"/>
      <c r="D6403"/>
      <c r="E6403" s="364"/>
      <c r="F6403"/>
    </row>
    <row r="6404" spans="1:6" x14ac:dyDescent="0.25">
      <c r="A6404" s="364"/>
      <c r="B6404"/>
      <c r="C6404"/>
      <c r="D6404"/>
      <c r="E6404" s="364"/>
      <c r="F6404"/>
    </row>
    <row r="6405" spans="1:6" x14ac:dyDescent="0.25">
      <c r="A6405" s="364"/>
      <c r="B6405"/>
      <c r="C6405"/>
      <c r="D6405"/>
      <c r="E6405" s="364"/>
      <c r="F6405"/>
    </row>
    <row r="6406" spans="1:6" x14ac:dyDescent="0.25">
      <c r="A6406" s="364"/>
      <c r="B6406"/>
      <c r="C6406"/>
      <c r="D6406"/>
      <c r="E6406" s="364"/>
      <c r="F6406"/>
    </row>
    <row r="6407" spans="1:6" x14ac:dyDescent="0.25">
      <c r="A6407" s="364"/>
      <c r="B6407"/>
      <c r="C6407"/>
      <c r="D6407"/>
      <c r="E6407" s="364"/>
      <c r="F6407"/>
    </row>
    <row r="6408" spans="1:6" x14ac:dyDescent="0.25">
      <c r="A6408" s="364"/>
      <c r="B6408"/>
      <c r="C6408"/>
      <c r="D6408"/>
      <c r="E6408" s="364"/>
      <c r="F6408"/>
    </row>
    <row r="6409" spans="1:6" x14ac:dyDescent="0.25">
      <c r="A6409" s="364"/>
      <c r="B6409"/>
      <c r="C6409"/>
      <c r="D6409"/>
      <c r="E6409" s="364"/>
      <c r="F6409"/>
    </row>
    <row r="6410" spans="1:6" x14ac:dyDescent="0.25">
      <c r="A6410" s="364"/>
      <c r="B6410"/>
      <c r="C6410"/>
      <c r="D6410"/>
      <c r="E6410" s="364"/>
      <c r="F6410"/>
    </row>
    <row r="6411" spans="1:6" x14ac:dyDescent="0.25">
      <c r="A6411" s="364"/>
      <c r="B6411"/>
      <c r="C6411"/>
      <c r="D6411"/>
      <c r="E6411" s="364"/>
      <c r="F6411"/>
    </row>
    <row r="6412" spans="1:6" x14ac:dyDescent="0.25">
      <c r="A6412" s="364"/>
      <c r="B6412"/>
      <c r="C6412"/>
      <c r="D6412"/>
      <c r="E6412" s="364"/>
      <c r="F6412"/>
    </row>
    <row r="6413" spans="1:6" x14ac:dyDescent="0.25">
      <c r="A6413" s="364"/>
      <c r="B6413"/>
      <c r="C6413"/>
      <c r="D6413"/>
      <c r="E6413" s="364"/>
      <c r="F6413"/>
    </row>
    <row r="6414" spans="1:6" x14ac:dyDescent="0.25">
      <c r="A6414" s="364"/>
      <c r="B6414"/>
      <c r="C6414"/>
      <c r="D6414"/>
      <c r="E6414" s="364"/>
      <c r="F6414"/>
    </row>
    <row r="6415" spans="1:6" x14ac:dyDescent="0.25">
      <c r="A6415" s="364"/>
      <c r="B6415"/>
      <c r="C6415"/>
      <c r="D6415"/>
      <c r="E6415" s="364"/>
      <c r="F6415"/>
    </row>
    <row r="6416" spans="1:6" x14ac:dyDescent="0.25">
      <c r="A6416" s="364"/>
      <c r="B6416"/>
      <c r="C6416"/>
      <c r="D6416"/>
      <c r="E6416" s="364"/>
      <c r="F6416"/>
    </row>
    <row r="6417" spans="1:6" x14ac:dyDescent="0.25">
      <c r="A6417" s="364"/>
      <c r="B6417"/>
      <c r="C6417"/>
      <c r="D6417"/>
      <c r="E6417" s="364"/>
      <c r="F6417"/>
    </row>
    <row r="6418" spans="1:6" x14ac:dyDescent="0.25">
      <c r="A6418" s="364"/>
      <c r="B6418"/>
      <c r="C6418"/>
      <c r="D6418"/>
      <c r="E6418" s="364"/>
      <c r="F6418"/>
    </row>
    <row r="6419" spans="1:6" x14ac:dyDescent="0.25">
      <c r="A6419" s="364"/>
      <c r="B6419"/>
      <c r="C6419"/>
      <c r="D6419"/>
      <c r="E6419" s="364"/>
      <c r="F6419"/>
    </row>
    <row r="6420" spans="1:6" x14ac:dyDescent="0.25">
      <c r="A6420" s="364"/>
      <c r="B6420"/>
      <c r="C6420"/>
      <c r="D6420"/>
      <c r="E6420" s="364"/>
      <c r="F6420"/>
    </row>
    <row r="6421" spans="1:6" x14ac:dyDescent="0.25">
      <c r="A6421" s="364"/>
      <c r="B6421"/>
      <c r="C6421"/>
      <c r="D6421"/>
      <c r="E6421" s="364"/>
      <c r="F6421"/>
    </row>
    <row r="6422" spans="1:6" x14ac:dyDescent="0.25">
      <c r="A6422" s="364"/>
      <c r="B6422"/>
      <c r="C6422"/>
      <c r="D6422"/>
      <c r="E6422" s="364"/>
      <c r="F6422"/>
    </row>
    <row r="6423" spans="1:6" x14ac:dyDescent="0.25">
      <c r="A6423" s="364"/>
      <c r="B6423"/>
      <c r="C6423"/>
      <c r="D6423"/>
      <c r="E6423" s="364"/>
      <c r="F6423"/>
    </row>
    <row r="6424" spans="1:6" x14ac:dyDescent="0.25">
      <c r="A6424" s="364"/>
      <c r="B6424"/>
      <c r="C6424"/>
      <c r="D6424"/>
      <c r="E6424" s="364"/>
      <c r="F6424"/>
    </row>
    <row r="6425" spans="1:6" x14ac:dyDescent="0.25">
      <c r="A6425" s="364"/>
      <c r="B6425"/>
      <c r="C6425"/>
      <c r="D6425"/>
      <c r="E6425" s="364"/>
      <c r="F6425"/>
    </row>
    <row r="6426" spans="1:6" x14ac:dyDescent="0.25">
      <c r="A6426" s="364"/>
      <c r="B6426"/>
      <c r="C6426"/>
      <c r="D6426"/>
      <c r="E6426" s="364"/>
      <c r="F6426"/>
    </row>
    <row r="6427" spans="1:6" x14ac:dyDescent="0.25">
      <c r="A6427" s="364"/>
      <c r="B6427"/>
      <c r="C6427"/>
      <c r="D6427"/>
      <c r="E6427" s="364"/>
      <c r="F6427"/>
    </row>
    <row r="6428" spans="1:6" x14ac:dyDescent="0.25">
      <c r="A6428" s="364"/>
      <c r="B6428"/>
      <c r="C6428"/>
      <c r="D6428"/>
      <c r="E6428" s="364"/>
      <c r="F6428"/>
    </row>
    <row r="6429" spans="1:6" x14ac:dyDescent="0.25">
      <c r="A6429" s="364"/>
      <c r="B6429"/>
      <c r="C6429"/>
      <c r="D6429"/>
      <c r="E6429" s="364"/>
      <c r="F6429"/>
    </row>
    <row r="6430" spans="1:6" x14ac:dyDescent="0.25">
      <c r="A6430" s="364"/>
      <c r="B6430"/>
      <c r="C6430"/>
      <c r="D6430"/>
      <c r="E6430" s="364"/>
      <c r="F6430"/>
    </row>
    <row r="6431" spans="1:6" x14ac:dyDescent="0.25">
      <c r="A6431" s="364"/>
      <c r="B6431"/>
      <c r="C6431"/>
      <c r="D6431"/>
      <c r="E6431" s="364"/>
      <c r="F6431"/>
    </row>
    <row r="6432" spans="1:6" x14ac:dyDescent="0.25">
      <c r="A6432" s="364"/>
      <c r="B6432"/>
      <c r="C6432"/>
      <c r="D6432"/>
      <c r="E6432" s="364"/>
      <c r="F6432"/>
    </row>
    <row r="6433" spans="1:6" x14ac:dyDescent="0.25">
      <c r="A6433" s="364"/>
      <c r="B6433"/>
      <c r="C6433"/>
      <c r="D6433"/>
      <c r="E6433" s="364"/>
      <c r="F6433"/>
    </row>
    <row r="6434" spans="1:6" x14ac:dyDescent="0.25">
      <c r="A6434" s="364"/>
      <c r="B6434"/>
      <c r="C6434"/>
      <c r="D6434"/>
      <c r="E6434" s="364"/>
      <c r="F6434"/>
    </row>
    <row r="6435" spans="1:6" x14ac:dyDescent="0.25">
      <c r="A6435" s="364"/>
      <c r="B6435"/>
      <c r="C6435"/>
      <c r="D6435"/>
      <c r="E6435" s="364"/>
      <c r="F6435"/>
    </row>
    <row r="6436" spans="1:6" x14ac:dyDescent="0.25">
      <c r="A6436" s="364"/>
      <c r="B6436"/>
      <c r="C6436"/>
      <c r="D6436"/>
      <c r="E6436" s="364"/>
      <c r="F6436"/>
    </row>
    <row r="6437" spans="1:6" x14ac:dyDescent="0.25">
      <c r="A6437" s="364"/>
      <c r="B6437"/>
      <c r="C6437"/>
      <c r="D6437"/>
      <c r="E6437" s="364"/>
      <c r="F6437"/>
    </row>
    <row r="6438" spans="1:6" x14ac:dyDescent="0.25">
      <c r="A6438" s="364"/>
      <c r="B6438"/>
      <c r="C6438"/>
      <c r="D6438"/>
      <c r="E6438" s="364"/>
      <c r="F6438"/>
    </row>
    <row r="6439" spans="1:6" x14ac:dyDescent="0.25">
      <c r="A6439" s="364"/>
      <c r="B6439"/>
      <c r="C6439"/>
      <c r="D6439"/>
      <c r="E6439" s="364"/>
      <c r="F6439"/>
    </row>
    <row r="6440" spans="1:6" x14ac:dyDescent="0.25">
      <c r="A6440" s="364"/>
      <c r="B6440"/>
      <c r="C6440"/>
      <c r="D6440"/>
      <c r="E6440" s="364"/>
      <c r="F6440"/>
    </row>
    <row r="6441" spans="1:6" x14ac:dyDescent="0.25">
      <c r="A6441" s="364"/>
      <c r="B6441"/>
      <c r="C6441"/>
      <c r="D6441"/>
      <c r="E6441" s="364"/>
      <c r="F6441"/>
    </row>
    <row r="6442" spans="1:6" x14ac:dyDescent="0.25">
      <c r="A6442" s="364"/>
      <c r="B6442"/>
      <c r="C6442"/>
      <c r="D6442"/>
      <c r="E6442" s="364"/>
      <c r="F6442"/>
    </row>
    <row r="6443" spans="1:6" x14ac:dyDescent="0.25">
      <c r="A6443" s="364"/>
      <c r="B6443"/>
      <c r="C6443"/>
      <c r="D6443"/>
      <c r="E6443" s="364"/>
      <c r="F6443"/>
    </row>
    <row r="6444" spans="1:6" x14ac:dyDescent="0.25">
      <c r="A6444" s="364"/>
      <c r="B6444"/>
      <c r="C6444"/>
      <c r="D6444"/>
      <c r="E6444" s="364"/>
      <c r="F6444"/>
    </row>
    <row r="6445" spans="1:6" x14ac:dyDescent="0.25">
      <c r="A6445" s="364"/>
      <c r="B6445"/>
      <c r="C6445"/>
      <c r="D6445"/>
      <c r="E6445" s="364"/>
      <c r="F6445"/>
    </row>
    <row r="6446" spans="1:6" x14ac:dyDescent="0.25">
      <c r="A6446" s="364"/>
      <c r="B6446"/>
      <c r="C6446"/>
      <c r="D6446"/>
      <c r="E6446" s="364"/>
      <c r="F6446"/>
    </row>
    <row r="6447" spans="1:6" x14ac:dyDescent="0.25">
      <c r="A6447" s="364"/>
      <c r="B6447"/>
      <c r="C6447"/>
      <c r="D6447"/>
      <c r="E6447" s="364"/>
      <c r="F6447"/>
    </row>
    <row r="6448" spans="1:6" x14ac:dyDescent="0.25">
      <c r="A6448" s="364"/>
      <c r="B6448"/>
      <c r="C6448"/>
      <c r="D6448"/>
      <c r="E6448" s="364"/>
      <c r="F6448"/>
    </row>
    <row r="6449" spans="1:6" x14ac:dyDescent="0.25">
      <c r="A6449" s="364"/>
      <c r="B6449"/>
      <c r="C6449"/>
      <c r="D6449"/>
      <c r="E6449" s="364"/>
      <c r="F6449"/>
    </row>
    <row r="6450" spans="1:6" x14ac:dyDescent="0.25">
      <c r="A6450" s="364"/>
      <c r="B6450"/>
      <c r="C6450"/>
      <c r="D6450"/>
      <c r="E6450" s="364"/>
      <c r="F6450"/>
    </row>
    <row r="6451" spans="1:6" x14ac:dyDescent="0.25">
      <c r="A6451" s="364"/>
      <c r="B6451"/>
      <c r="C6451"/>
      <c r="D6451"/>
      <c r="E6451" s="364"/>
      <c r="F6451"/>
    </row>
    <row r="6452" spans="1:6" x14ac:dyDescent="0.25">
      <c r="A6452" s="364"/>
      <c r="B6452"/>
      <c r="C6452"/>
      <c r="D6452"/>
      <c r="E6452" s="364"/>
      <c r="F6452"/>
    </row>
    <row r="6453" spans="1:6" x14ac:dyDescent="0.25">
      <c r="A6453" s="364"/>
      <c r="B6453"/>
      <c r="C6453"/>
      <c r="D6453"/>
      <c r="E6453" s="364"/>
      <c r="F6453"/>
    </row>
    <row r="6454" spans="1:6" x14ac:dyDescent="0.25">
      <c r="A6454" s="364"/>
      <c r="B6454"/>
      <c r="C6454"/>
      <c r="D6454"/>
      <c r="E6454" s="364"/>
      <c r="F6454"/>
    </row>
    <row r="6455" spans="1:6" x14ac:dyDescent="0.25">
      <c r="A6455" s="364"/>
      <c r="B6455"/>
      <c r="C6455"/>
      <c r="D6455"/>
      <c r="E6455" s="364"/>
      <c r="F6455"/>
    </row>
    <row r="6456" spans="1:6" x14ac:dyDescent="0.25">
      <c r="A6456" s="364"/>
      <c r="B6456"/>
      <c r="C6456"/>
      <c r="D6456"/>
      <c r="E6456" s="364"/>
      <c r="F6456"/>
    </row>
    <row r="6457" spans="1:6" x14ac:dyDescent="0.25">
      <c r="A6457" s="364"/>
      <c r="B6457"/>
      <c r="C6457"/>
      <c r="D6457"/>
      <c r="E6457" s="364"/>
      <c r="F6457"/>
    </row>
    <row r="6458" spans="1:6" x14ac:dyDescent="0.25">
      <c r="A6458" s="364"/>
      <c r="B6458"/>
      <c r="C6458"/>
      <c r="D6458"/>
      <c r="E6458" s="364"/>
      <c r="F6458"/>
    </row>
    <row r="6459" spans="1:6" x14ac:dyDescent="0.25">
      <c r="A6459" s="364"/>
      <c r="B6459"/>
      <c r="C6459"/>
      <c r="D6459"/>
      <c r="E6459" s="364"/>
      <c r="F6459"/>
    </row>
    <row r="6460" spans="1:6" x14ac:dyDescent="0.25">
      <c r="A6460" s="364"/>
      <c r="B6460"/>
      <c r="C6460"/>
      <c r="D6460"/>
      <c r="E6460" s="364"/>
      <c r="F6460"/>
    </row>
    <row r="6461" spans="1:6" x14ac:dyDescent="0.25">
      <c r="A6461" s="364"/>
      <c r="B6461"/>
      <c r="C6461"/>
      <c r="D6461"/>
      <c r="E6461" s="364"/>
      <c r="F6461"/>
    </row>
    <row r="6462" spans="1:6" x14ac:dyDescent="0.25">
      <c r="A6462" s="364"/>
      <c r="B6462"/>
      <c r="C6462"/>
      <c r="D6462"/>
      <c r="E6462" s="364"/>
      <c r="F6462"/>
    </row>
    <row r="6463" spans="1:6" x14ac:dyDescent="0.25">
      <c r="A6463" s="364"/>
      <c r="B6463"/>
      <c r="C6463"/>
      <c r="D6463"/>
      <c r="E6463" s="364"/>
      <c r="F6463"/>
    </row>
    <row r="6464" spans="1:6" x14ac:dyDescent="0.25">
      <c r="A6464" s="364"/>
      <c r="B6464"/>
      <c r="C6464"/>
      <c r="D6464"/>
      <c r="E6464" s="364"/>
      <c r="F6464"/>
    </row>
    <row r="6465" spans="1:6" x14ac:dyDescent="0.25">
      <c r="A6465" s="364"/>
      <c r="B6465"/>
      <c r="C6465"/>
      <c r="D6465"/>
      <c r="E6465" s="364"/>
      <c r="F6465"/>
    </row>
    <row r="6466" spans="1:6" x14ac:dyDescent="0.25">
      <c r="A6466" s="364"/>
      <c r="B6466"/>
      <c r="C6466"/>
      <c r="D6466"/>
      <c r="E6466" s="364"/>
      <c r="F6466"/>
    </row>
    <row r="6467" spans="1:6" x14ac:dyDescent="0.25">
      <c r="A6467" s="364"/>
      <c r="B6467"/>
      <c r="C6467"/>
      <c r="D6467"/>
      <c r="E6467" s="364"/>
      <c r="F6467"/>
    </row>
    <row r="6468" spans="1:6" x14ac:dyDescent="0.25">
      <c r="A6468" s="364"/>
      <c r="B6468"/>
      <c r="C6468"/>
      <c r="D6468"/>
      <c r="E6468" s="364"/>
      <c r="F6468"/>
    </row>
    <row r="6469" spans="1:6" x14ac:dyDescent="0.25">
      <c r="A6469" s="364"/>
      <c r="B6469"/>
      <c r="C6469"/>
      <c r="D6469"/>
      <c r="E6469" s="364"/>
      <c r="F6469"/>
    </row>
    <row r="6470" spans="1:6" x14ac:dyDescent="0.25">
      <c r="A6470" s="364"/>
      <c r="B6470"/>
      <c r="C6470"/>
      <c r="D6470"/>
      <c r="E6470" s="364"/>
      <c r="F6470"/>
    </row>
    <row r="6471" spans="1:6" x14ac:dyDescent="0.25">
      <c r="A6471" s="364"/>
      <c r="B6471"/>
      <c r="C6471"/>
      <c r="D6471"/>
      <c r="E6471" s="364"/>
      <c r="F6471"/>
    </row>
    <row r="6472" spans="1:6" x14ac:dyDescent="0.25">
      <c r="A6472" s="364"/>
      <c r="B6472"/>
      <c r="C6472"/>
      <c r="D6472"/>
      <c r="E6472" s="364"/>
      <c r="F6472"/>
    </row>
    <row r="6473" spans="1:6" x14ac:dyDescent="0.25">
      <c r="A6473" s="364"/>
      <c r="B6473"/>
      <c r="C6473"/>
      <c r="D6473"/>
      <c r="E6473" s="364"/>
      <c r="F6473"/>
    </row>
    <row r="6474" spans="1:6" x14ac:dyDescent="0.25">
      <c r="A6474" s="364"/>
      <c r="B6474"/>
      <c r="C6474"/>
      <c r="D6474"/>
      <c r="E6474" s="364"/>
      <c r="F6474"/>
    </row>
    <row r="6475" spans="1:6" x14ac:dyDescent="0.25">
      <c r="A6475" s="364"/>
      <c r="B6475"/>
      <c r="C6475"/>
      <c r="D6475"/>
      <c r="E6475" s="364"/>
      <c r="F6475"/>
    </row>
    <row r="6476" spans="1:6" x14ac:dyDescent="0.25">
      <c r="A6476" s="364"/>
      <c r="B6476"/>
      <c r="C6476"/>
      <c r="D6476"/>
      <c r="E6476" s="364"/>
      <c r="F6476"/>
    </row>
    <row r="6477" spans="1:6" x14ac:dyDescent="0.25">
      <c r="A6477" s="364"/>
      <c r="B6477"/>
      <c r="C6477"/>
      <c r="D6477"/>
      <c r="E6477" s="364"/>
      <c r="F6477"/>
    </row>
    <row r="6478" spans="1:6" x14ac:dyDescent="0.25">
      <c r="A6478" s="364"/>
      <c r="B6478"/>
      <c r="C6478"/>
      <c r="D6478"/>
      <c r="E6478" s="364"/>
      <c r="F6478"/>
    </row>
    <row r="6479" spans="1:6" x14ac:dyDescent="0.25">
      <c r="A6479" s="364"/>
      <c r="B6479"/>
      <c r="C6479"/>
      <c r="D6479"/>
      <c r="E6479" s="364"/>
      <c r="F6479"/>
    </row>
    <row r="6480" spans="1:6" x14ac:dyDescent="0.25">
      <c r="A6480" s="364"/>
      <c r="B6480"/>
      <c r="C6480"/>
      <c r="D6480"/>
      <c r="E6480" s="364"/>
      <c r="F6480"/>
    </row>
    <row r="6481" spans="1:6" x14ac:dyDescent="0.25">
      <c r="A6481" s="364"/>
      <c r="B6481"/>
      <c r="C6481"/>
      <c r="D6481"/>
      <c r="E6481" s="364"/>
      <c r="F6481"/>
    </row>
    <row r="6482" spans="1:6" x14ac:dyDescent="0.25">
      <c r="A6482" s="364"/>
      <c r="B6482"/>
      <c r="C6482"/>
      <c r="D6482"/>
      <c r="E6482" s="364"/>
      <c r="F6482"/>
    </row>
    <row r="6483" spans="1:6" x14ac:dyDescent="0.25">
      <c r="A6483" s="364"/>
      <c r="B6483"/>
      <c r="C6483"/>
      <c r="D6483"/>
      <c r="E6483" s="364"/>
      <c r="F6483"/>
    </row>
    <row r="6484" spans="1:6" x14ac:dyDescent="0.25">
      <c r="A6484" s="364"/>
      <c r="B6484"/>
      <c r="C6484"/>
      <c r="D6484"/>
      <c r="E6484" s="364"/>
      <c r="F6484"/>
    </row>
    <row r="6485" spans="1:6" x14ac:dyDescent="0.25">
      <c r="A6485" s="364"/>
      <c r="B6485"/>
      <c r="C6485"/>
      <c r="D6485"/>
      <c r="E6485" s="364"/>
      <c r="F6485"/>
    </row>
    <row r="6486" spans="1:6" x14ac:dyDescent="0.25">
      <c r="A6486" s="364"/>
      <c r="B6486"/>
      <c r="C6486"/>
      <c r="D6486"/>
      <c r="E6486" s="364"/>
      <c r="F6486"/>
    </row>
    <row r="6487" spans="1:6" x14ac:dyDescent="0.25">
      <c r="A6487" s="364"/>
      <c r="B6487"/>
      <c r="C6487"/>
      <c r="D6487"/>
      <c r="E6487" s="364"/>
      <c r="F6487"/>
    </row>
    <row r="6488" spans="1:6" x14ac:dyDescent="0.25">
      <c r="A6488" s="364"/>
      <c r="B6488"/>
      <c r="C6488"/>
      <c r="D6488"/>
      <c r="E6488" s="364"/>
      <c r="F6488"/>
    </row>
    <row r="6489" spans="1:6" x14ac:dyDescent="0.25">
      <c r="A6489" s="364"/>
      <c r="B6489"/>
      <c r="C6489"/>
      <c r="D6489"/>
      <c r="E6489" s="364"/>
      <c r="F6489"/>
    </row>
    <row r="6490" spans="1:6" x14ac:dyDescent="0.25">
      <c r="A6490" s="364"/>
      <c r="B6490"/>
      <c r="C6490"/>
      <c r="D6490"/>
      <c r="E6490" s="364"/>
      <c r="F6490"/>
    </row>
    <row r="6491" spans="1:6" x14ac:dyDescent="0.25">
      <c r="A6491" s="364"/>
      <c r="B6491"/>
      <c r="C6491"/>
      <c r="D6491"/>
      <c r="E6491" s="364"/>
      <c r="F6491"/>
    </row>
    <row r="6492" spans="1:6" x14ac:dyDescent="0.25">
      <c r="A6492" s="364"/>
      <c r="B6492"/>
      <c r="C6492"/>
      <c r="D6492"/>
      <c r="E6492" s="364"/>
      <c r="F6492"/>
    </row>
    <row r="6493" spans="1:6" x14ac:dyDescent="0.25">
      <c r="A6493" s="364"/>
      <c r="B6493"/>
      <c r="C6493"/>
      <c r="D6493"/>
      <c r="E6493" s="364"/>
      <c r="F6493"/>
    </row>
    <row r="6494" spans="1:6" x14ac:dyDescent="0.25">
      <c r="A6494" s="364"/>
      <c r="B6494"/>
      <c r="C6494"/>
      <c r="D6494"/>
      <c r="E6494" s="364"/>
      <c r="F6494"/>
    </row>
    <row r="6495" spans="1:6" x14ac:dyDescent="0.25">
      <c r="A6495" s="364"/>
      <c r="B6495"/>
      <c r="C6495"/>
      <c r="D6495"/>
      <c r="E6495" s="364"/>
      <c r="F6495"/>
    </row>
    <row r="6496" spans="1:6" x14ac:dyDescent="0.25">
      <c r="A6496" s="364"/>
      <c r="B6496"/>
      <c r="C6496"/>
      <c r="D6496"/>
      <c r="E6496" s="364"/>
      <c r="F6496"/>
    </row>
    <row r="6497" spans="1:6" x14ac:dyDescent="0.25">
      <c r="A6497" s="364"/>
      <c r="B6497"/>
      <c r="C6497"/>
      <c r="D6497"/>
      <c r="E6497" s="364"/>
      <c r="F6497"/>
    </row>
    <row r="6498" spans="1:6" x14ac:dyDescent="0.25">
      <c r="A6498" s="364"/>
      <c r="B6498"/>
      <c r="C6498"/>
      <c r="D6498"/>
      <c r="E6498" s="364"/>
      <c r="F6498"/>
    </row>
    <row r="6499" spans="1:6" x14ac:dyDescent="0.25">
      <c r="A6499" s="364"/>
      <c r="B6499"/>
      <c r="C6499"/>
      <c r="D6499"/>
      <c r="E6499" s="364"/>
      <c r="F6499"/>
    </row>
    <row r="6500" spans="1:6" x14ac:dyDescent="0.25">
      <c r="A6500" s="364"/>
      <c r="B6500"/>
      <c r="C6500"/>
      <c r="D6500"/>
      <c r="E6500" s="364"/>
      <c r="F6500"/>
    </row>
    <row r="6501" spans="1:6" x14ac:dyDescent="0.25">
      <c r="A6501" s="364"/>
      <c r="B6501"/>
      <c r="C6501"/>
      <c r="D6501"/>
      <c r="E6501" s="364"/>
      <c r="F6501"/>
    </row>
    <row r="6502" spans="1:6" x14ac:dyDescent="0.25">
      <c r="A6502" s="364"/>
      <c r="B6502"/>
      <c r="C6502"/>
      <c r="D6502"/>
      <c r="E6502" s="364"/>
      <c r="F6502"/>
    </row>
    <row r="6503" spans="1:6" x14ac:dyDescent="0.25">
      <c r="A6503" s="364"/>
      <c r="B6503"/>
      <c r="C6503"/>
      <c r="D6503"/>
      <c r="E6503" s="364"/>
      <c r="F6503"/>
    </row>
    <row r="6504" spans="1:6" x14ac:dyDescent="0.25">
      <c r="A6504" s="364"/>
      <c r="B6504"/>
      <c r="C6504"/>
      <c r="D6504"/>
      <c r="E6504" s="364"/>
      <c r="F6504"/>
    </row>
    <row r="6505" spans="1:6" x14ac:dyDescent="0.25">
      <c r="A6505" s="364"/>
      <c r="B6505"/>
      <c r="C6505"/>
      <c r="D6505"/>
      <c r="E6505" s="364"/>
      <c r="F6505"/>
    </row>
    <row r="6506" spans="1:6" x14ac:dyDescent="0.25">
      <c r="A6506" s="364"/>
      <c r="B6506"/>
      <c r="C6506"/>
      <c r="D6506"/>
      <c r="E6506" s="364"/>
      <c r="F6506"/>
    </row>
    <row r="6507" spans="1:6" x14ac:dyDescent="0.25">
      <c r="A6507" s="364"/>
      <c r="B6507"/>
      <c r="C6507"/>
      <c r="D6507"/>
      <c r="E6507" s="364"/>
      <c r="F6507"/>
    </row>
    <row r="6508" spans="1:6" x14ac:dyDescent="0.25">
      <c r="A6508" s="364"/>
      <c r="B6508"/>
      <c r="C6508"/>
      <c r="D6508"/>
      <c r="E6508" s="364"/>
      <c r="F6508"/>
    </row>
    <row r="6509" spans="1:6" x14ac:dyDescent="0.25">
      <c r="A6509" s="364"/>
      <c r="B6509"/>
      <c r="C6509"/>
      <c r="D6509"/>
      <c r="E6509" s="364"/>
      <c r="F6509"/>
    </row>
    <row r="6510" spans="1:6" x14ac:dyDescent="0.25">
      <c r="A6510" s="364"/>
      <c r="B6510"/>
      <c r="C6510"/>
      <c r="D6510"/>
      <c r="E6510" s="364"/>
      <c r="F6510"/>
    </row>
    <row r="6511" spans="1:6" x14ac:dyDescent="0.25">
      <c r="A6511" s="364"/>
      <c r="B6511"/>
      <c r="C6511"/>
      <c r="D6511"/>
      <c r="E6511" s="364"/>
      <c r="F6511"/>
    </row>
    <row r="6512" spans="1:6" x14ac:dyDescent="0.25">
      <c r="A6512" s="364"/>
      <c r="B6512"/>
      <c r="C6512"/>
      <c r="D6512"/>
      <c r="E6512" s="364"/>
      <c r="F6512"/>
    </row>
    <row r="6513" spans="1:6" x14ac:dyDescent="0.25">
      <c r="A6513" s="364"/>
      <c r="B6513"/>
      <c r="C6513"/>
      <c r="D6513"/>
      <c r="E6513" s="364"/>
      <c r="F6513"/>
    </row>
    <row r="6514" spans="1:6" x14ac:dyDescent="0.25">
      <c r="A6514" s="364"/>
      <c r="B6514"/>
      <c r="C6514"/>
      <c r="D6514"/>
      <c r="E6514" s="364"/>
      <c r="F6514"/>
    </row>
    <row r="6515" spans="1:6" x14ac:dyDescent="0.25">
      <c r="A6515" s="364"/>
      <c r="B6515"/>
      <c r="C6515"/>
      <c r="D6515"/>
      <c r="E6515" s="364"/>
      <c r="F6515"/>
    </row>
    <row r="6516" spans="1:6" x14ac:dyDescent="0.25">
      <c r="A6516" s="364"/>
      <c r="B6516"/>
      <c r="C6516"/>
      <c r="D6516"/>
      <c r="E6516" s="364"/>
      <c r="F6516"/>
    </row>
    <row r="6517" spans="1:6" x14ac:dyDescent="0.25">
      <c r="A6517" s="364"/>
      <c r="B6517"/>
      <c r="C6517"/>
      <c r="D6517"/>
      <c r="E6517" s="364"/>
      <c r="F6517"/>
    </row>
    <row r="6518" spans="1:6" x14ac:dyDescent="0.25">
      <c r="A6518" s="364"/>
      <c r="B6518"/>
      <c r="C6518"/>
      <c r="D6518"/>
      <c r="E6518" s="364"/>
      <c r="F6518"/>
    </row>
    <row r="6519" spans="1:6" x14ac:dyDescent="0.25">
      <c r="A6519" s="364"/>
      <c r="B6519"/>
      <c r="C6519"/>
      <c r="D6519"/>
      <c r="E6519" s="364"/>
      <c r="F6519"/>
    </row>
    <row r="6520" spans="1:6" x14ac:dyDescent="0.25">
      <c r="A6520" s="364"/>
      <c r="B6520"/>
      <c r="C6520"/>
      <c r="D6520"/>
      <c r="E6520" s="364"/>
      <c r="F6520"/>
    </row>
    <row r="6521" spans="1:6" x14ac:dyDescent="0.25">
      <c r="A6521" s="364"/>
      <c r="B6521"/>
      <c r="C6521"/>
      <c r="D6521"/>
      <c r="E6521" s="364"/>
      <c r="F6521"/>
    </row>
    <row r="6522" spans="1:6" x14ac:dyDescent="0.25">
      <c r="A6522" s="364"/>
      <c r="B6522"/>
      <c r="C6522"/>
      <c r="D6522"/>
      <c r="E6522" s="364"/>
      <c r="F6522"/>
    </row>
    <row r="6523" spans="1:6" x14ac:dyDescent="0.25">
      <c r="A6523" s="364"/>
      <c r="B6523"/>
      <c r="C6523"/>
      <c r="D6523"/>
      <c r="E6523" s="364"/>
      <c r="F6523"/>
    </row>
    <row r="6524" spans="1:6" x14ac:dyDescent="0.25">
      <c r="A6524" s="364"/>
      <c r="B6524"/>
      <c r="C6524"/>
      <c r="D6524"/>
      <c r="E6524" s="364"/>
      <c r="F6524"/>
    </row>
    <row r="6525" spans="1:6" x14ac:dyDescent="0.25">
      <c r="A6525" s="364"/>
      <c r="B6525"/>
      <c r="C6525"/>
      <c r="D6525"/>
      <c r="E6525" s="364"/>
      <c r="F6525"/>
    </row>
    <row r="6526" spans="1:6" x14ac:dyDescent="0.25">
      <c r="A6526" s="364"/>
      <c r="B6526"/>
      <c r="C6526"/>
      <c r="D6526"/>
      <c r="E6526" s="364"/>
      <c r="F6526"/>
    </row>
    <row r="6527" spans="1:6" x14ac:dyDescent="0.25">
      <c r="A6527" s="364"/>
      <c r="B6527"/>
      <c r="C6527"/>
      <c r="D6527"/>
      <c r="E6527" s="364"/>
      <c r="F6527"/>
    </row>
    <row r="6528" spans="1:6" x14ac:dyDescent="0.25">
      <c r="A6528" s="364"/>
      <c r="B6528"/>
      <c r="C6528"/>
      <c r="D6528"/>
      <c r="E6528" s="364"/>
      <c r="F6528"/>
    </row>
    <row r="6529" spans="1:6" x14ac:dyDescent="0.25">
      <c r="A6529" s="364"/>
      <c r="B6529"/>
      <c r="C6529"/>
      <c r="D6529"/>
      <c r="E6529" s="364"/>
      <c r="F6529"/>
    </row>
    <row r="6530" spans="1:6" x14ac:dyDescent="0.25">
      <c r="A6530" s="364"/>
      <c r="B6530"/>
      <c r="C6530"/>
      <c r="D6530"/>
      <c r="E6530" s="364"/>
      <c r="F6530"/>
    </row>
    <row r="6531" spans="1:6" x14ac:dyDescent="0.25">
      <c r="A6531" s="364"/>
      <c r="B6531"/>
      <c r="C6531"/>
      <c r="D6531"/>
      <c r="E6531" s="364"/>
      <c r="F6531"/>
    </row>
    <row r="6532" spans="1:6" x14ac:dyDescent="0.25">
      <c r="A6532" s="364"/>
      <c r="B6532"/>
      <c r="C6532"/>
      <c r="D6532"/>
      <c r="E6532" s="364"/>
      <c r="F6532"/>
    </row>
    <row r="6533" spans="1:6" x14ac:dyDescent="0.25">
      <c r="A6533" s="364"/>
      <c r="B6533"/>
      <c r="C6533"/>
      <c r="D6533"/>
      <c r="E6533" s="364"/>
      <c r="F6533"/>
    </row>
    <row r="6534" spans="1:6" x14ac:dyDescent="0.25">
      <c r="A6534" s="364"/>
      <c r="B6534"/>
      <c r="C6534"/>
      <c r="D6534"/>
      <c r="E6534" s="364"/>
      <c r="F6534"/>
    </row>
    <row r="6535" spans="1:6" x14ac:dyDescent="0.25">
      <c r="A6535" s="364"/>
      <c r="B6535"/>
      <c r="C6535"/>
      <c r="D6535"/>
      <c r="E6535" s="364"/>
      <c r="F6535"/>
    </row>
    <row r="6536" spans="1:6" x14ac:dyDescent="0.25">
      <c r="A6536" s="364"/>
      <c r="B6536"/>
      <c r="C6536"/>
      <c r="D6536"/>
      <c r="E6536" s="364"/>
      <c r="F6536"/>
    </row>
    <row r="6537" spans="1:6" x14ac:dyDescent="0.25">
      <c r="A6537" s="364"/>
      <c r="B6537"/>
      <c r="C6537"/>
      <c r="D6537"/>
      <c r="E6537" s="364"/>
      <c r="F6537"/>
    </row>
    <row r="6538" spans="1:6" x14ac:dyDescent="0.25">
      <c r="A6538" s="364"/>
      <c r="B6538"/>
      <c r="C6538"/>
      <c r="D6538"/>
      <c r="E6538" s="364"/>
      <c r="F6538"/>
    </row>
    <row r="6539" spans="1:6" x14ac:dyDescent="0.25">
      <c r="A6539" s="364"/>
      <c r="B6539"/>
      <c r="C6539"/>
      <c r="D6539"/>
      <c r="E6539" s="364"/>
      <c r="F6539"/>
    </row>
    <row r="6540" spans="1:6" x14ac:dyDescent="0.25">
      <c r="A6540" s="364"/>
      <c r="B6540"/>
      <c r="C6540"/>
      <c r="D6540"/>
      <c r="E6540" s="364"/>
      <c r="F6540"/>
    </row>
    <row r="6541" spans="1:6" x14ac:dyDescent="0.25">
      <c r="A6541" s="364"/>
      <c r="B6541"/>
      <c r="C6541"/>
      <c r="D6541"/>
      <c r="E6541" s="364"/>
      <c r="F6541"/>
    </row>
    <row r="6542" spans="1:6" x14ac:dyDescent="0.25">
      <c r="A6542" s="364"/>
      <c r="B6542"/>
      <c r="C6542"/>
      <c r="D6542"/>
      <c r="E6542" s="364"/>
      <c r="F6542"/>
    </row>
    <row r="6543" spans="1:6" x14ac:dyDescent="0.25">
      <c r="A6543" s="364"/>
      <c r="B6543"/>
      <c r="C6543"/>
      <c r="D6543"/>
      <c r="E6543" s="364"/>
      <c r="F6543"/>
    </row>
    <row r="6544" spans="1:6" x14ac:dyDescent="0.25">
      <c r="A6544" s="364"/>
      <c r="B6544"/>
      <c r="C6544"/>
      <c r="D6544"/>
      <c r="E6544" s="364"/>
      <c r="F6544"/>
    </row>
    <row r="6545" spans="1:6" x14ac:dyDescent="0.25">
      <c r="A6545" s="364"/>
      <c r="B6545"/>
      <c r="C6545"/>
      <c r="D6545"/>
      <c r="E6545" s="364"/>
      <c r="F6545"/>
    </row>
    <row r="6546" spans="1:6" x14ac:dyDescent="0.25">
      <c r="A6546" s="364"/>
      <c r="B6546"/>
      <c r="C6546"/>
      <c r="D6546"/>
      <c r="E6546" s="364"/>
      <c r="F6546"/>
    </row>
    <row r="6547" spans="1:6" x14ac:dyDescent="0.25">
      <c r="A6547" s="364"/>
      <c r="B6547"/>
      <c r="C6547"/>
      <c r="D6547"/>
      <c r="E6547" s="364"/>
      <c r="F6547"/>
    </row>
    <row r="6548" spans="1:6" x14ac:dyDescent="0.25">
      <c r="A6548" s="364"/>
      <c r="B6548"/>
      <c r="C6548"/>
      <c r="D6548"/>
      <c r="E6548" s="364"/>
      <c r="F6548"/>
    </row>
    <row r="6549" spans="1:6" x14ac:dyDescent="0.25">
      <c r="A6549" s="364"/>
      <c r="B6549"/>
      <c r="C6549"/>
      <c r="D6549"/>
      <c r="E6549" s="364"/>
      <c r="F6549"/>
    </row>
    <row r="6550" spans="1:6" x14ac:dyDescent="0.25">
      <c r="A6550" s="364"/>
      <c r="B6550"/>
      <c r="C6550"/>
      <c r="D6550"/>
      <c r="E6550" s="364"/>
      <c r="F6550"/>
    </row>
    <row r="6551" spans="1:6" x14ac:dyDescent="0.25">
      <c r="A6551" s="364"/>
      <c r="B6551"/>
      <c r="C6551"/>
      <c r="D6551"/>
      <c r="E6551" s="364"/>
      <c r="F6551"/>
    </row>
    <row r="6552" spans="1:6" x14ac:dyDescent="0.25">
      <c r="A6552" s="364"/>
      <c r="B6552"/>
      <c r="C6552"/>
      <c r="D6552"/>
      <c r="E6552" s="364"/>
      <c r="F6552"/>
    </row>
    <row r="6553" spans="1:6" x14ac:dyDescent="0.25">
      <c r="A6553" s="364"/>
      <c r="B6553"/>
      <c r="C6553"/>
      <c r="D6553"/>
      <c r="E6553" s="364"/>
      <c r="F6553"/>
    </row>
    <row r="6554" spans="1:6" x14ac:dyDescent="0.25">
      <c r="A6554" s="364"/>
      <c r="B6554"/>
      <c r="C6554"/>
      <c r="D6554"/>
      <c r="E6554" s="364"/>
      <c r="F6554"/>
    </row>
    <row r="6555" spans="1:6" x14ac:dyDescent="0.25">
      <c r="A6555" s="364"/>
      <c r="B6555"/>
      <c r="C6555"/>
      <c r="D6555"/>
      <c r="E6555" s="364"/>
      <c r="F6555"/>
    </row>
    <row r="6556" spans="1:6" x14ac:dyDescent="0.25">
      <c r="A6556" s="364"/>
      <c r="B6556"/>
      <c r="C6556"/>
      <c r="D6556"/>
      <c r="E6556" s="364"/>
      <c r="F6556"/>
    </row>
    <row r="6557" spans="1:6" x14ac:dyDescent="0.25">
      <c r="A6557" s="364"/>
      <c r="B6557"/>
      <c r="C6557"/>
      <c r="D6557"/>
      <c r="E6557" s="364"/>
      <c r="F6557"/>
    </row>
    <row r="6558" spans="1:6" x14ac:dyDescent="0.25">
      <c r="A6558" s="364"/>
      <c r="B6558"/>
      <c r="C6558"/>
      <c r="D6558"/>
      <c r="E6558" s="364"/>
      <c r="F6558"/>
    </row>
    <row r="6559" spans="1:6" x14ac:dyDescent="0.25">
      <c r="A6559" s="364"/>
      <c r="B6559"/>
      <c r="C6559"/>
      <c r="D6559"/>
      <c r="E6559" s="364"/>
      <c r="F6559"/>
    </row>
    <row r="6560" spans="1:6" x14ac:dyDescent="0.25">
      <c r="A6560" s="364"/>
      <c r="B6560"/>
      <c r="C6560"/>
      <c r="D6560"/>
      <c r="E6560" s="364"/>
      <c r="F6560"/>
    </row>
    <row r="6561" spans="1:6" x14ac:dyDescent="0.25">
      <c r="A6561" s="364"/>
      <c r="B6561"/>
      <c r="C6561"/>
      <c r="D6561"/>
      <c r="E6561" s="364"/>
      <c r="F6561"/>
    </row>
    <row r="6562" spans="1:6" x14ac:dyDescent="0.25">
      <c r="A6562" s="364"/>
      <c r="B6562"/>
      <c r="C6562"/>
      <c r="D6562"/>
      <c r="E6562" s="364"/>
      <c r="F6562"/>
    </row>
    <row r="6563" spans="1:6" x14ac:dyDescent="0.25">
      <c r="A6563" s="364"/>
      <c r="B6563"/>
      <c r="C6563"/>
      <c r="D6563"/>
      <c r="E6563" s="364"/>
      <c r="F6563"/>
    </row>
    <row r="6564" spans="1:6" x14ac:dyDescent="0.25">
      <c r="A6564" s="364"/>
      <c r="B6564"/>
      <c r="C6564"/>
      <c r="D6564"/>
      <c r="E6564" s="364"/>
      <c r="F6564"/>
    </row>
    <row r="6565" spans="1:6" x14ac:dyDescent="0.25">
      <c r="A6565" s="364"/>
      <c r="B6565"/>
      <c r="C6565"/>
      <c r="D6565"/>
      <c r="E6565" s="364"/>
      <c r="F6565"/>
    </row>
    <row r="6566" spans="1:6" x14ac:dyDescent="0.25">
      <c r="A6566" s="364"/>
      <c r="B6566"/>
      <c r="C6566"/>
      <c r="D6566"/>
      <c r="E6566" s="364"/>
      <c r="F6566"/>
    </row>
    <row r="6567" spans="1:6" x14ac:dyDescent="0.25">
      <c r="A6567" s="364"/>
      <c r="B6567"/>
      <c r="C6567"/>
      <c r="D6567"/>
      <c r="E6567" s="364"/>
      <c r="F6567"/>
    </row>
    <row r="6568" spans="1:6" x14ac:dyDescent="0.25">
      <c r="A6568" s="364"/>
      <c r="B6568"/>
      <c r="C6568"/>
      <c r="D6568"/>
      <c r="E6568" s="364"/>
      <c r="F6568"/>
    </row>
    <row r="6569" spans="1:6" x14ac:dyDescent="0.25">
      <c r="A6569" s="364"/>
      <c r="B6569"/>
      <c r="C6569"/>
      <c r="D6569"/>
      <c r="E6569" s="364"/>
      <c r="F6569"/>
    </row>
    <row r="6570" spans="1:6" x14ac:dyDescent="0.25">
      <c r="A6570" s="364"/>
      <c r="B6570"/>
      <c r="C6570"/>
      <c r="D6570"/>
      <c r="E6570" s="364"/>
      <c r="F6570"/>
    </row>
    <row r="6571" spans="1:6" x14ac:dyDescent="0.25">
      <c r="A6571" s="364"/>
      <c r="B6571"/>
      <c r="C6571"/>
      <c r="D6571"/>
      <c r="E6571" s="364"/>
      <c r="F6571"/>
    </row>
    <row r="6572" spans="1:6" x14ac:dyDescent="0.25">
      <c r="A6572" s="364"/>
      <c r="B6572"/>
      <c r="C6572"/>
      <c r="D6572"/>
      <c r="E6572" s="364"/>
      <c r="F6572"/>
    </row>
    <row r="6573" spans="1:6" x14ac:dyDescent="0.25">
      <c r="A6573" s="364"/>
      <c r="B6573"/>
      <c r="C6573"/>
      <c r="D6573"/>
      <c r="E6573" s="364"/>
      <c r="F6573"/>
    </row>
    <row r="6574" spans="1:6" x14ac:dyDescent="0.25">
      <c r="A6574" s="364"/>
      <c r="B6574"/>
      <c r="C6574"/>
      <c r="D6574"/>
      <c r="E6574" s="364"/>
      <c r="F6574"/>
    </row>
    <row r="6575" spans="1:6" x14ac:dyDescent="0.25">
      <c r="A6575" s="364"/>
      <c r="B6575"/>
      <c r="C6575"/>
      <c r="D6575"/>
      <c r="E6575" s="364"/>
      <c r="F6575"/>
    </row>
    <row r="6576" spans="1:6" x14ac:dyDescent="0.25">
      <c r="A6576" s="364"/>
      <c r="B6576"/>
      <c r="C6576"/>
      <c r="D6576"/>
      <c r="E6576" s="364"/>
      <c r="F6576"/>
    </row>
    <row r="6577" spans="1:6" x14ac:dyDescent="0.25">
      <c r="A6577" s="364"/>
      <c r="B6577"/>
      <c r="C6577"/>
      <c r="D6577"/>
      <c r="E6577" s="364"/>
      <c r="F6577"/>
    </row>
    <row r="6578" spans="1:6" x14ac:dyDescent="0.25">
      <c r="A6578" s="364"/>
      <c r="B6578"/>
      <c r="C6578"/>
      <c r="D6578"/>
      <c r="E6578" s="364"/>
      <c r="F6578"/>
    </row>
    <row r="6579" spans="1:6" x14ac:dyDescent="0.25">
      <c r="A6579" s="364"/>
      <c r="B6579"/>
      <c r="C6579"/>
      <c r="D6579"/>
      <c r="E6579" s="364"/>
      <c r="F6579"/>
    </row>
    <row r="6580" spans="1:6" x14ac:dyDescent="0.25">
      <c r="A6580" s="364"/>
      <c r="B6580"/>
      <c r="C6580"/>
      <c r="D6580"/>
      <c r="E6580" s="364"/>
      <c r="F6580"/>
    </row>
    <row r="6581" spans="1:6" x14ac:dyDescent="0.25">
      <c r="A6581" s="364"/>
      <c r="B6581"/>
      <c r="C6581"/>
      <c r="D6581"/>
      <c r="E6581" s="364"/>
      <c r="F6581"/>
    </row>
    <row r="6582" spans="1:6" x14ac:dyDescent="0.25">
      <c r="A6582" s="364"/>
      <c r="B6582"/>
      <c r="C6582"/>
      <c r="D6582"/>
      <c r="E6582" s="364"/>
      <c r="F6582"/>
    </row>
    <row r="6583" spans="1:6" x14ac:dyDescent="0.25">
      <c r="A6583" s="364"/>
      <c r="B6583"/>
      <c r="C6583"/>
      <c r="D6583"/>
      <c r="E6583" s="364"/>
      <c r="F6583"/>
    </row>
    <row r="6584" spans="1:6" x14ac:dyDescent="0.25">
      <c r="A6584" s="364"/>
      <c r="B6584"/>
      <c r="C6584"/>
      <c r="D6584"/>
      <c r="E6584" s="364"/>
      <c r="F6584"/>
    </row>
    <row r="6585" spans="1:6" x14ac:dyDescent="0.25">
      <c r="A6585" s="364"/>
      <c r="B6585"/>
      <c r="C6585"/>
      <c r="D6585"/>
      <c r="E6585" s="364"/>
      <c r="F6585"/>
    </row>
    <row r="6586" spans="1:6" x14ac:dyDescent="0.25">
      <c r="A6586" s="364"/>
      <c r="B6586"/>
      <c r="C6586"/>
      <c r="D6586"/>
      <c r="E6586" s="364"/>
      <c r="F6586"/>
    </row>
    <row r="6587" spans="1:6" x14ac:dyDescent="0.25">
      <c r="A6587" s="364"/>
      <c r="B6587"/>
      <c r="C6587"/>
      <c r="D6587"/>
      <c r="E6587" s="364"/>
      <c r="F6587"/>
    </row>
    <row r="6588" spans="1:6" x14ac:dyDescent="0.25">
      <c r="A6588" s="364"/>
      <c r="B6588"/>
      <c r="C6588"/>
      <c r="D6588"/>
      <c r="E6588" s="364"/>
      <c r="F6588"/>
    </row>
    <row r="6589" spans="1:6" x14ac:dyDescent="0.25">
      <c r="A6589" s="364"/>
      <c r="B6589"/>
      <c r="C6589"/>
      <c r="D6589"/>
      <c r="E6589" s="364"/>
      <c r="F6589"/>
    </row>
    <row r="6590" spans="1:6" x14ac:dyDescent="0.25">
      <c r="A6590" s="364"/>
      <c r="B6590"/>
      <c r="C6590"/>
      <c r="D6590"/>
      <c r="E6590" s="364"/>
      <c r="F6590"/>
    </row>
    <row r="6591" spans="1:6" x14ac:dyDescent="0.25">
      <c r="A6591" s="364"/>
      <c r="B6591"/>
      <c r="C6591"/>
      <c r="D6591"/>
      <c r="E6591" s="364"/>
      <c r="F6591"/>
    </row>
    <row r="6592" spans="1:6" x14ac:dyDescent="0.25">
      <c r="A6592" s="364"/>
      <c r="B6592"/>
      <c r="C6592"/>
      <c r="D6592"/>
      <c r="E6592" s="364"/>
      <c r="F6592"/>
    </row>
    <row r="6593" spans="1:6" x14ac:dyDescent="0.25">
      <c r="A6593" s="364"/>
      <c r="B6593"/>
      <c r="C6593"/>
      <c r="D6593"/>
      <c r="E6593" s="364"/>
      <c r="F6593"/>
    </row>
    <row r="6594" spans="1:6" x14ac:dyDescent="0.25">
      <c r="A6594" s="364"/>
      <c r="B6594"/>
      <c r="C6594"/>
      <c r="D6594"/>
      <c r="E6594" s="364"/>
      <c r="F6594"/>
    </row>
    <row r="6595" spans="1:6" x14ac:dyDescent="0.25">
      <c r="A6595" s="364"/>
      <c r="B6595"/>
      <c r="C6595"/>
      <c r="D6595"/>
      <c r="E6595" s="364"/>
      <c r="F6595"/>
    </row>
    <row r="6596" spans="1:6" x14ac:dyDescent="0.25">
      <c r="A6596" s="364"/>
      <c r="B6596"/>
      <c r="C6596"/>
      <c r="D6596"/>
      <c r="E6596" s="364"/>
      <c r="F6596"/>
    </row>
    <row r="6597" spans="1:6" x14ac:dyDescent="0.25">
      <c r="A6597" s="364"/>
      <c r="B6597"/>
      <c r="C6597"/>
      <c r="D6597"/>
      <c r="E6597" s="364"/>
      <c r="F6597"/>
    </row>
    <row r="6598" spans="1:6" x14ac:dyDescent="0.25">
      <c r="A6598" s="364"/>
      <c r="B6598"/>
      <c r="C6598"/>
      <c r="D6598"/>
      <c r="E6598" s="364"/>
      <c r="F6598"/>
    </row>
    <row r="6599" spans="1:6" x14ac:dyDescent="0.25">
      <c r="A6599" s="364"/>
      <c r="B6599"/>
      <c r="C6599"/>
      <c r="D6599"/>
      <c r="E6599" s="364"/>
      <c r="F6599"/>
    </row>
    <row r="6600" spans="1:6" x14ac:dyDescent="0.25">
      <c r="A6600" s="364"/>
      <c r="B6600"/>
      <c r="C6600"/>
      <c r="D6600"/>
      <c r="E6600" s="364"/>
      <c r="F6600"/>
    </row>
    <row r="6601" spans="1:6" x14ac:dyDescent="0.25">
      <c r="A6601" s="364"/>
      <c r="B6601"/>
      <c r="C6601"/>
      <c r="D6601"/>
      <c r="E6601" s="364"/>
      <c r="F6601"/>
    </row>
    <row r="6602" spans="1:6" x14ac:dyDescent="0.25">
      <c r="A6602" s="364"/>
      <c r="B6602"/>
      <c r="C6602"/>
      <c r="D6602"/>
      <c r="E6602" s="364"/>
      <c r="F6602"/>
    </row>
    <row r="6603" spans="1:6" x14ac:dyDescent="0.25">
      <c r="A6603" s="364"/>
      <c r="B6603"/>
      <c r="C6603"/>
      <c r="D6603"/>
      <c r="E6603" s="364"/>
      <c r="F6603"/>
    </row>
    <row r="6604" spans="1:6" x14ac:dyDescent="0.25">
      <c r="A6604" s="364"/>
      <c r="B6604"/>
      <c r="C6604"/>
      <c r="D6604"/>
      <c r="E6604" s="364"/>
      <c r="F6604"/>
    </row>
    <row r="6605" spans="1:6" x14ac:dyDescent="0.25">
      <c r="A6605" s="364"/>
      <c r="B6605"/>
      <c r="C6605"/>
      <c r="D6605"/>
      <c r="E6605" s="364"/>
      <c r="F6605"/>
    </row>
    <row r="6606" spans="1:6" x14ac:dyDescent="0.25">
      <c r="A6606" s="364"/>
      <c r="B6606"/>
      <c r="C6606"/>
      <c r="D6606"/>
      <c r="E6606" s="364"/>
      <c r="F6606"/>
    </row>
    <row r="6607" spans="1:6" x14ac:dyDescent="0.25">
      <c r="A6607" s="364"/>
      <c r="B6607"/>
      <c r="C6607"/>
      <c r="D6607"/>
      <c r="E6607" s="364"/>
      <c r="F6607"/>
    </row>
    <row r="6608" spans="1:6" x14ac:dyDescent="0.25">
      <c r="A6608" s="364"/>
      <c r="B6608"/>
      <c r="C6608"/>
      <c r="D6608"/>
      <c r="E6608" s="364"/>
      <c r="F6608"/>
    </row>
    <row r="6609" spans="1:6" x14ac:dyDescent="0.25">
      <c r="A6609" s="364"/>
      <c r="B6609"/>
      <c r="C6609"/>
      <c r="D6609"/>
      <c r="E6609" s="364"/>
      <c r="F6609"/>
    </row>
    <row r="6610" spans="1:6" x14ac:dyDescent="0.25">
      <c r="A6610" s="364"/>
      <c r="B6610"/>
      <c r="C6610"/>
      <c r="D6610"/>
      <c r="E6610" s="364"/>
      <c r="F6610"/>
    </row>
    <row r="6611" spans="1:6" x14ac:dyDescent="0.25">
      <c r="A6611" s="364"/>
      <c r="B6611"/>
      <c r="C6611"/>
      <c r="D6611"/>
      <c r="E6611" s="364"/>
      <c r="F6611"/>
    </row>
    <row r="6612" spans="1:6" x14ac:dyDescent="0.25">
      <c r="A6612" s="364"/>
      <c r="B6612"/>
      <c r="C6612"/>
      <c r="D6612"/>
      <c r="E6612" s="364"/>
      <c r="F6612"/>
    </row>
    <row r="6613" spans="1:6" x14ac:dyDescent="0.25">
      <c r="A6613" s="364"/>
      <c r="B6613"/>
      <c r="C6613"/>
      <c r="D6613"/>
      <c r="E6613" s="364"/>
      <c r="F6613"/>
    </row>
    <row r="6614" spans="1:6" x14ac:dyDescent="0.25">
      <c r="A6614" s="364"/>
      <c r="B6614"/>
      <c r="C6614"/>
      <c r="D6614"/>
      <c r="E6614" s="364"/>
      <c r="F6614"/>
    </row>
    <row r="6615" spans="1:6" x14ac:dyDescent="0.25">
      <c r="A6615" s="364"/>
      <c r="B6615"/>
      <c r="C6615"/>
      <c r="D6615"/>
      <c r="E6615" s="364"/>
      <c r="F6615"/>
    </row>
    <row r="6616" spans="1:6" x14ac:dyDescent="0.25">
      <c r="A6616" s="364"/>
      <c r="B6616"/>
      <c r="C6616"/>
      <c r="D6616"/>
      <c r="E6616" s="364"/>
      <c r="F6616"/>
    </row>
    <row r="6617" spans="1:6" x14ac:dyDescent="0.25">
      <c r="A6617" s="364"/>
      <c r="B6617"/>
      <c r="C6617"/>
      <c r="D6617"/>
      <c r="E6617" s="364"/>
      <c r="F6617"/>
    </row>
    <row r="6618" spans="1:6" x14ac:dyDescent="0.25">
      <c r="A6618" s="364"/>
      <c r="B6618"/>
      <c r="C6618"/>
      <c r="D6618"/>
      <c r="E6618" s="364"/>
      <c r="F6618"/>
    </row>
    <row r="6619" spans="1:6" x14ac:dyDescent="0.25">
      <c r="A6619" s="364"/>
      <c r="B6619"/>
      <c r="C6619"/>
      <c r="D6619"/>
      <c r="E6619" s="364"/>
      <c r="F6619"/>
    </row>
    <row r="6620" spans="1:6" x14ac:dyDescent="0.25">
      <c r="A6620" s="364"/>
      <c r="B6620"/>
      <c r="C6620"/>
      <c r="D6620"/>
      <c r="E6620" s="364"/>
      <c r="F6620"/>
    </row>
    <row r="6621" spans="1:6" x14ac:dyDescent="0.25">
      <c r="A6621" s="364"/>
      <c r="B6621"/>
      <c r="C6621"/>
      <c r="D6621"/>
      <c r="E6621" s="364"/>
      <c r="F6621"/>
    </row>
    <row r="6622" spans="1:6" x14ac:dyDescent="0.25">
      <c r="A6622" s="364"/>
      <c r="B6622"/>
      <c r="C6622"/>
      <c r="D6622"/>
      <c r="E6622" s="364"/>
      <c r="F6622"/>
    </row>
    <row r="6623" spans="1:6" x14ac:dyDescent="0.25">
      <c r="A6623" s="364"/>
      <c r="B6623"/>
      <c r="C6623"/>
      <c r="D6623"/>
      <c r="E6623" s="364"/>
      <c r="F6623"/>
    </row>
    <row r="6624" spans="1:6" x14ac:dyDescent="0.25">
      <c r="A6624" s="364"/>
      <c r="B6624"/>
      <c r="C6624"/>
      <c r="D6624"/>
      <c r="E6624" s="364"/>
      <c r="F6624"/>
    </row>
    <row r="6625" spans="1:6" x14ac:dyDescent="0.25">
      <c r="A6625" s="364"/>
      <c r="B6625"/>
      <c r="C6625"/>
      <c r="D6625"/>
      <c r="E6625" s="364"/>
      <c r="F6625"/>
    </row>
    <row r="6626" spans="1:6" x14ac:dyDescent="0.25">
      <c r="A6626" s="364"/>
      <c r="B6626"/>
      <c r="C6626"/>
      <c r="D6626"/>
      <c r="E6626" s="364"/>
      <c r="F6626"/>
    </row>
    <row r="6627" spans="1:6" x14ac:dyDescent="0.25">
      <c r="A6627" s="364"/>
      <c r="B6627"/>
      <c r="C6627"/>
      <c r="D6627"/>
      <c r="E6627" s="364"/>
      <c r="F6627"/>
    </row>
    <row r="6628" spans="1:6" x14ac:dyDescent="0.25">
      <c r="A6628" s="364"/>
      <c r="B6628"/>
      <c r="C6628"/>
      <c r="D6628"/>
      <c r="E6628" s="364"/>
      <c r="F6628"/>
    </row>
    <row r="6629" spans="1:6" x14ac:dyDescent="0.25">
      <c r="A6629" s="364"/>
      <c r="B6629"/>
      <c r="C6629"/>
      <c r="D6629"/>
      <c r="E6629" s="364"/>
      <c r="F6629"/>
    </row>
    <row r="6630" spans="1:6" x14ac:dyDescent="0.25">
      <c r="A6630" s="364"/>
      <c r="B6630"/>
      <c r="C6630"/>
      <c r="D6630"/>
      <c r="E6630" s="364"/>
      <c r="F6630"/>
    </row>
    <row r="6631" spans="1:6" x14ac:dyDescent="0.25">
      <c r="A6631" s="364"/>
      <c r="B6631"/>
      <c r="C6631"/>
      <c r="D6631"/>
      <c r="E6631" s="364"/>
      <c r="F6631"/>
    </row>
    <row r="6632" spans="1:6" x14ac:dyDescent="0.25">
      <c r="A6632" s="364"/>
      <c r="B6632"/>
      <c r="C6632"/>
      <c r="D6632"/>
      <c r="E6632" s="364"/>
      <c r="F6632"/>
    </row>
    <row r="6633" spans="1:6" x14ac:dyDescent="0.25">
      <c r="A6633" s="364"/>
      <c r="B6633"/>
      <c r="C6633"/>
      <c r="D6633"/>
      <c r="E6633" s="364"/>
      <c r="F6633"/>
    </row>
    <row r="6634" spans="1:6" x14ac:dyDescent="0.25">
      <c r="A6634" s="364"/>
      <c r="B6634"/>
      <c r="C6634"/>
      <c r="D6634"/>
      <c r="E6634" s="364"/>
      <c r="F6634"/>
    </row>
    <row r="6635" spans="1:6" x14ac:dyDescent="0.25">
      <c r="A6635" s="364"/>
      <c r="B6635"/>
      <c r="C6635"/>
      <c r="D6635"/>
      <c r="E6635" s="364"/>
      <c r="F6635"/>
    </row>
    <row r="6636" spans="1:6" x14ac:dyDescent="0.25">
      <c r="A6636" s="364"/>
      <c r="B6636"/>
      <c r="C6636"/>
      <c r="D6636"/>
      <c r="E6636" s="364"/>
      <c r="F6636"/>
    </row>
    <row r="6637" spans="1:6" x14ac:dyDescent="0.25">
      <c r="A6637" s="364"/>
      <c r="B6637"/>
      <c r="C6637"/>
      <c r="D6637"/>
      <c r="E6637" s="364"/>
      <c r="F6637"/>
    </row>
    <row r="6638" spans="1:6" x14ac:dyDescent="0.25">
      <c r="A6638" s="364"/>
      <c r="B6638"/>
      <c r="C6638"/>
      <c r="D6638"/>
      <c r="E6638" s="364"/>
      <c r="F6638"/>
    </row>
    <row r="6639" spans="1:6" x14ac:dyDescent="0.25">
      <c r="A6639" s="364"/>
      <c r="B6639"/>
      <c r="C6639"/>
      <c r="D6639"/>
      <c r="E6639" s="364"/>
      <c r="F6639"/>
    </row>
    <row r="6640" spans="1:6" x14ac:dyDescent="0.25">
      <c r="A6640" s="364"/>
      <c r="B6640"/>
      <c r="C6640"/>
      <c r="D6640"/>
      <c r="E6640" s="364"/>
      <c r="F6640"/>
    </row>
    <row r="6641" spans="1:6" x14ac:dyDescent="0.25">
      <c r="A6641" s="364"/>
      <c r="B6641"/>
      <c r="C6641"/>
      <c r="D6641"/>
      <c r="E6641" s="364"/>
      <c r="F6641"/>
    </row>
    <row r="6642" spans="1:6" x14ac:dyDescent="0.25">
      <c r="A6642" s="364"/>
      <c r="B6642"/>
      <c r="C6642"/>
      <c r="D6642"/>
      <c r="E6642" s="364"/>
      <c r="F6642"/>
    </row>
    <row r="6643" spans="1:6" x14ac:dyDescent="0.25">
      <c r="A6643" s="364"/>
      <c r="B6643"/>
      <c r="C6643"/>
      <c r="D6643"/>
      <c r="E6643" s="364"/>
      <c r="F6643"/>
    </row>
    <row r="6644" spans="1:6" x14ac:dyDescent="0.25">
      <c r="A6644" s="364"/>
      <c r="B6644"/>
      <c r="C6644"/>
      <c r="D6644"/>
      <c r="E6644" s="364"/>
      <c r="F6644"/>
    </row>
    <row r="6645" spans="1:6" x14ac:dyDescent="0.25">
      <c r="A6645" s="364"/>
      <c r="B6645"/>
      <c r="C6645"/>
      <c r="D6645"/>
      <c r="E6645" s="364"/>
      <c r="F6645"/>
    </row>
    <row r="6646" spans="1:6" x14ac:dyDescent="0.25">
      <c r="A6646" s="364"/>
      <c r="B6646"/>
      <c r="C6646"/>
      <c r="D6646"/>
      <c r="E6646" s="364"/>
      <c r="F6646"/>
    </row>
    <row r="6647" spans="1:6" x14ac:dyDescent="0.25">
      <c r="A6647" s="364"/>
      <c r="B6647"/>
      <c r="C6647"/>
      <c r="D6647"/>
      <c r="E6647" s="364"/>
      <c r="F6647"/>
    </row>
    <row r="6648" spans="1:6" x14ac:dyDescent="0.25">
      <c r="A6648" s="364"/>
      <c r="B6648"/>
      <c r="C6648"/>
      <c r="D6648"/>
      <c r="E6648" s="364"/>
      <c r="F6648"/>
    </row>
    <row r="6649" spans="1:6" x14ac:dyDescent="0.25">
      <c r="A6649" s="364"/>
      <c r="B6649"/>
      <c r="C6649"/>
      <c r="D6649"/>
      <c r="E6649" s="364"/>
      <c r="F6649"/>
    </row>
    <row r="6650" spans="1:6" x14ac:dyDescent="0.25">
      <c r="A6650" s="364"/>
      <c r="B6650"/>
      <c r="C6650"/>
      <c r="D6650"/>
      <c r="E6650" s="364"/>
      <c r="F6650"/>
    </row>
    <row r="6651" spans="1:6" x14ac:dyDescent="0.25">
      <c r="A6651" s="364"/>
      <c r="B6651"/>
      <c r="C6651"/>
      <c r="D6651"/>
      <c r="E6651" s="364"/>
      <c r="F6651"/>
    </row>
    <row r="6652" spans="1:6" x14ac:dyDescent="0.25">
      <c r="A6652" s="364"/>
      <c r="B6652"/>
      <c r="C6652"/>
      <c r="D6652"/>
      <c r="E6652" s="364"/>
      <c r="F6652"/>
    </row>
    <row r="6653" spans="1:6" x14ac:dyDescent="0.25">
      <c r="A6653" s="364"/>
      <c r="B6653"/>
      <c r="C6653"/>
      <c r="D6653"/>
      <c r="E6653" s="364"/>
      <c r="F6653"/>
    </row>
    <row r="6654" spans="1:6" x14ac:dyDescent="0.25">
      <c r="A6654" s="364"/>
      <c r="B6654"/>
      <c r="C6654"/>
      <c r="D6654"/>
      <c r="E6654" s="364"/>
      <c r="F6654"/>
    </row>
    <row r="6655" spans="1:6" x14ac:dyDescent="0.25">
      <c r="A6655" s="364"/>
      <c r="B6655"/>
      <c r="C6655"/>
      <c r="D6655"/>
      <c r="E6655" s="364"/>
      <c r="F6655"/>
    </row>
    <row r="6656" spans="1:6" x14ac:dyDescent="0.25">
      <c r="A6656" s="364"/>
      <c r="B6656"/>
      <c r="C6656"/>
      <c r="D6656"/>
      <c r="E6656" s="364"/>
      <c r="F6656"/>
    </row>
    <row r="6657" spans="1:6" x14ac:dyDescent="0.25">
      <c r="A6657" s="364"/>
      <c r="B6657"/>
      <c r="C6657"/>
      <c r="D6657"/>
      <c r="E6657" s="364"/>
      <c r="F6657"/>
    </row>
    <row r="6658" spans="1:6" x14ac:dyDescent="0.25">
      <c r="A6658" s="364"/>
      <c r="B6658"/>
      <c r="C6658"/>
      <c r="D6658"/>
      <c r="E6658" s="364"/>
      <c r="F6658"/>
    </row>
    <row r="6659" spans="1:6" x14ac:dyDescent="0.25">
      <c r="A6659" s="364"/>
      <c r="B6659"/>
      <c r="C6659"/>
      <c r="D6659"/>
      <c r="E6659" s="364"/>
      <c r="F6659"/>
    </row>
    <row r="6660" spans="1:6" x14ac:dyDescent="0.25">
      <c r="A6660" s="364"/>
      <c r="B6660"/>
      <c r="C6660"/>
      <c r="D6660"/>
      <c r="E6660" s="364"/>
      <c r="F6660"/>
    </row>
    <row r="6661" spans="1:6" x14ac:dyDescent="0.25">
      <c r="A6661" s="364"/>
      <c r="B6661"/>
      <c r="C6661"/>
      <c r="D6661"/>
      <c r="E6661" s="364"/>
      <c r="F6661"/>
    </row>
    <row r="6662" spans="1:6" x14ac:dyDescent="0.25">
      <c r="A6662" s="364"/>
      <c r="B6662"/>
      <c r="C6662"/>
      <c r="D6662"/>
      <c r="E6662" s="364"/>
      <c r="F6662"/>
    </row>
    <row r="6663" spans="1:6" x14ac:dyDescent="0.25">
      <c r="A6663" s="364"/>
      <c r="B6663"/>
      <c r="C6663"/>
      <c r="D6663"/>
      <c r="E6663" s="364"/>
      <c r="F6663"/>
    </row>
    <row r="6664" spans="1:6" x14ac:dyDescent="0.25">
      <c r="A6664" s="364"/>
      <c r="B6664"/>
      <c r="C6664"/>
      <c r="D6664"/>
      <c r="E6664" s="364"/>
      <c r="F6664"/>
    </row>
    <row r="6665" spans="1:6" x14ac:dyDescent="0.25">
      <c r="A6665" s="364"/>
      <c r="B6665"/>
      <c r="C6665"/>
      <c r="D6665"/>
      <c r="E6665" s="364"/>
      <c r="F6665"/>
    </row>
    <row r="6666" spans="1:6" x14ac:dyDescent="0.25">
      <c r="A6666" s="364"/>
      <c r="B6666"/>
      <c r="C6666"/>
      <c r="D6666"/>
      <c r="E6666" s="364"/>
      <c r="F6666"/>
    </row>
    <row r="6667" spans="1:6" x14ac:dyDescent="0.25">
      <c r="A6667" s="364"/>
      <c r="B6667"/>
      <c r="C6667"/>
      <c r="D6667"/>
      <c r="E6667" s="364"/>
      <c r="F6667"/>
    </row>
    <row r="6668" spans="1:6" x14ac:dyDescent="0.25">
      <c r="A6668" s="364"/>
      <c r="B6668"/>
      <c r="C6668"/>
      <c r="D6668"/>
      <c r="E6668" s="364"/>
      <c r="F6668"/>
    </row>
    <row r="6669" spans="1:6" x14ac:dyDescent="0.25">
      <c r="A6669" s="364"/>
      <c r="B6669"/>
      <c r="C6669"/>
      <c r="D6669"/>
      <c r="E6669" s="364"/>
      <c r="F6669"/>
    </row>
    <row r="6670" spans="1:6" x14ac:dyDescent="0.25">
      <c r="A6670" s="364"/>
      <c r="B6670"/>
      <c r="C6670"/>
      <c r="D6670"/>
      <c r="E6670" s="364"/>
      <c r="F6670"/>
    </row>
    <row r="6671" spans="1:6" x14ac:dyDescent="0.25">
      <c r="A6671" s="364"/>
      <c r="B6671"/>
      <c r="C6671"/>
      <c r="D6671"/>
      <c r="E6671" s="364"/>
      <c r="F6671"/>
    </row>
    <row r="6672" spans="1:6" x14ac:dyDescent="0.25">
      <c r="A6672" s="364"/>
      <c r="B6672"/>
      <c r="C6672"/>
      <c r="D6672"/>
      <c r="E6672" s="364"/>
      <c r="F6672"/>
    </row>
    <row r="6673" spans="1:6" x14ac:dyDescent="0.25">
      <c r="A6673" s="364"/>
      <c r="B6673"/>
      <c r="C6673"/>
      <c r="D6673"/>
      <c r="E6673" s="364"/>
      <c r="F6673"/>
    </row>
    <row r="6674" spans="1:6" x14ac:dyDescent="0.25">
      <c r="A6674" s="364"/>
      <c r="B6674"/>
      <c r="C6674"/>
      <c r="D6674"/>
      <c r="E6674" s="364"/>
      <c r="F6674"/>
    </row>
    <row r="6675" spans="1:6" x14ac:dyDescent="0.25">
      <c r="A6675" s="364"/>
      <c r="B6675"/>
      <c r="C6675"/>
      <c r="D6675"/>
      <c r="E6675" s="364"/>
      <c r="F6675"/>
    </row>
    <row r="6676" spans="1:6" x14ac:dyDescent="0.25">
      <c r="A6676" s="364"/>
      <c r="B6676"/>
      <c r="C6676"/>
      <c r="D6676"/>
      <c r="E6676" s="364"/>
      <c r="F6676"/>
    </row>
    <row r="6677" spans="1:6" x14ac:dyDescent="0.25">
      <c r="A6677" s="364"/>
      <c r="B6677"/>
      <c r="C6677"/>
      <c r="D6677"/>
      <c r="E6677" s="364"/>
      <c r="F6677"/>
    </row>
    <row r="6678" spans="1:6" x14ac:dyDescent="0.25">
      <c r="A6678" s="364"/>
      <c r="B6678"/>
      <c r="C6678"/>
      <c r="D6678"/>
      <c r="E6678" s="364"/>
      <c r="F6678"/>
    </row>
    <row r="6679" spans="1:6" x14ac:dyDescent="0.25">
      <c r="A6679" s="364"/>
      <c r="B6679"/>
      <c r="C6679"/>
      <c r="D6679"/>
      <c r="E6679" s="364"/>
      <c r="F6679"/>
    </row>
    <row r="6680" spans="1:6" x14ac:dyDescent="0.25">
      <c r="A6680" s="364"/>
      <c r="B6680"/>
      <c r="C6680"/>
      <c r="D6680"/>
      <c r="E6680" s="364"/>
      <c r="F6680"/>
    </row>
    <row r="6681" spans="1:6" x14ac:dyDescent="0.25">
      <c r="A6681" s="364"/>
      <c r="B6681"/>
      <c r="C6681"/>
      <c r="D6681"/>
      <c r="E6681" s="364"/>
      <c r="F6681"/>
    </row>
    <row r="6682" spans="1:6" x14ac:dyDescent="0.25">
      <c r="A6682" s="364"/>
      <c r="B6682"/>
      <c r="C6682"/>
      <c r="D6682"/>
      <c r="E6682" s="364"/>
      <c r="F6682"/>
    </row>
    <row r="6683" spans="1:6" x14ac:dyDescent="0.25">
      <c r="A6683" s="364"/>
      <c r="B6683"/>
      <c r="C6683"/>
      <c r="D6683"/>
      <c r="E6683" s="364"/>
      <c r="F6683"/>
    </row>
    <row r="6684" spans="1:6" x14ac:dyDescent="0.25">
      <c r="A6684" s="364"/>
      <c r="B6684"/>
      <c r="C6684"/>
      <c r="D6684"/>
      <c r="E6684" s="364"/>
      <c r="F6684"/>
    </row>
    <row r="6685" spans="1:6" x14ac:dyDescent="0.25">
      <c r="A6685" s="364"/>
      <c r="B6685"/>
      <c r="C6685"/>
      <c r="D6685"/>
      <c r="E6685" s="364"/>
      <c r="F6685"/>
    </row>
    <row r="6686" spans="1:6" x14ac:dyDescent="0.25">
      <c r="A6686" s="364"/>
      <c r="B6686"/>
      <c r="C6686"/>
      <c r="D6686"/>
      <c r="E6686" s="364"/>
      <c r="F6686"/>
    </row>
    <row r="6687" spans="1:6" x14ac:dyDescent="0.25">
      <c r="A6687" s="364"/>
      <c r="B6687"/>
      <c r="C6687"/>
      <c r="D6687"/>
      <c r="E6687" s="364"/>
      <c r="F6687"/>
    </row>
    <row r="6688" spans="1:6" x14ac:dyDescent="0.25">
      <c r="A6688" s="364"/>
      <c r="B6688"/>
      <c r="C6688"/>
      <c r="D6688"/>
      <c r="E6688" s="364"/>
      <c r="F6688"/>
    </row>
    <row r="6689" spans="1:6" x14ac:dyDescent="0.25">
      <c r="A6689" s="364"/>
      <c r="B6689"/>
      <c r="C6689"/>
      <c r="D6689"/>
      <c r="E6689" s="364"/>
      <c r="F6689"/>
    </row>
    <row r="6690" spans="1:6" x14ac:dyDescent="0.25">
      <c r="A6690" s="364"/>
      <c r="B6690"/>
      <c r="C6690"/>
      <c r="D6690"/>
      <c r="E6690" s="364"/>
      <c r="F6690"/>
    </row>
    <row r="6691" spans="1:6" x14ac:dyDescent="0.25">
      <c r="A6691" s="364"/>
      <c r="B6691"/>
      <c r="C6691"/>
      <c r="D6691"/>
      <c r="E6691" s="364"/>
      <c r="F6691"/>
    </row>
    <row r="6692" spans="1:6" x14ac:dyDescent="0.25">
      <c r="A6692" s="364"/>
      <c r="B6692"/>
      <c r="C6692"/>
      <c r="D6692"/>
      <c r="E6692" s="364"/>
      <c r="F6692"/>
    </row>
    <row r="6693" spans="1:6" x14ac:dyDescent="0.25">
      <c r="A6693" s="364"/>
      <c r="B6693"/>
      <c r="C6693"/>
      <c r="D6693"/>
      <c r="E6693" s="364"/>
      <c r="F6693"/>
    </row>
    <row r="6694" spans="1:6" x14ac:dyDescent="0.25">
      <c r="A6694" s="364"/>
      <c r="B6694"/>
      <c r="C6694"/>
      <c r="D6694"/>
      <c r="E6694" s="364"/>
      <c r="F6694"/>
    </row>
    <row r="6695" spans="1:6" x14ac:dyDescent="0.25">
      <c r="A6695" s="364"/>
      <c r="B6695"/>
      <c r="C6695"/>
      <c r="D6695"/>
      <c r="E6695" s="364"/>
      <c r="F6695"/>
    </row>
    <row r="6696" spans="1:6" x14ac:dyDescent="0.25">
      <c r="A6696" s="364"/>
      <c r="B6696"/>
      <c r="C6696"/>
      <c r="D6696"/>
      <c r="E6696" s="364"/>
      <c r="F6696"/>
    </row>
    <row r="6697" spans="1:6" x14ac:dyDescent="0.25">
      <c r="A6697" s="364"/>
      <c r="B6697"/>
      <c r="C6697"/>
      <c r="D6697"/>
      <c r="E6697" s="364"/>
      <c r="F6697"/>
    </row>
    <row r="6698" spans="1:6" x14ac:dyDescent="0.25">
      <c r="A6698" s="364"/>
      <c r="B6698"/>
      <c r="C6698"/>
      <c r="D6698"/>
      <c r="E6698" s="364"/>
      <c r="F6698"/>
    </row>
    <row r="6699" spans="1:6" x14ac:dyDescent="0.25">
      <c r="A6699" s="364"/>
      <c r="B6699"/>
      <c r="C6699"/>
      <c r="D6699"/>
      <c r="E6699" s="364"/>
      <c r="F6699"/>
    </row>
    <row r="6700" spans="1:6" x14ac:dyDescent="0.25">
      <c r="A6700" s="364"/>
      <c r="B6700"/>
      <c r="C6700"/>
      <c r="D6700"/>
      <c r="E6700" s="364"/>
      <c r="F6700"/>
    </row>
    <row r="6701" spans="1:6" x14ac:dyDescent="0.25">
      <c r="A6701" s="364"/>
      <c r="B6701"/>
      <c r="C6701"/>
      <c r="D6701"/>
      <c r="E6701" s="364"/>
      <c r="F6701"/>
    </row>
    <row r="6702" spans="1:6" x14ac:dyDescent="0.25">
      <c r="A6702" s="364"/>
      <c r="B6702"/>
      <c r="C6702"/>
      <c r="D6702"/>
      <c r="E6702" s="364"/>
      <c r="F6702"/>
    </row>
    <row r="6703" spans="1:6" x14ac:dyDescent="0.25">
      <c r="A6703" s="364"/>
      <c r="B6703"/>
      <c r="C6703"/>
      <c r="D6703"/>
      <c r="E6703" s="364"/>
      <c r="F6703"/>
    </row>
    <row r="6704" spans="1:6" x14ac:dyDescent="0.25">
      <c r="A6704" s="364"/>
      <c r="B6704"/>
      <c r="C6704"/>
      <c r="D6704"/>
      <c r="E6704" s="364"/>
      <c r="F6704"/>
    </row>
    <row r="6705" spans="1:6" x14ac:dyDescent="0.25">
      <c r="A6705" s="364"/>
      <c r="B6705"/>
      <c r="C6705"/>
      <c r="D6705"/>
      <c r="E6705" s="364"/>
      <c r="F6705"/>
    </row>
    <row r="6706" spans="1:6" x14ac:dyDescent="0.25">
      <c r="A6706" s="364"/>
      <c r="B6706"/>
      <c r="C6706"/>
      <c r="D6706"/>
      <c r="E6706" s="364"/>
      <c r="F6706"/>
    </row>
    <row r="6707" spans="1:6" x14ac:dyDescent="0.25">
      <c r="A6707" s="364"/>
      <c r="B6707"/>
      <c r="C6707"/>
      <c r="D6707"/>
      <c r="E6707" s="364"/>
      <c r="F6707"/>
    </row>
    <row r="6708" spans="1:6" x14ac:dyDescent="0.25">
      <c r="A6708" s="364"/>
      <c r="B6708"/>
      <c r="C6708"/>
      <c r="D6708"/>
      <c r="E6708" s="364"/>
      <c r="F6708"/>
    </row>
    <row r="6709" spans="1:6" x14ac:dyDescent="0.25">
      <c r="A6709" s="364"/>
      <c r="B6709"/>
      <c r="C6709"/>
      <c r="D6709"/>
      <c r="E6709" s="364"/>
      <c r="F6709"/>
    </row>
    <row r="6710" spans="1:6" x14ac:dyDescent="0.25">
      <c r="A6710" s="364"/>
      <c r="B6710"/>
      <c r="C6710"/>
      <c r="D6710"/>
      <c r="E6710" s="364"/>
      <c r="F6710"/>
    </row>
    <row r="6711" spans="1:6" x14ac:dyDescent="0.25">
      <c r="A6711" s="364"/>
      <c r="B6711"/>
      <c r="C6711"/>
      <c r="D6711"/>
      <c r="E6711" s="364"/>
      <c r="F6711"/>
    </row>
    <row r="6712" spans="1:6" x14ac:dyDescent="0.25">
      <c r="A6712" s="364"/>
      <c r="B6712"/>
      <c r="C6712"/>
      <c r="D6712"/>
      <c r="E6712" s="364"/>
      <c r="F6712"/>
    </row>
    <row r="6713" spans="1:6" x14ac:dyDescent="0.25">
      <c r="A6713" s="364"/>
      <c r="B6713"/>
      <c r="C6713"/>
      <c r="D6713"/>
      <c r="E6713" s="364"/>
      <c r="F6713"/>
    </row>
    <row r="6714" spans="1:6" x14ac:dyDescent="0.25">
      <c r="A6714" s="364"/>
      <c r="B6714"/>
      <c r="C6714"/>
      <c r="D6714"/>
      <c r="E6714" s="364"/>
      <c r="F6714"/>
    </row>
    <row r="6715" spans="1:6" x14ac:dyDescent="0.25">
      <c r="A6715" s="364"/>
      <c r="B6715"/>
      <c r="C6715"/>
      <c r="D6715"/>
      <c r="E6715" s="364"/>
      <c r="F6715"/>
    </row>
    <row r="6716" spans="1:6" x14ac:dyDescent="0.25">
      <c r="A6716" s="364"/>
      <c r="B6716"/>
      <c r="C6716"/>
      <c r="D6716"/>
      <c r="E6716" s="364"/>
      <c r="F6716"/>
    </row>
    <row r="6717" spans="1:6" x14ac:dyDescent="0.25">
      <c r="A6717" s="364"/>
      <c r="B6717"/>
      <c r="C6717"/>
      <c r="D6717"/>
      <c r="E6717" s="364"/>
      <c r="F6717"/>
    </row>
    <row r="6718" spans="1:6" x14ac:dyDescent="0.25">
      <c r="A6718" s="364"/>
      <c r="B6718"/>
      <c r="C6718"/>
      <c r="D6718"/>
      <c r="E6718" s="364"/>
      <c r="F6718"/>
    </row>
    <row r="6719" spans="1:6" x14ac:dyDescent="0.25">
      <c r="A6719" s="364"/>
      <c r="B6719"/>
      <c r="C6719"/>
      <c r="D6719"/>
      <c r="E6719" s="364"/>
      <c r="F6719"/>
    </row>
    <row r="6720" spans="1:6" x14ac:dyDescent="0.25">
      <c r="A6720" s="364"/>
      <c r="B6720"/>
      <c r="C6720"/>
      <c r="D6720"/>
      <c r="E6720" s="364"/>
      <c r="F6720"/>
    </row>
    <row r="6721" spans="1:6" x14ac:dyDescent="0.25">
      <c r="A6721" s="364"/>
      <c r="B6721"/>
      <c r="C6721"/>
      <c r="D6721"/>
      <c r="E6721" s="364"/>
      <c r="F6721"/>
    </row>
    <row r="6722" spans="1:6" x14ac:dyDescent="0.25">
      <c r="A6722" s="364"/>
      <c r="B6722"/>
      <c r="C6722"/>
      <c r="D6722"/>
      <c r="E6722" s="364"/>
      <c r="F6722"/>
    </row>
    <row r="6723" spans="1:6" x14ac:dyDescent="0.25">
      <c r="A6723" s="364"/>
      <c r="B6723"/>
      <c r="C6723"/>
      <c r="D6723"/>
      <c r="E6723" s="364"/>
      <c r="F6723"/>
    </row>
    <row r="6724" spans="1:6" x14ac:dyDescent="0.25">
      <c r="A6724" s="364"/>
      <c r="B6724"/>
      <c r="C6724"/>
      <c r="D6724"/>
      <c r="E6724" s="364"/>
      <c r="F6724"/>
    </row>
    <row r="6725" spans="1:6" x14ac:dyDescent="0.25">
      <c r="A6725" s="364"/>
      <c r="B6725"/>
      <c r="C6725"/>
      <c r="D6725"/>
      <c r="E6725" s="364"/>
      <c r="F6725"/>
    </row>
    <row r="6726" spans="1:6" x14ac:dyDescent="0.25">
      <c r="A6726" s="364"/>
      <c r="B6726"/>
      <c r="C6726"/>
      <c r="D6726"/>
      <c r="E6726" s="364"/>
      <c r="F6726"/>
    </row>
    <row r="6727" spans="1:6" x14ac:dyDescent="0.25">
      <c r="A6727" s="364"/>
      <c r="B6727"/>
      <c r="C6727"/>
      <c r="D6727"/>
      <c r="E6727" s="364"/>
      <c r="F6727"/>
    </row>
    <row r="6728" spans="1:6" x14ac:dyDescent="0.25">
      <c r="A6728" s="364"/>
      <c r="B6728"/>
      <c r="C6728"/>
      <c r="D6728"/>
      <c r="E6728" s="364"/>
      <c r="F6728"/>
    </row>
    <row r="6729" spans="1:6" x14ac:dyDescent="0.25">
      <c r="A6729" s="364"/>
      <c r="B6729"/>
      <c r="C6729"/>
      <c r="D6729"/>
      <c r="E6729" s="364"/>
      <c r="F6729"/>
    </row>
    <row r="6730" spans="1:6" x14ac:dyDescent="0.25">
      <c r="A6730" s="364"/>
      <c r="B6730"/>
      <c r="C6730"/>
      <c r="D6730"/>
      <c r="E6730" s="364"/>
      <c r="F6730"/>
    </row>
    <row r="6731" spans="1:6" x14ac:dyDescent="0.25">
      <c r="A6731" s="364"/>
      <c r="B6731"/>
      <c r="C6731"/>
      <c r="D6731"/>
      <c r="E6731" s="364"/>
      <c r="F6731"/>
    </row>
    <row r="6732" spans="1:6" x14ac:dyDescent="0.25">
      <c r="A6732" s="364"/>
      <c r="B6732"/>
      <c r="C6732"/>
      <c r="D6732"/>
      <c r="E6732" s="364"/>
      <c r="F6732"/>
    </row>
    <row r="6733" spans="1:6" x14ac:dyDescent="0.25">
      <c r="A6733" s="364"/>
      <c r="B6733"/>
      <c r="C6733"/>
      <c r="D6733"/>
      <c r="E6733" s="364"/>
      <c r="F6733"/>
    </row>
    <row r="6734" spans="1:6" x14ac:dyDescent="0.25">
      <c r="A6734" s="364"/>
      <c r="B6734"/>
      <c r="C6734"/>
      <c r="D6734"/>
      <c r="E6734" s="364"/>
      <c r="F6734"/>
    </row>
    <row r="6735" spans="1:6" x14ac:dyDescent="0.25">
      <c r="A6735" s="364"/>
      <c r="B6735"/>
      <c r="C6735"/>
      <c r="D6735"/>
      <c r="E6735" s="364"/>
      <c r="F6735"/>
    </row>
    <row r="6736" spans="1:6" x14ac:dyDescent="0.25">
      <c r="A6736" s="364"/>
      <c r="B6736"/>
      <c r="C6736"/>
      <c r="D6736"/>
      <c r="E6736" s="364"/>
      <c r="F6736"/>
    </row>
    <row r="6737" spans="1:6" x14ac:dyDescent="0.25">
      <c r="A6737" s="364"/>
      <c r="B6737"/>
      <c r="C6737"/>
      <c r="D6737"/>
      <c r="E6737" s="364"/>
      <c r="F6737"/>
    </row>
    <row r="6738" spans="1:6" x14ac:dyDescent="0.25">
      <c r="A6738" s="364"/>
      <c r="B6738"/>
      <c r="C6738"/>
      <c r="D6738"/>
      <c r="E6738" s="364"/>
      <c r="F6738"/>
    </row>
    <row r="6739" spans="1:6" x14ac:dyDescent="0.25">
      <c r="A6739" s="364"/>
      <c r="B6739"/>
      <c r="C6739"/>
      <c r="D6739"/>
      <c r="E6739" s="364"/>
      <c r="F6739"/>
    </row>
    <row r="6740" spans="1:6" x14ac:dyDescent="0.25">
      <c r="A6740" s="364"/>
      <c r="B6740"/>
      <c r="C6740"/>
      <c r="D6740"/>
      <c r="E6740" s="364"/>
      <c r="F6740"/>
    </row>
    <row r="6741" spans="1:6" x14ac:dyDescent="0.25">
      <c r="A6741" s="364"/>
      <c r="B6741"/>
      <c r="C6741"/>
      <c r="D6741"/>
      <c r="E6741" s="364"/>
      <c r="F6741"/>
    </row>
    <row r="6742" spans="1:6" x14ac:dyDescent="0.25">
      <c r="A6742" s="364"/>
      <c r="B6742"/>
      <c r="C6742"/>
      <c r="D6742"/>
      <c r="E6742" s="364"/>
      <c r="F6742"/>
    </row>
    <row r="6743" spans="1:6" x14ac:dyDescent="0.25">
      <c r="A6743" s="364"/>
      <c r="B6743"/>
      <c r="C6743"/>
      <c r="D6743"/>
      <c r="E6743" s="364"/>
      <c r="F6743"/>
    </row>
    <row r="6744" spans="1:6" x14ac:dyDescent="0.25">
      <c r="A6744" s="364"/>
      <c r="B6744"/>
      <c r="C6744"/>
      <c r="D6744"/>
      <c r="E6744" s="364"/>
      <c r="F6744"/>
    </row>
    <row r="6745" spans="1:6" x14ac:dyDescent="0.25">
      <c r="A6745" s="364"/>
      <c r="B6745"/>
      <c r="C6745"/>
      <c r="D6745"/>
      <c r="E6745" s="364"/>
      <c r="F6745"/>
    </row>
    <row r="6746" spans="1:6" x14ac:dyDescent="0.25">
      <c r="A6746" s="364"/>
      <c r="B6746"/>
      <c r="C6746"/>
      <c r="D6746"/>
      <c r="E6746" s="364"/>
      <c r="F6746"/>
    </row>
    <row r="6747" spans="1:6" x14ac:dyDescent="0.25">
      <c r="A6747" s="364"/>
      <c r="B6747"/>
      <c r="C6747"/>
      <c r="D6747"/>
      <c r="E6747" s="364"/>
      <c r="F6747"/>
    </row>
    <row r="6748" spans="1:6" x14ac:dyDescent="0.25">
      <c r="A6748" s="364"/>
      <c r="B6748"/>
      <c r="C6748"/>
      <c r="D6748"/>
      <c r="E6748" s="364"/>
      <c r="F6748"/>
    </row>
    <row r="6749" spans="1:6" x14ac:dyDescent="0.25">
      <c r="A6749" s="364"/>
      <c r="B6749"/>
      <c r="C6749"/>
      <c r="D6749"/>
      <c r="E6749" s="364"/>
      <c r="F6749"/>
    </row>
    <row r="6750" spans="1:6" x14ac:dyDescent="0.25">
      <c r="A6750" s="364"/>
      <c r="B6750"/>
      <c r="C6750"/>
      <c r="D6750"/>
      <c r="E6750" s="364"/>
      <c r="F6750"/>
    </row>
    <row r="6751" spans="1:6" x14ac:dyDescent="0.25">
      <c r="A6751" s="364"/>
      <c r="B6751"/>
      <c r="C6751"/>
      <c r="D6751"/>
      <c r="E6751" s="364"/>
      <c r="F6751"/>
    </row>
    <row r="6752" spans="1:6" x14ac:dyDescent="0.25">
      <c r="A6752" s="364"/>
      <c r="B6752"/>
      <c r="C6752"/>
      <c r="D6752"/>
      <c r="E6752" s="364"/>
      <c r="F6752"/>
    </row>
    <row r="6753" spans="1:6" x14ac:dyDescent="0.25">
      <c r="A6753" s="364"/>
      <c r="B6753"/>
      <c r="C6753"/>
      <c r="D6753"/>
      <c r="E6753" s="364"/>
      <c r="F6753"/>
    </row>
    <row r="6754" spans="1:6" x14ac:dyDescent="0.25">
      <c r="A6754" s="364"/>
      <c r="B6754"/>
      <c r="C6754"/>
      <c r="D6754"/>
      <c r="E6754" s="364"/>
      <c r="F6754"/>
    </row>
    <row r="6755" spans="1:6" x14ac:dyDescent="0.25">
      <c r="A6755" s="364"/>
      <c r="B6755"/>
      <c r="C6755"/>
      <c r="D6755"/>
      <c r="E6755" s="364"/>
      <c r="F6755"/>
    </row>
    <row r="6756" spans="1:6" x14ac:dyDescent="0.25">
      <c r="A6756" s="364"/>
      <c r="B6756"/>
      <c r="C6756"/>
      <c r="D6756"/>
      <c r="E6756" s="364"/>
      <c r="F6756"/>
    </row>
    <row r="6757" spans="1:6" x14ac:dyDescent="0.25">
      <c r="A6757" s="364"/>
      <c r="B6757"/>
      <c r="C6757"/>
      <c r="D6757"/>
      <c r="E6757" s="364"/>
      <c r="F6757"/>
    </row>
    <row r="6758" spans="1:6" x14ac:dyDescent="0.25">
      <c r="A6758" s="364"/>
      <c r="B6758"/>
      <c r="C6758"/>
      <c r="D6758"/>
      <c r="E6758" s="364"/>
      <c r="F6758"/>
    </row>
    <row r="6759" spans="1:6" x14ac:dyDescent="0.25">
      <c r="A6759" s="364"/>
      <c r="B6759"/>
      <c r="C6759"/>
      <c r="D6759"/>
      <c r="E6759" s="364"/>
      <c r="F6759"/>
    </row>
    <row r="6760" spans="1:6" x14ac:dyDescent="0.25">
      <c r="A6760" s="364"/>
      <c r="B6760"/>
      <c r="C6760"/>
      <c r="D6760"/>
      <c r="E6760" s="364"/>
      <c r="F6760"/>
    </row>
    <row r="6761" spans="1:6" x14ac:dyDescent="0.25">
      <c r="A6761" s="364"/>
      <c r="B6761"/>
      <c r="C6761"/>
      <c r="D6761"/>
      <c r="E6761" s="364"/>
      <c r="F6761"/>
    </row>
    <row r="6762" spans="1:6" x14ac:dyDescent="0.25">
      <c r="A6762" s="364"/>
      <c r="B6762"/>
      <c r="C6762"/>
      <c r="D6762"/>
      <c r="E6762" s="364"/>
      <c r="F6762"/>
    </row>
    <row r="6763" spans="1:6" x14ac:dyDescent="0.25">
      <c r="A6763" s="364"/>
      <c r="B6763"/>
      <c r="C6763"/>
      <c r="D6763"/>
      <c r="E6763" s="364"/>
      <c r="F6763"/>
    </row>
    <row r="6764" spans="1:6" x14ac:dyDescent="0.25">
      <c r="A6764" s="364"/>
      <c r="B6764"/>
      <c r="C6764"/>
      <c r="D6764"/>
      <c r="E6764" s="364"/>
      <c r="F6764"/>
    </row>
    <row r="6765" spans="1:6" x14ac:dyDescent="0.25">
      <c r="A6765" s="364"/>
      <c r="B6765"/>
      <c r="C6765"/>
      <c r="D6765"/>
      <c r="E6765" s="364"/>
      <c r="F6765"/>
    </row>
    <row r="6766" spans="1:6" x14ac:dyDescent="0.25">
      <c r="A6766" s="364"/>
      <c r="B6766"/>
      <c r="C6766"/>
      <c r="D6766"/>
      <c r="E6766" s="364"/>
      <c r="F6766"/>
    </row>
    <row r="6767" spans="1:6" x14ac:dyDescent="0.25">
      <c r="A6767" s="364"/>
      <c r="B6767"/>
      <c r="C6767"/>
      <c r="D6767"/>
      <c r="E6767" s="364"/>
      <c r="F6767"/>
    </row>
    <row r="6768" spans="1:6" x14ac:dyDescent="0.25">
      <c r="A6768" s="364"/>
      <c r="B6768"/>
      <c r="C6768"/>
      <c r="D6768"/>
      <c r="E6768" s="364"/>
      <c r="F6768"/>
    </row>
    <row r="6769" spans="1:6" x14ac:dyDescent="0.25">
      <c r="A6769" s="364"/>
      <c r="B6769"/>
      <c r="C6769"/>
      <c r="D6769"/>
      <c r="E6769" s="364"/>
      <c r="F6769"/>
    </row>
    <row r="6770" spans="1:6" x14ac:dyDescent="0.25">
      <c r="A6770" s="364"/>
      <c r="B6770"/>
      <c r="C6770"/>
      <c r="D6770"/>
      <c r="E6770" s="364"/>
      <c r="F6770"/>
    </row>
    <row r="6771" spans="1:6" x14ac:dyDescent="0.25">
      <c r="A6771" s="364"/>
      <c r="B6771"/>
      <c r="C6771"/>
      <c r="D6771"/>
      <c r="E6771" s="364"/>
      <c r="F6771"/>
    </row>
    <row r="6772" spans="1:6" x14ac:dyDescent="0.25">
      <c r="A6772" s="364"/>
      <c r="B6772"/>
      <c r="C6772"/>
      <c r="D6772"/>
      <c r="E6772" s="364"/>
      <c r="F6772"/>
    </row>
    <row r="6773" spans="1:6" x14ac:dyDescent="0.25">
      <c r="A6773" s="364"/>
      <c r="B6773"/>
      <c r="C6773"/>
      <c r="D6773"/>
      <c r="E6773" s="364"/>
      <c r="F6773"/>
    </row>
    <row r="6774" spans="1:6" x14ac:dyDescent="0.25">
      <c r="A6774" s="364"/>
      <c r="B6774"/>
      <c r="C6774"/>
      <c r="D6774"/>
      <c r="E6774" s="364"/>
      <c r="F6774"/>
    </row>
    <row r="6775" spans="1:6" x14ac:dyDescent="0.25">
      <c r="A6775" s="364"/>
      <c r="B6775"/>
      <c r="C6775"/>
      <c r="D6775"/>
      <c r="E6775" s="364"/>
      <c r="F6775"/>
    </row>
    <row r="6776" spans="1:6" x14ac:dyDescent="0.25">
      <c r="A6776" s="364"/>
      <c r="B6776"/>
      <c r="C6776"/>
      <c r="D6776"/>
      <c r="E6776" s="364"/>
      <c r="F6776"/>
    </row>
    <row r="6777" spans="1:6" x14ac:dyDescent="0.25">
      <c r="A6777" s="364"/>
      <c r="B6777"/>
      <c r="C6777"/>
      <c r="D6777"/>
      <c r="E6777" s="364"/>
      <c r="F6777"/>
    </row>
    <row r="6778" spans="1:6" x14ac:dyDescent="0.25">
      <c r="A6778" s="364"/>
      <c r="B6778"/>
      <c r="C6778"/>
      <c r="D6778"/>
      <c r="E6778" s="364"/>
      <c r="F6778"/>
    </row>
    <row r="6779" spans="1:6" x14ac:dyDescent="0.25">
      <c r="A6779" s="364"/>
      <c r="B6779"/>
      <c r="C6779"/>
      <c r="D6779"/>
      <c r="E6779" s="364"/>
      <c r="F6779"/>
    </row>
    <row r="6780" spans="1:6" x14ac:dyDescent="0.25">
      <c r="A6780" s="364"/>
      <c r="B6780"/>
      <c r="C6780"/>
      <c r="D6780"/>
      <c r="E6780" s="364"/>
      <c r="F6780"/>
    </row>
    <row r="6781" spans="1:6" x14ac:dyDescent="0.25">
      <c r="A6781" s="364"/>
      <c r="B6781"/>
      <c r="C6781"/>
      <c r="D6781"/>
      <c r="E6781" s="364"/>
      <c r="F6781"/>
    </row>
    <row r="6782" spans="1:6" x14ac:dyDescent="0.25">
      <c r="A6782" s="364"/>
      <c r="B6782"/>
      <c r="C6782"/>
      <c r="D6782"/>
      <c r="E6782" s="364"/>
      <c r="F6782"/>
    </row>
    <row r="6783" spans="1:6" x14ac:dyDescent="0.25">
      <c r="A6783" s="364"/>
      <c r="B6783"/>
      <c r="C6783"/>
      <c r="D6783"/>
      <c r="E6783" s="364"/>
      <c r="F6783"/>
    </row>
    <row r="6784" spans="1:6" x14ac:dyDescent="0.25">
      <c r="A6784" s="364"/>
      <c r="B6784"/>
      <c r="C6784"/>
      <c r="D6784"/>
      <c r="E6784" s="364"/>
      <c r="F6784"/>
    </row>
    <row r="6785" spans="1:6" x14ac:dyDescent="0.25">
      <c r="A6785" s="364"/>
      <c r="B6785"/>
      <c r="C6785"/>
      <c r="D6785"/>
      <c r="E6785" s="364"/>
      <c r="F6785"/>
    </row>
    <row r="6786" spans="1:6" x14ac:dyDescent="0.25">
      <c r="A6786" s="364"/>
      <c r="B6786"/>
      <c r="C6786"/>
      <c r="D6786"/>
      <c r="E6786" s="364"/>
      <c r="F6786"/>
    </row>
    <row r="6787" spans="1:6" x14ac:dyDescent="0.25">
      <c r="A6787" s="364"/>
      <c r="B6787"/>
      <c r="C6787"/>
      <c r="D6787"/>
      <c r="E6787" s="364"/>
      <c r="F6787"/>
    </row>
    <row r="6788" spans="1:6" x14ac:dyDescent="0.25">
      <c r="A6788" s="364"/>
      <c r="B6788"/>
      <c r="C6788"/>
      <c r="D6788"/>
      <c r="E6788" s="364"/>
      <c r="F6788"/>
    </row>
    <row r="6789" spans="1:6" x14ac:dyDescent="0.25">
      <c r="A6789" s="364"/>
      <c r="B6789"/>
      <c r="C6789"/>
      <c r="D6789"/>
      <c r="E6789" s="364"/>
      <c r="F6789"/>
    </row>
    <row r="6790" spans="1:6" x14ac:dyDescent="0.25">
      <c r="A6790" s="364"/>
      <c r="B6790"/>
      <c r="C6790"/>
      <c r="D6790"/>
      <c r="E6790" s="364"/>
      <c r="F6790"/>
    </row>
    <row r="6791" spans="1:6" x14ac:dyDescent="0.25">
      <c r="A6791" s="364"/>
      <c r="B6791"/>
      <c r="C6791"/>
      <c r="D6791"/>
      <c r="E6791" s="364"/>
      <c r="F6791"/>
    </row>
    <row r="6792" spans="1:6" x14ac:dyDescent="0.25">
      <c r="A6792" s="364"/>
      <c r="B6792"/>
      <c r="C6792"/>
      <c r="D6792"/>
      <c r="E6792" s="364"/>
      <c r="F6792"/>
    </row>
    <row r="6793" spans="1:6" x14ac:dyDescent="0.25">
      <c r="A6793" s="364"/>
      <c r="B6793"/>
      <c r="C6793"/>
      <c r="D6793"/>
      <c r="E6793" s="364"/>
      <c r="F6793"/>
    </row>
    <row r="6794" spans="1:6" x14ac:dyDescent="0.25">
      <c r="A6794" s="364"/>
      <c r="B6794"/>
      <c r="C6794"/>
      <c r="D6794"/>
      <c r="E6794" s="364"/>
      <c r="F6794"/>
    </row>
    <row r="6795" spans="1:6" x14ac:dyDescent="0.25">
      <c r="A6795" s="364"/>
      <c r="B6795"/>
      <c r="C6795"/>
      <c r="D6795"/>
      <c r="E6795" s="364"/>
      <c r="F6795"/>
    </row>
    <row r="6796" spans="1:6" x14ac:dyDescent="0.25">
      <c r="A6796" s="364"/>
      <c r="B6796"/>
      <c r="C6796"/>
      <c r="D6796"/>
      <c r="E6796" s="364"/>
      <c r="F6796"/>
    </row>
    <row r="6797" spans="1:6" x14ac:dyDescent="0.25">
      <c r="A6797" s="364"/>
      <c r="B6797"/>
      <c r="C6797"/>
      <c r="D6797"/>
      <c r="E6797" s="364"/>
      <c r="F6797"/>
    </row>
    <row r="6798" spans="1:6" x14ac:dyDescent="0.25">
      <c r="A6798" s="364"/>
      <c r="B6798"/>
      <c r="C6798"/>
      <c r="D6798"/>
      <c r="E6798" s="364"/>
      <c r="F6798"/>
    </row>
    <row r="6799" spans="1:6" x14ac:dyDescent="0.25">
      <c r="A6799" s="364"/>
      <c r="B6799"/>
      <c r="C6799"/>
      <c r="D6799"/>
      <c r="E6799" s="364"/>
      <c r="F6799"/>
    </row>
    <row r="6800" spans="1:6" x14ac:dyDescent="0.25">
      <c r="A6800" s="364"/>
      <c r="B6800"/>
      <c r="C6800"/>
      <c r="D6800"/>
      <c r="E6800" s="364"/>
      <c r="F6800"/>
    </row>
    <row r="6801" spans="1:6" x14ac:dyDescent="0.25">
      <c r="A6801" s="364"/>
      <c r="B6801"/>
      <c r="C6801"/>
      <c r="D6801"/>
      <c r="E6801" s="364"/>
      <c r="F6801"/>
    </row>
    <row r="6802" spans="1:6" x14ac:dyDescent="0.25">
      <c r="A6802" s="364"/>
      <c r="B6802"/>
      <c r="C6802"/>
      <c r="D6802"/>
      <c r="E6802" s="364"/>
      <c r="F6802"/>
    </row>
    <row r="6803" spans="1:6" x14ac:dyDescent="0.25">
      <c r="A6803" s="364"/>
      <c r="B6803"/>
      <c r="C6803"/>
      <c r="D6803"/>
      <c r="E6803" s="364"/>
      <c r="F6803"/>
    </row>
    <row r="6804" spans="1:6" x14ac:dyDescent="0.25">
      <c r="A6804" s="364"/>
      <c r="B6804"/>
      <c r="C6804"/>
      <c r="D6804"/>
      <c r="E6804" s="364"/>
      <c r="F6804"/>
    </row>
    <row r="6805" spans="1:6" x14ac:dyDescent="0.25">
      <c r="A6805" s="364"/>
      <c r="B6805"/>
      <c r="C6805"/>
      <c r="D6805"/>
      <c r="E6805" s="364"/>
      <c r="F6805"/>
    </row>
    <row r="6806" spans="1:6" x14ac:dyDescent="0.25">
      <c r="A6806" s="364"/>
      <c r="B6806"/>
      <c r="C6806"/>
      <c r="D6806"/>
      <c r="E6806" s="364"/>
      <c r="F6806"/>
    </row>
    <row r="6807" spans="1:6" x14ac:dyDescent="0.25">
      <c r="A6807" s="364"/>
      <c r="B6807"/>
      <c r="C6807"/>
      <c r="D6807"/>
      <c r="E6807" s="364"/>
      <c r="F6807"/>
    </row>
    <row r="6808" spans="1:6" x14ac:dyDescent="0.25">
      <c r="A6808" s="364"/>
      <c r="B6808"/>
      <c r="C6808"/>
      <c r="D6808"/>
      <c r="E6808" s="364"/>
      <c r="F6808"/>
    </row>
    <row r="6809" spans="1:6" x14ac:dyDescent="0.25">
      <c r="A6809" s="364"/>
      <c r="B6809"/>
      <c r="C6809"/>
      <c r="D6809"/>
      <c r="E6809" s="364"/>
      <c r="F6809"/>
    </row>
    <row r="6810" spans="1:6" x14ac:dyDescent="0.25">
      <c r="A6810" s="364"/>
      <c r="B6810"/>
      <c r="C6810"/>
      <c r="D6810"/>
      <c r="E6810" s="364"/>
      <c r="F6810"/>
    </row>
    <row r="6811" spans="1:6" x14ac:dyDescent="0.25">
      <c r="A6811" s="364"/>
      <c r="B6811"/>
      <c r="C6811"/>
      <c r="D6811"/>
      <c r="E6811" s="364"/>
      <c r="F6811"/>
    </row>
    <row r="6812" spans="1:6" x14ac:dyDescent="0.25">
      <c r="A6812" s="364"/>
      <c r="B6812"/>
      <c r="C6812"/>
      <c r="D6812"/>
      <c r="E6812" s="364"/>
      <c r="F6812"/>
    </row>
    <row r="6813" spans="1:6" x14ac:dyDescent="0.25">
      <c r="A6813" s="364"/>
      <c r="B6813"/>
      <c r="C6813"/>
      <c r="D6813"/>
      <c r="E6813" s="364"/>
      <c r="F6813"/>
    </row>
    <row r="6814" spans="1:6" x14ac:dyDescent="0.25">
      <c r="A6814" s="364"/>
      <c r="B6814"/>
      <c r="C6814"/>
      <c r="D6814"/>
      <c r="E6814" s="364"/>
      <c r="F6814"/>
    </row>
    <row r="6815" spans="1:6" x14ac:dyDescent="0.25">
      <c r="A6815" s="364"/>
      <c r="B6815"/>
      <c r="C6815"/>
      <c r="D6815"/>
      <c r="E6815" s="364"/>
      <c r="F6815"/>
    </row>
    <row r="6816" spans="1:6" x14ac:dyDescent="0.25">
      <c r="A6816" s="364"/>
      <c r="B6816"/>
      <c r="C6816"/>
      <c r="D6816"/>
      <c r="E6816" s="364"/>
      <c r="F6816"/>
    </row>
    <row r="6817" spans="1:6" x14ac:dyDescent="0.25">
      <c r="A6817" s="364"/>
      <c r="B6817"/>
      <c r="C6817"/>
      <c r="D6817"/>
      <c r="E6817" s="364"/>
      <c r="F6817"/>
    </row>
    <row r="6818" spans="1:6" x14ac:dyDescent="0.25">
      <c r="A6818" s="364"/>
      <c r="B6818"/>
      <c r="C6818"/>
      <c r="D6818"/>
      <c r="E6818" s="364"/>
      <c r="F6818"/>
    </row>
    <row r="6819" spans="1:6" x14ac:dyDescent="0.25">
      <c r="A6819" s="364"/>
      <c r="B6819"/>
      <c r="C6819"/>
      <c r="D6819"/>
      <c r="E6819" s="364"/>
      <c r="F6819"/>
    </row>
    <row r="6820" spans="1:6" x14ac:dyDescent="0.25">
      <c r="A6820" s="364"/>
      <c r="B6820"/>
      <c r="C6820"/>
      <c r="D6820"/>
      <c r="E6820" s="364"/>
      <c r="F6820"/>
    </row>
    <row r="6821" spans="1:6" x14ac:dyDescent="0.25">
      <c r="A6821" s="364"/>
      <c r="B6821"/>
      <c r="C6821"/>
      <c r="D6821"/>
      <c r="E6821" s="364"/>
      <c r="F6821"/>
    </row>
    <row r="6822" spans="1:6" x14ac:dyDescent="0.25">
      <c r="A6822" s="364"/>
      <c r="B6822"/>
      <c r="C6822"/>
      <c r="D6822"/>
      <c r="E6822" s="364"/>
      <c r="F6822"/>
    </row>
    <row r="6823" spans="1:6" x14ac:dyDescent="0.25">
      <c r="A6823" s="364"/>
      <c r="B6823"/>
      <c r="C6823"/>
      <c r="D6823"/>
      <c r="E6823" s="364"/>
      <c r="F6823"/>
    </row>
    <row r="6824" spans="1:6" x14ac:dyDescent="0.25">
      <c r="A6824" s="364"/>
      <c r="B6824"/>
      <c r="C6824"/>
      <c r="D6824"/>
      <c r="E6824" s="364"/>
      <c r="F6824"/>
    </row>
    <row r="6825" spans="1:6" x14ac:dyDescent="0.25">
      <c r="A6825" s="364"/>
      <c r="B6825"/>
      <c r="C6825"/>
      <c r="D6825"/>
      <c r="E6825" s="364"/>
      <c r="F6825"/>
    </row>
    <row r="6826" spans="1:6" x14ac:dyDescent="0.25">
      <c r="A6826" s="364"/>
      <c r="B6826"/>
      <c r="C6826"/>
      <c r="D6826"/>
      <c r="E6826" s="364"/>
      <c r="F6826"/>
    </row>
    <row r="6827" spans="1:6" x14ac:dyDescent="0.25">
      <c r="A6827" s="364"/>
      <c r="B6827"/>
      <c r="C6827"/>
      <c r="D6827"/>
      <c r="E6827" s="364"/>
      <c r="F6827"/>
    </row>
    <row r="6828" spans="1:6" x14ac:dyDescent="0.25">
      <c r="A6828" s="364"/>
      <c r="B6828"/>
      <c r="C6828"/>
      <c r="D6828"/>
      <c r="E6828" s="364"/>
      <c r="F6828"/>
    </row>
    <row r="6829" spans="1:6" x14ac:dyDescent="0.25">
      <c r="A6829" s="364"/>
      <c r="B6829"/>
      <c r="C6829"/>
      <c r="D6829"/>
      <c r="E6829" s="364"/>
      <c r="F6829"/>
    </row>
    <row r="6830" spans="1:6" x14ac:dyDescent="0.25">
      <c r="A6830" s="364"/>
      <c r="B6830"/>
      <c r="C6830"/>
      <c r="D6830"/>
      <c r="E6830" s="364"/>
      <c r="F6830"/>
    </row>
    <row r="6831" spans="1:6" x14ac:dyDescent="0.25">
      <c r="A6831" s="364"/>
      <c r="B6831"/>
      <c r="C6831"/>
      <c r="D6831"/>
      <c r="E6831" s="364"/>
      <c r="F6831"/>
    </row>
    <row r="6832" spans="1:6" x14ac:dyDescent="0.25">
      <c r="A6832" s="364"/>
      <c r="B6832"/>
      <c r="C6832"/>
      <c r="D6832"/>
      <c r="E6832" s="364"/>
      <c r="F6832"/>
    </row>
    <row r="6833" spans="1:6" x14ac:dyDescent="0.25">
      <c r="A6833" s="364"/>
      <c r="B6833"/>
      <c r="C6833"/>
      <c r="D6833"/>
      <c r="E6833" s="364"/>
      <c r="F6833"/>
    </row>
    <row r="6834" spans="1:6" x14ac:dyDescent="0.25">
      <c r="A6834" s="364"/>
      <c r="B6834"/>
      <c r="C6834"/>
      <c r="D6834"/>
      <c r="E6834" s="364"/>
      <c r="F6834"/>
    </row>
    <row r="6835" spans="1:6" x14ac:dyDescent="0.25">
      <c r="A6835" s="364"/>
      <c r="B6835"/>
      <c r="C6835"/>
      <c r="D6835"/>
      <c r="E6835" s="364"/>
      <c r="F6835"/>
    </row>
    <row r="6836" spans="1:6" x14ac:dyDescent="0.25">
      <c r="A6836" s="364"/>
      <c r="B6836"/>
      <c r="C6836"/>
      <c r="D6836"/>
      <c r="E6836" s="364"/>
      <c r="F6836"/>
    </row>
    <row r="6837" spans="1:6" x14ac:dyDescent="0.25">
      <c r="A6837" s="364"/>
      <c r="B6837"/>
      <c r="C6837"/>
      <c r="D6837"/>
      <c r="E6837" s="364"/>
      <c r="F6837"/>
    </row>
    <row r="6838" spans="1:6" x14ac:dyDescent="0.25">
      <c r="A6838" s="364"/>
      <c r="B6838"/>
      <c r="C6838"/>
      <c r="D6838"/>
      <c r="E6838" s="364"/>
      <c r="F6838"/>
    </row>
    <row r="6839" spans="1:6" x14ac:dyDescent="0.25">
      <c r="A6839" s="364"/>
      <c r="B6839"/>
      <c r="C6839"/>
      <c r="D6839"/>
      <c r="E6839" s="364"/>
      <c r="F6839"/>
    </row>
    <row r="6840" spans="1:6" x14ac:dyDescent="0.25">
      <c r="A6840" s="364"/>
      <c r="B6840"/>
      <c r="C6840"/>
      <c r="D6840"/>
      <c r="E6840" s="364"/>
      <c r="F6840"/>
    </row>
    <row r="6841" spans="1:6" x14ac:dyDescent="0.25">
      <c r="A6841" s="364"/>
      <c r="B6841"/>
      <c r="C6841"/>
      <c r="D6841"/>
      <c r="E6841" s="364"/>
      <c r="F6841"/>
    </row>
    <row r="6842" spans="1:6" x14ac:dyDescent="0.25">
      <c r="A6842" s="364"/>
      <c r="B6842"/>
      <c r="C6842"/>
      <c r="D6842"/>
      <c r="E6842" s="364"/>
      <c r="F6842"/>
    </row>
    <row r="6843" spans="1:6" x14ac:dyDescent="0.25">
      <c r="A6843" s="364"/>
      <c r="B6843"/>
      <c r="C6843"/>
      <c r="D6843"/>
      <c r="E6843" s="364"/>
      <c r="F6843"/>
    </row>
    <row r="6844" spans="1:6" x14ac:dyDescent="0.25">
      <c r="A6844" s="364"/>
      <c r="B6844"/>
      <c r="C6844"/>
      <c r="D6844"/>
      <c r="E6844" s="364"/>
      <c r="F6844"/>
    </row>
    <row r="6845" spans="1:6" x14ac:dyDescent="0.25">
      <c r="A6845" s="364"/>
      <c r="B6845"/>
      <c r="C6845"/>
      <c r="D6845"/>
      <c r="E6845" s="364"/>
      <c r="F6845"/>
    </row>
    <row r="6846" spans="1:6" x14ac:dyDescent="0.25">
      <c r="A6846" s="364"/>
      <c r="B6846"/>
      <c r="C6846"/>
      <c r="D6846"/>
      <c r="E6846" s="364"/>
      <c r="F6846"/>
    </row>
    <row r="6847" spans="1:6" x14ac:dyDescent="0.25">
      <c r="A6847" s="364"/>
      <c r="B6847"/>
      <c r="C6847"/>
      <c r="D6847"/>
      <c r="E6847" s="364"/>
      <c r="F6847"/>
    </row>
    <row r="6848" spans="1:6" x14ac:dyDescent="0.25">
      <c r="A6848" s="364"/>
      <c r="B6848"/>
      <c r="C6848"/>
      <c r="D6848"/>
      <c r="E6848" s="364"/>
      <c r="F6848"/>
    </row>
    <row r="6849" spans="1:6" x14ac:dyDescent="0.25">
      <c r="A6849" s="364"/>
      <c r="B6849"/>
      <c r="C6849"/>
      <c r="D6849"/>
      <c r="E6849" s="364"/>
      <c r="F6849"/>
    </row>
    <row r="6850" spans="1:6" x14ac:dyDescent="0.25">
      <c r="A6850" s="364"/>
      <c r="B6850"/>
      <c r="C6850"/>
      <c r="D6850"/>
      <c r="E6850" s="364"/>
      <c r="F6850"/>
    </row>
    <row r="6851" spans="1:6" x14ac:dyDescent="0.25">
      <c r="A6851" s="364"/>
      <c r="B6851"/>
      <c r="C6851"/>
      <c r="D6851"/>
      <c r="E6851" s="364"/>
      <c r="F6851"/>
    </row>
    <row r="6852" spans="1:6" x14ac:dyDescent="0.25">
      <c r="A6852" s="364"/>
      <c r="B6852"/>
      <c r="C6852"/>
      <c r="D6852"/>
      <c r="E6852" s="364"/>
      <c r="F6852"/>
    </row>
    <row r="6853" spans="1:6" x14ac:dyDescent="0.25">
      <c r="A6853" s="364"/>
      <c r="B6853"/>
      <c r="C6853"/>
      <c r="D6853"/>
      <c r="E6853" s="364"/>
      <c r="F6853"/>
    </row>
    <row r="6854" spans="1:6" x14ac:dyDescent="0.25">
      <c r="A6854" s="364"/>
      <c r="B6854"/>
      <c r="C6854"/>
      <c r="D6854"/>
      <c r="E6854" s="364"/>
      <c r="F6854"/>
    </row>
    <row r="6855" spans="1:6" x14ac:dyDescent="0.25">
      <c r="A6855" s="364"/>
      <c r="B6855"/>
      <c r="C6855"/>
      <c r="D6855"/>
      <c r="E6855" s="364"/>
      <c r="F6855"/>
    </row>
    <row r="6856" spans="1:6" x14ac:dyDescent="0.25">
      <c r="A6856" s="364"/>
      <c r="B6856"/>
      <c r="C6856"/>
      <c r="D6856"/>
      <c r="E6856" s="364"/>
      <c r="F6856"/>
    </row>
    <row r="6857" spans="1:6" x14ac:dyDescent="0.25">
      <c r="A6857" s="364"/>
      <c r="B6857"/>
      <c r="C6857"/>
      <c r="D6857"/>
      <c r="E6857" s="364"/>
      <c r="F6857"/>
    </row>
    <row r="6858" spans="1:6" x14ac:dyDescent="0.25">
      <c r="A6858" s="364"/>
      <c r="B6858"/>
      <c r="C6858"/>
      <c r="D6858"/>
      <c r="E6858" s="364"/>
      <c r="F6858"/>
    </row>
    <row r="6859" spans="1:6" x14ac:dyDescent="0.25">
      <c r="A6859" s="364"/>
      <c r="B6859"/>
      <c r="C6859"/>
      <c r="D6859"/>
      <c r="E6859" s="364"/>
      <c r="F6859"/>
    </row>
    <row r="6860" spans="1:6" x14ac:dyDescent="0.25">
      <c r="A6860" s="364"/>
      <c r="B6860"/>
      <c r="C6860"/>
      <c r="D6860"/>
      <c r="E6860" s="364"/>
      <c r="F6860"/>
    </row>
    <row r="6861" spans="1:6" x14ac:dyDescent="0.25">
      <c r="A6861" s="364"/>
      <c r="B6861"/>
      <c r="C6861"/>
      <c r="D6861"/>
      <c r="E6861" s="364"/>
      <c r="F6861"/>
    </row>
    <row r="6862" spans="1:6" x14ac:dyDescent="0.25">
      <c r="A6862" s="364"/>
      <c r="B6862"/>
      <c r="C6862"/>
      <c r="D6862"/>
      <c r="E6862" s="364"/>
      <c r="F6862"/>
    </row>
    <row r="6863" spans="1:6" x14ac:dyDescent="0.25">
      <c r="A6863" s="364"/>
      <c r="B6863"/>
      <c r="C6863"/>
      <c r="D6863"/>
      <c r="E6863" s="364"/>
      <c r="F6863"/>
    </row>
    <row r="6864" spans="1:6" x14ac:dyDescent="0.25">
      <c r="A6864" s="364"/>
      <c r="B6864"/>
      <c r="C6864"/>
      <c r="D6864"/>
      <c r="E6864" s="364"/>
      <c r="F6864"/>
    </row>
    <row r="6865" spans="1:6" x14ac:dyDescent="0.25">
      <c r="A6865" s="364"/>
      <c r="B6865"/>
      <c r="C6865"/>
      <c r="D6865"/>
      <c r="E6865" s="364"/>
      <c r="F6865"/>
    </row>
    <row r="6866" spans="1:6" x14ac:dyDescent="0.25">
      <c r="A6866" s="364"/>
      <c r="B6866"/>
      <c r="C6866"/>
      <c r="D6866"/>
      <c r="E6866" s="364"/>
      <c r="F6866"/>
    </row>
    <row r="6867" spans="1:6" x14ac:dyDescent="0.25">
      <c r="A6867" s="364"/>
      <c r="B6867"/>
      <c r="C6867"/>
      <c r="D6867"/>
      <c r="E6867" s="364"/>
      <c r="F6867"/>
    </row>
    <row r="6868" spans="1:6" x14ac:dyDescent="0.25">
      <c r="A6868" s="364"/>
      <c r="B6868"/>
      <c r="C6868"/>
      <c r="D6868"/>
      <c r="E6868" s="364"/>
      <c r="F6868"/>
    </row>
    <row r="6869" spans="1:6" x14ac:dyDescent="0.25">
      <c r="A6869" s="364"/>
      <c r="B6869"/>
      <c r="C6869"/>
      <c r="D6869"/>
      <c r="E6869" s="364"/>
      <c r="F6869"/>
    </row>
    <row r="6870" spans="1:6" x14ac:dyDescent="0.25">
      <c r="A6870" s="364"/>
      <c r="B6870"/>
      <c r="C6870"/>
      <c r="D6870"/>
      <c r="E6870" s="364"/>
      <c r="F6870"/>
    </row>
    <row r="6871" spans="1:6" x14ac:dyDescent="0.25">
      <c r="A6871" s="364"/>
      <c r="B6871"/>
      <c r="C6871"/>
      <c r="D6871"/>
      <c r="E6871" s="364"/>
      <c r="F6871"/>
    </row>
    <row r="6872" spans="1:6" x14ac:dyDescent="0.25">
      <c r="A6872" s="364"/>
      <c r="B6872"/>
      <c r="C6872"/>
      <c r="D6872"/>
      <c r="E6872" s="364"/>
      <c r="F6872"/>
    </row>
    <row r="6873" spans="1:6" x14ac:dyDescent="0.25">
      <c r="A6873" s="364"/>
      <c r="B6873"/>
      <c r="C6873"/>
      <c r="D6873"/>
      <c r="E6873" s="364"/>
      <c r="F6873"/>
    </row>
    <row r="6874" spans="1:6" x14ac:dyDescent="0.25">
      <c r="A6874" s="364"/>
      <c r="B6874"/>
      <c r="C6874"/>
      <c r="D6874"/>
      <c r="E6874" s="364"/>
      <c r="F6874"/>
    </row>
    <row r="6875" spans="1:6" x14ac:dyDescent="0.25">
      <c r="A6875" s="364"/>
      <c r="B6875"/>
      <c r="C6875"/>
      <c r="D6875"/>
      <c r="E6875" s="364"/>
      <c r="F6875"/>
    </row>
    <row r="6876" spans="1:6" x14ac:dyDescent="0.25">
      <c r="A6876" s="364"/>
      <c r="B6876"/>
      <c r="C6876"/>
      <c r="D6876"/>
      <c r="E6876" s="364"/>
      <c r="F6876"/>
    </row>
    <row r="6877" spans="1:6" x14ac:dyDescent="0.25">
      <c r="A6877" s="364"/>
      <c r="B6877"/>
      <c r="C6877"/>
      <c r="D6877"/>
      <c r="E6877" s="364"/>
      <c r="F6877"/>
    </row>
    <row r="6878" spans="1:6" x14ac:dyDescent="0.25">
      <c r="A6878" s="364"/>
      <c r="B6878"/>
      <c r="C6878"/>
      <c r="D6878"/>
      <c r="E6878" s="364"/>
      <c r="F6878"/>
    </row>
    <row r="6879" spans="1:6" x14ac:dyDescent="0.25">
      <c r="A6879" s="364"/>
      <c r="B6879"/>
      <c r="C6879"/>
      <c r="D6879"/>
      <c r="E6879" s="364"/>
      <c r="F6879"/>
    </row>
    <row r="6880" spans="1:6" x14ac:dyDescent="0.25">
      <c r="A6880" s="364"/>
      <c r="B6880"/>
      <c r="C6880"/>
      <c r="D6880"/>
      <c r="E6880" s="364"/>
      <c r="F6880"/>
    </row>
    <row r="6881" spans="1:6" x14ac:dyDescent="0.25">
      <c r="A6881" s="364"/>
      <c r="B6881"/>
      <c r="C6881"/>
      <c r="D6881"/>
      <c r="E6881" s="364"/>
      <c r="F6881"/>
    </row>
    <row r="6882" spans="1:6" x14ac:dyDescent="0.25">
      <c r="A6882" s="364"/>
      <c r="B6882"/>
      <c r="C6882"/>
      <c r="D6882"/>
      <c r="E6882" s="364"/>
      <c r="F6882"/>
    </row>
    <row r="6883" spans="1:6" x14ac:dyDescent="0.25">
      <c r="A6883" s="364"/>
      <c r="B6883"/>
      <c r="C6883"/>
      <c r="D6883"/>
      <c r="E6883" s="364"/>
      <c r="F6883"/>
    </row>
    <row r="6884" spans="1:6" x14ac:dyDescent="0.25">
      <c r="A6884" s="364"/>
      <c r="B6884"/>
      <c r="C6884"/>
      <c r="D6884"/>
      <c r="E6884" s="364"/>
      <c r="F6884"/>
    </row>
    <row r="6885" spans="1:6" x14ac:dyDescent="0.25">
      <c r="A6885" s="364"/>
      <c r="B6885"/>
      <c r="C6885"/>
      <c r="D6885"/>
      <c r="E6885" s="364"/>
      <c r="F6885"/>
    </row>
    <row r="6886" spans="1:6" x14ac:dyDescent="0.25">
      <c r="A6886" s="364"/>
      <c r="B6886"/>
      <c r="C6886"/>
      <c r="D6886"/>
      <c r="E6886" s="364"/>
      <c r="F6886"/>
    </row>
    <row r="6887" spans="1:6" x14ac:dyDescent="0.25">
      <c r="A6887" s="364"/>
      <c r="B6887"/>
      <c r="C6887"/>
      <c r="D6887"/>
      <c r="E6887" s="364"/>
      <c r="F6887"/>
    </row>
    <row r="6888" spans="1:6" x14ac:dyDescent="0.25">
      <c r="A6888" s="364"/>
      <c r="B6888"/>
      <c r="C6888"/>
      <c r="D6888"/>
      <c r="E6888" s="364"/>
      <c r="F6888"/>
    </row>
    <row r="6889" spans="1:6" x14ac:dyDescent="0.25">
      <c r="A6889" s="364"/>
      <c r="B6889"/>
      <c r="C6889"/>
      <c r="D6889"/>
      <c r="E6889" s="364"/>
      <c r="F6889"/>
    </row>
    <row r="6890" spans="1:6" x14ac:dyDescent="0.25">
      <c r="A6890" s="364"/>
      <c r="B6890"/>
      <c r="C6890"/>
      <c r="D6890"/>
      <c r="E6890" s="364"/>
      <c r="F6890"/>
    </row>
    <row r="6891" spans="1:6" x14ac:dyDescent="0.25">
      <c r="A6891" s="364"/>
      <c r="B6891"/>
      <c r="C6891"/>
      <c r="D6891"/>
      <c r="E6891" s="364"/>
      <c r="F6891"/>
    </row>
    <row r="6892" spans="1:6" x14ac:dyDescent="0.25">
      <c r="A6892" s="364"/>
      <c r="B6892"/>
      <c r="C6892"/>
      <c r="D6892"/>
      <c r="E6892" s="364"/>
      <c r="F6892"/>
    </row>
    <row r="6893" spans="1:6" x14ac:dyDescent="0.25">
      <c r="A6893" s="364"/>
      <c r="B6893"/>
      <c r="C6893"/>
      <c r="D6893"/>
      <c r="E6893" s="364"/>
      <c r="F6893"/>
    </row>
    <row r="6894" spans="1:6" x14ac:dyDescent="0.25">
      <c r="A6894" s="364"/>
      <c r="B6894"/>
      <c r="C6894"/>
      <c r="D6894"/>
      <c r="E6894" s="364"/>
      <c r="F6894"/>
    </row>
    <row r="6895" spans="1:6" x14ac:dyDescent="0.25">
      <c r="A6895" s="364"/>
      <c r="B6895"/>
      <c r="C6895"/>
      <c r="D6895"/>
      <c r="E6895" s="364"/>
      <c r="F6895"/>
    </row>
    <row r="6896" spans="1:6" x14ac:dyDescent="0.25">
      <c r="A6896" s="364"/>
      <c r="B6896"/>
      <c r="C6896"/>
      <c r="D6896"/>
      <c r="E6896" s="364"/>
      <c r="F6896"/>
    </row>
    <row r="6897" spans="1:6" x14ac:dyDescent="0.25">
      <c r="A6897" s="364"/>
      <c r="B6897"/>
      <c r="C6897"/>
      <c r="D6897"/>
      <c r="E6897" s="364"/>
      <c r="F6897"/>
    </row>
    <row r="6898" spans="1:6" x14ac:dyDescent="0.25">
      <c r="A6898" s="364"/>
      <c r="B6898"/>
      <c r="C6898"/>
      <c r="D6898"/>
      <c r="E6898" s="364"/>
      <c r="F6898"/>
    </row>
    <row r="6899" spans="1:6" x14ac:dyDescent="0.25">
      <c r="A6899" s="364"/>
      <c r="B6899"/>
      <c r="C6899"/>
      <c r="D6899"/>
      <c r="E6899" s="364"/>
      <c r="F6899"/>
    </row>
    <row r="6900" spans="1:6" x14ac:dyDescent="0.25">
      <c r="A6900" s="364"/>
      <c r="B6900"/>
      <c r="C6900"/>
      <c r="D6900"/>
      <c r="E6900" s="364"/>
      <c r="F6900"/>
    </row>
    <row r="6901" spans="1:6" x14ac:dyDescent="0.25">
      <c r="A6901" s="364"/>
      <c r="B6901"/>
      <c r="C6901"/>
      <c r="D6901"/>
      <c r="E6901" s="364"/>
      <c r="F6901"/>
    </row>
    <row r="6902" spans="1:6" x14ac:dyDescent="0.25">
      <c r="A6902" s="364"/>
      <c r="B6902"/>
      <c r="C6902"/>
      <c r="D6902"/>
      <c r="E6902" s="364"/>
      <c r="F6902"/>
    </row>
    <row r="6903" spans="1:6" x14ac:dyDescent="0.25">
      <c r="A6903" s="364"/>
      <c r="B6903"/>
      <c r="C6903"/>
      <c r="D6903"/>
      <c r="E6903" s="364"/>
      <c r="F6903"/>
    </row>
    <row r="6904" spans="1:6" x14ac:dyDescent="0.25">
      <c r="A6904" s="364"/>
      <c r="B6904"/>
      <c r="C6904"/>
      <c r="D6904"/>
      <c r="E6904" s="364"/>
      <c r="F6904"/>
    </row>
    <row r="6905" spans="1:6" x14ac:dyDescent="0.25">
      <c r="A6905" s="364"/>
      <c r="B6905"/>
      <c r="C6905"/>
      <c r="D6905"/>
      <c r="E6905" s="364"/>
      <c r="F6905"/>
    </row>
    <row r="6906" spans="1:6" x14ac:dyDescent="0.25">
      <c r="A6906" s="364"/>
      <c r="B6906"/>
      <c r="C6906"/>
      <c r="D6906"/>
      <c r="E6906" s="364"/>
      <c r="F6906"/>
    </row>
    <row r="6907" spans="1:6" x14ac:dyDescent="0.25">
      <c r="A6907" s="364"/>
      <c r="B6907"/>
      <c r="C6907"/>
      <c r="D6907"/>
      <c r="E6907" s="364"/>
      <c r="F6907"/>
    </row>
    <row r="6908" spans="1:6" x14ac:dyDescent="0.25">
      <c r="A6908" s="364"/>
      <c r="B6908"/>
      <c r="C6908"/>
      <c r="D6908"/>
      <c r="E6908" s="364"/>
      <c r="F6908"/>
    </row>
    <row r="6909" spans="1:6" x14ac:dyDescent="0.25">
      <c r="A6909" s="364"/>
      <c r="B6909"/>
      <c r="C6909"/>
      <c r="D6909"/>
      <c r="E6909" s="364"/>
      <c r="F6909"/>
    </row>
    <row r="6910" spans="1:6" x14ac:dyDescent="0.25">
      <c r="A6910" s="364"/>
      <c r="B6910"/>
      <c r="C6910"/>
      <c r="D6910"/>
      <c r="E6910" s="364"/>
      <c r="F6910"/>
    </row>
    <row r="6911" spans="1:6" x14ac:dyDescent="0.25">
      <c r="A6911" s="364"/>
      <c r="B6911"/>
      <c r="C6911"/>
      <c r="D6911"/>
      <c r="E6911" s="364"/>
      <c r="F6911"/>
    </row>
    <row r="6912" spans="1:6" x14ac:dyDescent="0.25">
      <c r="A6912" s="364"/>
      <c r="B6912"/>
      <c r="C6912"/>
      <c r="D6912"/>
      <c r="E6912" s="364"/>
      <c r="F6912"/>
    </row>
    <row r="6913" spans="1:6" x14ac:dyDescent="0.25">
      <c r="A6913" s="364"/>
      <c r="B6913"/>
      <c r="C6913"/>
      <c r="D6913"/>
      <c r="E6913" s="364"/>
      <c r="F6913"/>
    </row>
    <row r="6914" spans="1:6" x14ac:dyDescent="0.25">
      <c r="A6914" s="364"/>
      <c r="B6914"/>
      <c r="C6914"/>
      <c r="D6914"/>
      <c r="E6914" s="364"/>
      <c r="F6914"/>
    </row>
    <row r="6915" spans="1:6" x14ac:dyDescent="0.25">
      <c r="A6915" s="364"/>
      <c r="B6915"/>
      <c r="C6915"/>
      <c r="D6915"/>
      <c r="E6915" s="364"/>
      <c r="F6915"/>
    </row>
    <row r="6916" spans="1:6" x14ac:dyDescent="0.25">
      <c r="A6916" s="364"/>
      <c r="B6916"/>
      <c r="C6916"/>
      <c r="D6916"/>
      <c r="E6916" s="364"/>
      <c r="F6916"/>
    </row>
    <row r="6917" spans="1:6" x14ac:dyDescent="0.25">
      <c r="A6917" s="364"/>
      <c r="B6917"/>
      <c r="C6917"/>
      <c r="D6917"/>
      <c r="E6917" s="364"/>
      <c r="F6917"/>
    </row>
    <row r="6918" spans="1:6" x14ac:dyDescent="0.25">
      <c r="A6918" s="364"/>
      <c r="B6918"/>
      <c r="C6918"/>
      <c r="D6918"/>
      <c r="E6918" s="364"/>
      <c r="F6918"/>
    </row>
    <row r="6919" spans="1:6" x14ac:dyDescent="0.25">
      <c r="A6919" s="364"/>
      <c r="B6919"/>
      <c r="C6919"/>
      <c r="D6919"/>
      <c r="E6919" s="364"/>
      <c r="F6919"/>
    </row>
    <row r="6920" spans="1:6" x14ac:dyDescent="0.25">
      <c r="A6920" s="364"/>
      <c r="B6920"/>
      <c r="C6920"/>
      <c r="D6920"/>
      <c r="E6920" s="364"/>
      <c r="F6920"/>
    </row>
    <row r="6921" spans="1:6" x14ac:dyDescent="0.25">
      <c r="A6921" s="364"/>
      <c r="B6921"/>
      <c r="C6921"/>
      <c r="D6921"/>
      <c r="E6921" s="364"/>
      <c r="F6921"/>
    </row>
    <row r="6922" spans="1:6" x14ac:dyDescent="0.25">
      <c r="A6922" s="364"/>
      <c r="B6922"/>
      <c r="C6922"/>
      <c r="D6922"/>
      <c r="E6922" s="364"/>
      <c r="F6922"/>
    </row>
    <row r="6923" spans="1:6" x14ac:dyDescent="0.25">
      <c r="A6923" s="364"/>
      <c r="B6923"/>
      <c r="C6923"/>
      <c r="D6923"/>
      <c r="E6923" s="364"/>
      <c r="F6923"/>
    </row>
    <row r="6924" spans="1:6" x14ac:dyDescent="0.25">
      <c r="A6924" s="364"/>
      <c r="B6924"/>
      <c r="C6924"/>
      <c r="D6924"/>
      <c r="E6924" s="364"/>
      <c r="F6924"/>
    </row>
    <row r="6925" spans="1:6" x14ac:dyDescent="0.25">
      <c r="A6925" s="364"/>
      <c r="B6925"/>
      <c r="C6925"/>
      <c r="D6925"/>
      <c r="E6925" s="364"/>
      <c r="F6925"/>
    </row>
    <row r="6926" spans="1:6" x14ac:dyDescent="0.25">
      <c r="A6926" s="364"/>
      <c r="B6926"/>
      <c r="C6926"/>
      <c r="D6926"/>
      <c r="E6926" s="364"/>
      <c r="F6926"/>
    </row>
    <row r="6927" spans="1:6" x14ac:dyDescent="0.25">
      <c r="A6927" s="364"/>
      <c r="B6927"/>
      <c r="C6927"/>
      <c r="D6927"/>
      <c r="E6927" s="364"/>
      <c r="F6927"/>
    </row>
    <row r="6928" spans="1:6" x14ac:dyDescent="0.25">
      <c r="A6928" s="364"/>
      <c r="B6928"/>
      <c r="C6928"/>
      <c r="D6928"/>
      <c r="E6928" s="364"/>
      <c r="F6928"/>
    </row>
    <row r="6929" spans="1:6" x14ac:dyDescent="0.25">
      <c r="A6929" s="364"/>
      <c r="B6929"/>
      <c r="C6929"/>
      <c r="D6929"/>
      <c r="E6929" s="364"/>
      <c r="F6929"/>
    </row>
    <row r="6930" spans="1:6" x14ac:dyDescent="0.25">
      <c r="A6930" s="364"/>
      <c r="B6930"/>
      <c r="C6930"/>
      <c r="D6930"/>
      <c r="E6930" s="364"/>
      <c r="F6930"/>
    </row>
    <row r="6931" spans="1:6" x14ac:dyDescent="0.25">
      <c r="A6931" s="364"/>
      <c r="B6931"/>
      <c r="C6931"/>
      <c r="D6931"/>
      <c r="E6931" s="364"/>
      <c r="F6931"/>
    </row>
    <row r="6932" spans="1:6" x14ac:dyDescent="0.25">
      <c r="A6932" s="364"/>
      <c r="B6932"/>
      <c r="C6932"/>
      <c r="D6932"/>
      <c r="E6932" s="364"/>
      <c r="F6932"/>
    </row>
    <row r="6933" spans="1:6" x14ac:dyDescent="0.25">
      <c r="A6933" s="364"/>
      <c r="B6933"/>
      <c r="C6933"/>
      <c r="D6933"/>
      <c r="E6933" s="364"/>
      <c r="F6933"/>
    </row>
    <row r="6934" spans="1:6" x14ac:dyDescent="0.25">
      <c r="A6934" s="364"/>
      <c r="B6934"/>
      <c r="C6934"/>
      <c r="D6934"/>
      <c r="E6934" s="364"/>
      <c r="F6934"/>
    </row>
    <row r="6935" spans="1:6" x14ac:dyDescent="0.25">
      <c r="A6935" s="364"/>
      <c r="B6935"/>
      <c r="C6935"/>
      <c r="D6935"/>
      <c r="E6935" s="364"/>
      <c r="F6935"/>
    </row>
    <row r="6936" spans="1:6" x14ac:dyDescent="0.25">
      <c r="A6936" s="364"/>
      <c r="B6936"/>
      <c r="C6936"/>
      <c r="D6936"/>
      <c r="E6936" s="364"/>
      <c r="F6936"/>
    </row>
    <row r="6937" spans="1:6" x14ac:dyDescent="0.25">
      <c r="A6937" s="364"/>
      <c r="B6937"/>
      <c r="C6937"/>
      <c r="D6937"/>
      <c r="E6937" s="364"/>
      <c r="F6937"/>
    </row>
    <row r="6938" spans="1:6" x14ac:dyDescent="0.25">
      <c r="A6938" s="364"/>
      <c r="B6938"/>
      <c r="C6938"/>
      <c r="D6938"/>
      <c r="E6938" s="364"/>
      <c r="F6938"/>
    </row>
    <row r="6939" spans="1:6" x14ac:dyDescent="0.25">
      <c r="A6939" s="364"/>
      <c r="B6939"/>
      <c r="C6939"/>
      <c r="D6939"/>
      <c r="E6939" s="364"/>
      <c r="F6939"/>
    </row>
    <row r="6940" spans="1:6" x14ac:dyDescent="0.25">
      <c r="A6940" s="364"/>
      <c r="B6940"/>
      <c r="C6940"/>
      <c r="D6940"/>
      <c r="E6940" s="364"/>
      <c r="F6940"/>
    </row>
    <row r="6941" spans="1:6" x14ac:dyDescent="0.25">
      <c r="A6941" s="364"/>
      <c r="B6941"/>
      <c r="C6941"/>
      <c r="D6941"/>
      <c r="E6941" s="364"/>
      <c r="F6941"/>
    </row>
    <row r="6942" spans="1:6" x14ac:dyDescent="0.25">
      <c r="A6942" s="364"/>
      <c r="B6942"/>
      <c r="C6942"/>
      <c r="D6942"/>
      <c r="E6942" s="364"/>
      <c r="F6942"/>
    </row>
    <row r="6943" spans="1:6" x14ac:dyDescent="0.25">
      <c r="A6943" s="364"/>
      <c r="B6943"/>
      <c r="C6943"/>
      <c r="D6943"/>
      <c r="E6943" s="364"/>
      <c r="F6943"/>
    </row>
    <row r="6944" spans="1:6" x14ac:dyDescent="0.25">
      <c r="A6944" s="364"/>
      <c r="B6944"/>
      <c r="C6944"/>
      <c r="D6944"/>
      <c r="E6944" s="364"/>
      <c r="F6944"/>
    </row>
    <row r="6945" spans="1:6" x14ac:dyDescent="0.25">
      <c r="A6945" s="364"/>
      <c r="B6945"/>
      <c r="C6945"/>
      <c r="D6945"/>
      <c r="E6945" s="364"/>
      <c r="F6945"/>
    </row>
    <row r="6946" spans="1:6" x14ac:dyDescent="0.25">
      <c r="A6946" s="364"/>
      <c r="B6946"/>
      <c r="C6946"/>
      <c r="D6946"/>
      <c r="E6946" s="364"/>
      <c r="F6946"/>
    </row>
    <row r="6947" spans="1:6" x14ac:dyDescent="0.25">
      <c r="A6947" s="364"/>
      <c r="B6947"/>
      <c r="C6947"/>
      <c r="D6947"/>
      <c r="E6947" s="364"/>
      <c r="F6947"/>
    </row>
    <row r="6948" spans="1:6" x14ac:dyDescent="0.25">
      <c r="A6948" s="364"/>
      <c r="B6948"/>
      <c r="C6948"/>
      <c r="D6948"/>
      <c r="E6948" s="364"/>
      <c r="F6948"/>
    </row>
    <row r="6949" spans="1:6" x14ac:dyDescent="0.25">
      <c r="A6949" s="364"/>
      <c r="B6949"/>
      <c r="C6949"/>
      <c r="D6949"/>
      <c r="E6949" s="364"/>
      <c r="F6949"/>
    </row>
    <row r="6950" spans="1:6" x14ac:dyDescent="0.25">
      <c r="A6950" s="364"/>
      <c r="B6950"/>
      <c r="C6950"/>
      <c r="D6950"/>
      <c r="E6950" s="364"/>
      <c r="F6950"/>
    </row>
    <row r="6951" spans="1:6" x14ac:dyDescent="0.25">
      <c r="A6951" s="364"/>
      <c r="B6951"/>
      <c r="C6951"/>
      <c r="D6951"/>
      <c r="E6951" s="364"/>
      <c r="F6951"/>
    </row>
    <row r="6952" spans="1:6" x14ac:dyDescent="0.25">
      <c r="A6952" s="364"/>
      <c r="B6952"/>
      <c r="C6952"/>
      <c r="D6952"/>
      <c r="E6952" s="364"/>
      <c r="F6952"/>
    </row>
    <row r="6953" spans="1:6" x14ac:dyDescent="0.25">
      <c r="A6953" s="364"/>
      <c r="B6953"/>
      <c r="C6953"/>
      <c r="D6953"/>
      <c r="E6953" s="364"/>
      <c r="F6953"/>
    </row>
    <row r="6954" spans="1:6" x14ac:dyDescent="0.25">
      <c r="A6954" s="364"/>
      <c r="B6954"/>
      <c r="C6954"/>
      <c r="D6954"/>
      <c r="E6954" s="364"/>
      <c r="F6954"/>
    </row>
    <row r="6955" spans="1:6" x14ac:dyDescent="0.25">
      <c r="A6955" s="364"/>
      <c r="B6955"/>
      <c r="C6955"/>
      <c r="D6955"/>
      <c r="E6955" s="364"/>
      <c r="F6955"/>
    </row>
    <row r="6956" spans="1:6" x14ac:dyDescent="0.25">
      <c r="A6956" s="364"/>
      <c r="B6956"/>
      <c r="C6956"/>
      <c r="D6956"/>
      <c r="E6956" s="364"/>
      <c r="F6956"/>
    </row>
    <row r="6957" spans="1:6" x14ac:dyDescent="0.25">
      <c r="A6957" s="364"/>
      <c r="B6957"/>
      <c r="C6957"/>
      <c r="D6957"/>
      <c r="E6957" s="364"/>
      <c r="F6957"/>
    </row>
    <row r="6958" spans="1:6" x14ac:dyDescent="0.25">
      <c r="A6958" s="364"/>
      <c r="B6958"/>
      <c r="C6958"/>
      <c r="D6958"/>
      <c r="E6958" s="364"/>
      <c r="F6958"/>
    </row>
    <row r="6959" spans="1:6" x14ac:dyDescent="0.25">
      <c r="A6959" s="364"/>
      <c r="B6959"/>
      <c r="C6959"/>
      <c r="D6959"/>
      <c r="E6959" s="364"/>
      <c r="F6959"/>
    </row>
    <row r="6960" spans="1:6" x14ac:dyDescent="0.25">
      <c r="A6960" s="364"/>
      <c r="B6960"/>
      <c r="C6960"/>
      <c r="D6960"/>
      <c r="E6960" s="364"/>
      <c r="F6960"/>
    </row>
    <row r="6961" spans="1:6" x14ac:dyDescent="0.25">
      <c r="A6961" s="364"/>
      <c r="B6961"/>
      <c r="C6961"/>
      <c r="D6961"/>
      <c r="E6961" s="364"/>
      <c r="F6961"/>
    </row>
    <row r="6962" spans="1:6" x14ac:dyDescent="0.25">
      <c r="A6962" s="364"/>
      <c r="B6962"/>
      <c r="C6962"/>
      <c r="D6962"/>
      <c r="E6962" s="364"/>
      <c r="F6962"/>
    </row>
    <row r="6963" spans="1:6" x14ac:dyDescent="0.25">
      <c r="A6963" s="364"/>
      <c r="B6963"/>
      <c r="C6963"/>
      <c r="D6963"/>
      <c r="E6963" s="364"/>
      <c r="F6963"/>
    </row>
    <row r="6964" spans="1:6" x14ac:dyDescent="0.25">
      <c r="A6964" s="364"/>
      <c r="B6964"/>
      <c r="C6964"/>
      <c r="D6964"/>
      <c r="E6964" s="364"/>
      <c r="F6964"/>
    </row>
    <row r="6965" spans="1:6" x14ac:dyDescent="0.25">
      <c r="A6965" s="364"/>
      <c r="B6965"/>
      <c r="C6965"/>
      <c r="D6965"/>
      <c r="E6965" s="364"/>
      <c r="F6965"/>
    </row>
    <row r="6966" spans="1:6" x14ac:dyDescent="0.25">
      <c r="A6966" s="364"/>
      <c r="B6966"/>
      <c r="C6966"/>
      <c r="D6966"/>
      <c r="E6966" s="364"/>
      <c r="F6966"/>
    </row>
    <row r="6967" spans="1:6" x14ac:dyDescent="0.25">
      <c r="A6967" s="364"/>
      <c r="B6967"/>
      <c r="C6967"/>
      <c r="D6967"/>
      <c r="E6967" s="364"/>
      <c r="F6967"/>
    </row>
    <row r="6968" spans="1:6" x14ac:dyDescent="0.25">
      <c r="A6968" s="364"/>
      <c r="B6968"/>
      <c r="C6968"/>
      <c r="D6968"/>
      <c r="E6968" s="364"/>
      <c r="F6968"/>
    </row>
    <row r="6969" spans="1:6" x14ac:dyDescent="0.25">
      <c r="A6969" s="364"/>
      <c r="B6969"/>
      <c r="C6969"/>
      <c r="D6969"/>
      <c r="E6969" s="364"/>
      <c r="F6969"/>
    </row>
    <row r="6970" spans="1:6" x14ac:dyDescent="0.25">
      <c r="A6970" s="364"/>
      <c r="B6970"/>
      <c r="C6970"/>
      <c r="D6970"/>
      <c r="E6970" s="364"/>
      <c r="F6970"/>
    </row>
    <row r="6971" spans="1:6" x14ac:dyDescent="0.25">
      <c r="A6971" s="364"/>
      <c r="B6971"/>
      <c r="C6971"/>
      <c r="D6971"/>
      <c r="E6971" s="364"/>
      <c r="F6971"/>
    </row>
    <row r="6972" spans="1:6" x14ac:dyDescent="0.25">
      <c r="A6972" s="364"/>
      <c r="B6972"/>
      <c r="C6972"/>
      <c r="D6972"/>
      <c r="E6972" s="364"/>
      <c r="F6972"/>
    </row>
    <row r="6973" spans="1:6" x14ac:dyDescent="0.25">
      <c r="A6973" s="364"/>
      <c r="B6973"/>
      <c r="C6973"/>
      <c r="D6973"/>
      <c r="E6973" s="364"/>
      <c r="F6973"/>
    </row>
    <row r="6974" spans="1:6" x14ac:dyDescent="0.25">
      <c r="A6974" s="364"/>
      <c r="B6974"/>
      <c r="C6974"/>
      <c r="D6974"/>
      <c r="E6974" s="364"/>
      <c r="F6974"/>
    </row>
    <row r="6975" spans="1:6" x14ac:dyDescent="0.25">
      <c r="A6975" s="364"/>
      <c r="B6975"/>
      <c r="C6975"/>
      <c r="D6975"/>
      <c r="E6975" s="364"/>
      <c r="F6975"/>
    </row>
    <row r="6976" spans="1:6" x14ac:dyDescent="0.25">
      <c r="A6976" s="364"/>
      <c r="B6976"/>
      <c r="C6976"/>
      <c r="D6976"/>
      <c r="E6976" s="364"/>
      <c r="F6976"/>
    </row>
    <row r="6977" spans="1:6" x14ac:dyDescent="0.25">
      <c r="A6977" s="364"/>
      <c r="B6977"/>
      <c r="C6977"/>
      <c r="D6977"/>
      <c r="E6977" s="364"/>
      <c r="F6977"/>
    </row>
    <row r="6978" spans="1:6" x14ac:dyDescent="0.25">
      <c r="A6978" s="364"/>
      <c r="B6978"/>
      <c r="C6978"/>
      <c r="D6978"/>
      <c r="E6978" s="364"/>
      <c r="F6978"/>
    </row>
    <row r="6979" spans="1:6" x14ac:dyDescent="0.25">
      <c r="A6979" s="364"/>
      <c r="B6979"/>
      <c r="C6979"/>
      <c r="D6979"/>
      <c r="E6979" s="364"/>
      <c r="F6979"/>
    </row>
    <row r="6980" spans="1:6" x14ac:dyDescent="0.25">
      <c r="A6980" s="364"/>
      <c r="B6980"/>
      <c r="C6980"/>
      <c r="D6980"/>
      <c r="E6980" s="364"/>
      <c r="F6980"/>
    </row>
    <row r="6981" spans="1:6" x14ac:dyDescent="0.25">
      <c r="A6981" s="364"/>
      <c r="B6981"/>
      <c r="C6981"/>
      <c r="D6981"/>
      <c r="E6981" s="364"/>
      <c r="F6981"/>
    </row>
    <row r="6982" spans="1:6" x14ac:dyDescent="0.25">
      <c r="A6982" s="364"/>
      <c r="B6982"/>
      <c r="C6982"/>
      <c r="D6982"/>
      <c r="E6982" s="364"/>
      <c r="F6982"/>
    </row>
    <row r="6983" spans="1:6" x14ac:dyDescent="0.25">
      <c r="A6983" s="364"/>
      <c r="B6983"/>
      <c r="C6983"/>
      <c r="D6983"/>
      <c r="E6983" s="364"/>
      <c r="F6983"/>
    </row>
    <row r="6984" spans="1:6" x14ac:dyDescent="0.25">
      <c r="A6984" s="364"/>
      <c r="B6984"/>
      <c r="C6984"/>
      <c r="D6984"/>
      <c r="E6984" s="364"/>
      <c r="F6984"/>
    </row>
    <row r="6985" spans="1:6" x14ac:dyDescent="0.25">
      <c r="A6985" s="364"/>
      <c r="B6985"/>
      <c r="C6985"/>
      <c r="D6985"/>
      <c r="E6985" s="364"/>
      <c r="F6985"/>
    </row>
    <row r="6986" spans="1:6" x14ac:dyDescent="0.25">
      <c r="A6986" s="364"/>
      <c r="B6986"/>
      <c r="C6986"/>
      <c r="D6986"/>
      <c r="E6986" s="364"/>
      <c r="F6986"/>
    </row>
    <row r="6987" spans="1:6" x14ac:dyDescent="0.25">
      <c r="A6987" s="364"/>
      <c r="B6987"/>
      <c r="C6987"/>
      <c r="D6987"/>
      <c r="E6987" s="364"/>
      <c r="F6987"/>
    </row>
    <row r="6988" spans="1:6" x14ac:dyDescent="0.25">
      <c r="A6988" s="364"/>
      <c r="B6988"/>
      <c r="C6988"/>
      <c r="D6988"/>
      <c r="E6988" s="364"/>
      <c r="F6988"/>
    </row>
    <row r="6989" spans="1:6" x14ac:dyDescent="0.25">
      <c r="A6989" s="364"/>
      <c r="B6989"/>
      <c r="C6989"/>
      <c r="D6989"/>
      <c r="E6989" s="364"/>
      <c r="F6989"/>
    </row>
    <row r="6990" spans="1:6" x14ac:dyDescent="0.25">
      <c r="A6990" s="364"/>
      <c r="B6990"/>
      <c r="C6990"/>
      <c r="D6990"/>
      <c r="E6990" s="364"/>
      <c r="F6990"/>
    </row>
    <row r="6991" spans="1:6" x14ac:dyDescent="0.25">
      <c r="A6991" s="364"/>
      <c r="B6991"/>
      <c r="C6991"/>
      <c r="D6991"/>
      <c r="E6991" s="364"/>
      <c r="F6991"/>
    </row>
    <row r="6992" spans="1:6" x14ac:dyDescent="0.25">
      <c r="A6992" s="364"/>
      <c r="B6992"/>
      <c r="C6992"/>
      <c r="D6992"/>
      <c r="E6992" s="364"/>
      <c r="F6992"/>
    </row>
    <row r="6993" spans="1:6" x14ac:dyDescent="0.25">
      <c r="A6993" s="364"/>
      <c r="B6993"/>
      <c r="C6993"/>
      <c r="D6993"/>
      <c r="E6993" s="364"/>
      <c r="F6993"/>
    </row>
    <row r="6994" spans="1:6" x14ac:dyDescent="0.25">
      <c r="A6994" s="364"/>
      <c r="B6994"/>
      <c r="C6994"/>
      <c r="D6994"/>
      <c r="E6994" s="364"/>
      <c r="F6994"/>
    </row>
    <row r="6995" spans="1:6" x14ac:dyDescent="0.25">
      <c r="A6995" s="364"/>
      <c r="B6995"/>
      <c r="C6995"/>
      <c r="D6995"/>
      <c r="E6995" s="364"/>
      <c r="F6995"/>
    </row>
    <row r="6996" spans="1:6" x14ac:dyDescent="0.25">
      <c r="A6996" s="364"/>
      <c r="B6996"/>
      <c r="C6996"/>
      <c r="D6996"/>
      <c r="E6996" s="364"/>
      <c r="F6996"/>
    </row>
    <row r="6997" spans="1:6" x14ac:dyDescent="0.25">
      <c r="A6997" s="364"/>
      <c r="B6997"/>
      <c r="C6997"/>
      <c r="D6997"/>
      <c r="E6997" s="364"/>
      <c r="F6997"/>
    </row>
    <row r="6998" spans="1:6" x14ac:dyDescent="0.25">
      <c r="A6998" s="364"/>
      <c r="B6998"/>
      <c r="C6998"/>
      <c r="D6998"/>
      <c r="E6998" s="364"/>
      <c r="F6998"/>
    </row>
    <row r="6999" spans="1:6" x14ac:dyDescent="0.25">
      <c r="A6999" s="364"/>
      <c r="B6999"/>
      <c r="C6999"/>
      <c r="D6999"/>
      <c r="E6999" s="364"/>
      <c r="F6999"/>
    </row>
    <row r="7000" spans="1:6" x14ac:dyDescent="0.25">
      <c r="A7000" s="364"/>
      <c r="B7000"/>
      <c r="C7000"/>
      <c r="D7000"/>
      <c r="E7000" s="364"/>
      <c r="F7000"/>
    </row>
    <row r="7001" spans="1:6" x14ac:dyDescent="0.25">
      <c r="A7001" s="364"/>
      <c r="B7001"/>
      <c r="C7001"/>
      <c r="D7001"/>
      <c r="E7001" s="364"/>
      <c r="F7001"/>
    </row>
    <row r="7002" spans="1:6" x14ac:dyDescent="0.25">
      <c r="A7002" s="364"/>
      <c r="B7002"/>
      <c r="C7002"/>
      <c r="D7002"/>
      <c r="E7002" s="364"/>
      <c r="F7002"/>
    </row>
    <row r="7003" spans="1:6" x14ac:dyDescent="0.25">
      <c r="A7003" s="364"/>
      <c r="B7003"/>
      <c r="C7003"/>
      <c r="D7003"/>
      <c r="E7003" s="364"/>
      <c r="F7003"/>
    </row>
    <row r="7004" spans="1:6" x14ac:dyDescent="0.25">
      <c r="A7004" s="364"/>
      <c r="B7004"/>
      <c r="C7004"/>
      <c r="D7004"/>
      <c r="E7004" s="364"/>
      <c r="F7004"/>
    </row>
    <row r="7005" spans="1:6" x14ac:dyDescent="0.25">
      <c r="A7005" s="364"/>
      <c r="B7005"/>
      <c r="C7005"/>
      <c r="D7005"/>
      <c r="E7005" s="364"/>
      <c r="F7005"/>
    </row>
    <row r="7006" spans="1:6" x14ac:dyDescent="0.25">
      <c r="A7006" s="364"/>
      <c r="B7006"/>
      <c r="C7006"/>
      <c r="D7006"/>
      <c r="E7006" s="364"/>
      <c r="F7006"/>
    </row>
    <row r="7007" spans="1:6" x14ac:dyDescent="0.25">
      <c r="A7007" s="364"/>
      <c r="B7007"/>
      <c r="C7007"/>
      <c r="D7007"/>
      <c r="E7007" s="364"/>
      <c r="F7007"/>
    </row>
    <row r="7008" spans="1:6" x14ac:dyDescent="0.25">
      <c r="A7008" s="364"/>
      <c r="B7008"/>
      <c r="C7008"/>
      <c r="D7008"/>
      <c r="E7008" s="364"/>
      <c r="F7008"/>
    </row>
    <row r="7009" spans="1:6" x14ac:dyDescent="0.25">
      <c r="A7009" s="364"/>
      <c r="B7009"/>
      <c r="C7009"/>
      <c r="D7009"/>
      <c r="E7009" s="364"/>
      <c r="F7009"/>
    </row>
    <row r="7010" spans="1:6" x14ac:dyDescent="0.25">
      <c r="A7010" s="364"/>
      <c r="B7010"/>
      <c r="C7010"/>
      <c r="D7010"/>
      <c r="E7010" s="364"/>
      <c r="F7010"/>
    </row>
    <row r="7011" spans="1:6" x14ac:dyDescent="0.25">
      <c r="A7011" s="364"/>
      <c r="B7011"/>
      <c r="C7011"/>
      <c r="D7011"/>
      <c r="E7011" s="364"/>
      <c r="F7011"/>
    </row>
    <row r="7012" spans="1:6" x14ac:dyDescent="0.25">
      <c r="A7012" s="364"/>
      <c r="B7012"/>
      <c r="C7012"/>
      <c r="D7012"/>
      <c r="E7012" s="364"/>
      <c r="F7012"/>
    </row>
    <row r="7013" spans="1:6" x14ac:dyDescent="0.25">
      <c r="A7013" s="364"/>
      <c r="B7013"/>
      <c r="C7013"/>
      <c r="D7013"/>
      <c r="E7013" s="364"/>
      <c r="F7013"/>
    </row>
    <row r="7014" spans="1:6" x14ac:dyDescent="0.25">
      <c r="A7014" s="364"/>
      <c r="B7014"/>
      <c r="C7014"/>
      <c r="D7014"/>
      <c r="E7014" s="364"/>
      <c r="F7014"/>
    </row>
    <row r="7015" spans="1:6" x14ac:dyDescent="0.25">
      <c r="A7015" s="364"/>
      <c r="B7015"/>
      <c r="C7015"/>
      <c r="D7015"/>
      <c r="E7015" s="364"/>
      <c r="F7015"/>
    </row>
    <row r="7016" spans="1:6" x14ac:dyDescent="0.25">
      <c r="A7016" s="364"/>
      <c r="B7016"/>
      <c r="C7016"/>
      <c r="D7016"/>
      <c r="E7016" s="364"/>
      <c r="F7016"/>
    </row>
    <row r="7017" spans="1:6" x14ac:dyDescent="0.25">
      <c r="A7017" s="364"/>
      <c r="B7017"/>
      <c r="C7017"/>
      <c r="D7017"/>
      <c r="E7017" s="364"/>
      <c r="F7017"/>
    </row>
    <row r="7018" spans="1:6" x14ac:dyDescent="0.25">
      <c r="A7018" s="364"/>
      <c r="B7018"/>
      <c r="C7018"/>
      <c r="D7018"/>
      <c r="E7018" s="364"/>
      <c r="F7018"/>
    </row>
    <row r="7019" spans="1:6" x14ac:dyDescent="0.25">
      <c r="A7019" s="364"/>
      <c r="B7019"/>
      <c r="C7019"/>
      <c r="D7019"/>
      <c r="E7019" s="364"/>
      <c r="F7019"/>
    </row>
    <row r="7020" spans="1:6" x14ac:dyDescent="0.25">
      <c r="A7020" s="364"/>
      <c r="B7020"/>
      <c r="C7020"/>
      <c r="D7020"/>
      <c r="E7020" s="364"/>
      <c r="F7020"/>
    </row>
    <row r="7021" spans="1:6" x14ac:dyDescent="0.25">
      <c r="A7021" s="364"/>
      <c r="B7021"/>
      <c r="C7021"/>
      <c r="D7021"/>
      <c r="E7021" s="364"/>
      <c r="F7021"/>
    </row>
    <row r="7022" spans="1:6" x14ac:dyDescent="0.25">
      <c r="A7022" s="364"/>
      <c r="B7022"/>
      <c r="C7022"/>
      <c r="D7022"/>
      <c r="E7022" s="364"/>
      <c r="F7022"/>
    </row>
    <row r="7023" spans="1:6" x14ac:dyDescent="0.25">
      <c r="A7023" s="364"/>
      <c r="B7023"/>
      <c r="C7023"/>
      <c r="D7023"/>
      <c r="E7023" s="364"/>
      <c r="F7023"/>
    </row>
    <row r="7024" spans="1:6" x14ac:dyDescent="0.25">
      <c r="A7024" s="364"/>
      <c r="B7024"/>
      <c r="C7024"/>
      <c r="D7024"/>
      <c r="E7024" s="364"/>
      <c r="F7024"/>
    </row>
    <row r="7025" spans="1:6" x14ac:dyDescent="0.25">
      <c r="A7025" s="364"/>
      <c r="B7025"/>
      <c r="C7025"/>
      <c r="D7025"/>
      <c r="E7025" s="364"/>
      <c r="F7025"/>
    </row>
    <row r="7026" spans="1:6" x14ac:dyDescent="0.25">
      <c r="A7026" s="364"/>
      <c r="B7026"/>
      <c r="C7026"/>
      <c r="D7026"/>
      <c r="E7026" s="364"/>
      <c r="F7026"/>
    </row>
    <row r="7027" spans="1:6" x14ac:dyDescent="0.25">
      <c r="A7027" s="364"/>
      <c r="B7027"/>
      <c r="C7027"/>
      <c r="D7027"/>
      <c r="E7027" s="364"/>
      <c r="F7027"/>
    </row>
    <row r="7028" spans="1:6" x14ac:dyDescent="0.25">
      <c r="A7028" s="364"/>
      <c r="B7028"/>
      <c r="C7028"/>
      <c r="D7028"/>
      <c r="E7028" s="364"/>
      <c r="F7028"/>
    </row>
    <row r="7029" spans="1:6" x14ac:dyDescent="0.25">
      <c r="A7029" s="364"/>
      <c r="B7029"/>
      <c r="C7029"/>
      <c r="D7029"/>
      <c r="E7029" s="364"/>
      <c r="F7029"/>
    </row>
    <row r="7030" spans="1:6" x14ac:dyDescent="0.25">
      <c r="A7030" s="364"/>
      <c r="B7030"/>
      <c r="C7030"/>
      <c r="D7030"/>
      <c r="E7030" s="364"/>
      <c r="F7030"/>
    </row>
    <row r="7031" spans="1:6" x14ac:dyDescent="0.25">
      <c r="A7031" s="364"/>
      <c r="B7031"/>
      <c r="C7031"/>
      <c r="D7031"/>
      <c r="E7031" s="364"/>
      <c r="F7031"/>
    </row>
    <row r="7032" spans="1:6" x14ac:dyDescent="0.25">
      <c r="A7032" s="364"/>
      <c r="B7032"/>
      <c r="C7032"/>
      <c r="D7032"/>
      <c r="E7032" s="364"/>
      <c r="F7032"/>
    </row>
    <row r="7033" spans="1:6" x14ac:dyDescent="0.25">
      <c r="A7033" s="364"/>
      <c r="B7033"/>
      <c r="C7033"/>
      <c r="D7033"/>
      <c r="E7033" s="364"/>
      <c r="F7033"/>
    </row>
    <row r="7034" spans="1:6" x14ac:dyDescent="0.25">
      <c r="A7034" s="364"/>
      <c r="B7034"/>
      <c r="C7034"/>
      <c r="D7034"/>
      <c r="E7034" s="364"/>
      <c r="F7034"/>
    </row>
    <row r="7035" spans="1:6" x14ac:dyDescent="0.25">
      <c r="A7035" s="364"/>
      <c r="B7035"/>
      <c r="C7035"/>
      <c r="D7035"/>
      <c r="E7035" s="364"/>
      <c r="F7035"/>
    </row>
    <row r="7036" spans="1:6" x14ac:dyDescent="0.25">
      <c r="A7036" s="364"/>
      <c r="B7036"/>
      <c r="C7036"/>
      <c r="D7036"/>
      <c r="E7036" s="364"/>
      <c r="F7036"/>
    </row>
    <row r="7037" spans="1:6" x14ac:dyDescent="0.25">
      <c r="A7037" s="364"/>
      <c r="B7037"/>
      <c r="C7037"/>
      <c r="D7037"/>
      <c r="E7037" s="364"/>
      <c r="F7037"/>
    </row>
    <row r="7038" spans="1:6" x14ac:dyDescent="0.25">
      <c r="A7038" s="364"/>
      <c r="B7038"/>
      <c r="C7038"/>
      <c r="D7038"/>
      <c r="E7038" s="364"/>
      <c r="F7038"/>
    </row>
    <row r="7039" spans="1:6" x14ac:dyDescent="0.25">
      <c r="A7039" s="364"/>
      <c r="B7039"/>
      <c r="C7039"/>
      <c r="D7039"/>
      <c r="E7039" s="364"/>
      <c r="F7039"/>
    </row>
    <row r="7040" spans="1:6" x14ac:dyDescent="0.25">
      <c r="A7040" s="364"/>
      <c r="B7040"/>
      <c r="C7040"/>
      <c r="D7040"/>
      <c r="E7040" s="364"/>
      <c r="F7040"/>
    </row>
    <row r="7041" spans="1:6" x14ac:dyDescent="0.25">
      <c r="A7041" s="364"/>
      <c r="B7041"/>
      <c r="C7041"/>
      <c r="D7041"/>
      <c r="E7041" s="364"/>
      <c r="F7041"/>
    </row>
    <row r="7042" spans="1:6" x14ac:dyDescent="0.25">
      <c r="A7042" s="364"/>
      <c r="B7042"/>
      <c r="C7042"/>
      <c r="D7042"/>
      <c r="E7042" s="364"/>
      <c r="F7042"/>
    </row>
    <row r="7043" spans="1:6" x14ac:dyDescent="0.25">
      <c r="A7043" s="364"/>
      <c r="B7043"/>
      <c r="C7043"/>
      <c r="D7043"/>
      <c r="E7043" s="364"/>
      <c r="F7043"/>
    </row>
    <row r="7044" spans="1:6" x14ac:dyDescent="0.25">
      <c r="A7044" s="364"/>
      <c r="B7044"/>
      <c r="C7044"/>
      <c r="D7044"/>
      <c r="E7044" s="364"/>
      <c r="F7044"/>
    </row>
    <row r="7045" spans="1:6" x14ac:dyDescent="0.25">
      <c r="A7045" s="364"/>
      <c r="B7045"/>
      <c r="C7045"/>
      <c r="D7045"/>
      <c r="E7045" s="364"/>
      <c r="F7045"/>
    </row>
    <row r="7046" spans="1:6" x14ac:dyDescent="0.25">
      <c r="A7046" s="364"/>
      <c r="B7046"/>
      <c r="C7046"/>
      <c r="D7046"/>
      <c r="E7046" s="364"/>
      <c r="F7046"/>
    </row>
    <row r="7047" spans="1:6" x14ac:dyDescent="0.25">
      <c r="A7047" s="364"/>
      <c r="B7047"/>
      <c r="C7047"/>
      <c r="D7047"/>
      <c r="E7047" s="364"/>
      <c r="F7047"/>
    </row>
    <row r="7048" spans="1:6" x14ac:dyDescent="0.25">
      <c r="A7048" s="364"/>
      <c r="B7048"/>
      <c r="C7048"/>
      <c r="D7048"/>
      <c r="E7048" s="364"/>
      <c r="F7048"/>
    </row>
    <row r="7049" spans="1:6" x14ac:dyDescent="0.25">
      <c r="A7049" s="364"/>
      <c r="B7049"/>
      <c r="C7049"/>
      <c r="D7049"/>
      <c r="E7049" s="364"/>
      <c r="F7049"/>
    </row>
    <row r="7050" spans="1:6" x14ac:dyDescent="0.25">
      <c r="A7050" s="364"/>
      <c r="B7050"/>
      <c r="C7050"/>
      <c r="D7050"/>
      <c r="E7050" s="364"/>
      <c r="F7050"/>
    </row>
    <row r="7051" spans="1:6" x14ac:dyDescent="0.25">
      <c r="A7051" s="364"/>
      <c r="B7051"/>
      <c r="C7051"/>
      <c r="D7051"/>
      <c r="E7051" s="364"/>
      <c r="F7051"/>
    </row>
    <row r="7052" spans="1:6" x14ac:dyDescent="0.25">
      <c r="A7052" s="364"/>
      <c r="B7052"/>
      <c r="C7052"/>
      <c r="D7052"/>
      <c r="E7052" s="364"/>
      <c r="F7052"/>
    </row>
    <row r="7053" spans="1:6" x14ac:dyDescent="0.25">
      <c r="A7053" s="364"/>
      <c r="B7053"/>
      <c r="C7053"/>
      <c r="D7053"/>
      <c r="E7053" s="364"/>
      <c r="F7053"/>
    </row>
    <row r="7054" spans="1:6" x14ac:dyDescent="0.25">
      <c r="A7054" s="364"/>
      <c r="B7054"/>
      <c r="C7054"/>
      <c r="D7054"/>
      <c r="E7054" s="364"/>
      <c r="F7054"/>
    </row>
    <row r="7055" spans="1:6" x14ac:dyDescent="0.25">
      <c r="A7055" s="364"/>
      <c r="B7055"/>
      <c r="C7055"/>
      <c r="D7055"/>
      <c r="E7055" s="364"/>
      <c r="F7055"/>
    </row>
    <row r="7056" spans="1:6" x14ac:dyDescent="0.25">
      <c r="A7056" s="364"/>
      <c r="B7056"/>
      <c r="C7056"/>
      <c r="D7056"/>
      <c r="E7056" s="364"/>
      <c r="F7056"/>
    </row>
    <row r="7057" spans="1:6" x14ac:dyDescent="0.25">
      <c r="A7057" s="364"/>
      <c r="B7057"/>
      <c r="C7057"/>
      <c r="D7057"/>
      <c r="E7057" s="364"/>
      <c r="F7057"/>
    </row>
    <row r="7058" spans="1:6" x14ac:dyDescent="0.25">
      <c r="A7058" s="364"/>
      <c r="B7058"/>
      <c r="C7058"/>
      <c r="D7058"/>
      <c r="E7058" s="364"/>
      <c r="F7058"/>
    </row>
    <row r="7059" spans="1:6" x14ac:dyDescent="0.25">
      <c r="A7059" s="364"/>
      <c r="B7059"/>
      <c r="C7059"/>
      <c r="D7059"/>
      <c r="E7059" s="364"/>
      <c r="F7059"/>
    </row>
    <row r="7060" spans="1:6" x14ac:dyDescent="0.25">
      <c r="A7060" s="364"/>
      <c r="B7060"/>
      <c r="C7060"/>
      <c r="D7060"/>
      <c r="E7060" s="364"/>
      <c r="F7060"/>
    </row>
    <row r="7061" spans="1:6" x14ac:dyDescent="0.25">
      <c r="A7061" s="364"/>
      <c r="B7061"/>
      <c r="C7061"/>
      <c r="D7061"/>
      <c r="E7061" s="364"/>
      <c r="F7061"/>
    </row>
    <row r="7062" spans="1:6" x14ac:dyDescent="0.25">
      <c r="A7062" s="364"/>
      <c r="B7062"/>
      <c r="C7062"/>
      <c r="D7062"/>
      <c r="E7062" s="364"/>
      <c r="F7062"/>
    </row>
    <row r="7063" spans="1:6" x14ac:dyDescent="0.25">
      <c r="A7063" s="364"/>
      <c r="B7063"/>
      <c r="C7063"/>
      <c r="D7063"/>
      <c r="E7063" s="364"/>
      <c r="F7063"/>
    </row>
    <row r="7064" spans="1:6" x14ac:dyDescent="0.25">
      <c r="A7064" s="364"/>
      <c r="B7064"/>
      <c r="C7064"/>
      <c r="D7064"/>
      <c r="E7064" s="364"/>
      <c r="F7064"/>
    </row>
    <row r="7065" spans="1:6" x14ac:dyDescent="0.25">
      <c r="A7065" s="364"/>
      <c r="B7065"/>
      <c r="C7065"/>
      <c r="D7065"/>
      <c r="E7065" s="364"/>
      <c r="F7065"/>
    </row>
    <row r="7066" spans="1:6" x14ac:dyDescent="0.25">
      <c r="A7066" s="364"/>
      <c r="B7066"/>
      <c r="C7066"/>
      <c r="D7066"/>
      <c r="E7066" s="364"/>
      <c r="F7066"/>
    </row>
    <row r="7067" spans="1:6" x14ac:dyDescent="0.25">
      <c r="A7067" s="364"/>
      <c r="B7067"/>
      <c r="C7067"/>
      <c r="D7067"/>
      <c r="E7067" s="364"/>
      <c r="F7067"/>
    </row>
    <row r="7068" spans="1:6" x14ac:dyDescent="0.25">
      <c r="A7068" s="364"/>
      <c r="B7068"/>
      <c r="C7068"/>
      <c r="D7068"/>
      <c r="E7068" s="364"/>
      <c r="F7068"/>
    </row>
    <row r="7069" spans="1:6" x14ac:dyDescent="0.25">
      <c r="A7069" s="364"/>
      <c r="B7069"/>
      <c r="C7069"/>
      <c r="D7069"/>
      <c r="E7069" s="364"/>
      <c r="F7069"/>
    </row>
    <row r="7070" spans="1:6" x14ac:dyDescent="0.25">
      <c r="A7070" s="364"/>
      <c r="B7070"/>
      <c r="C7070"/>
      <c r="D7070"/>
      <c r="E7070" s="364"/>
      <c r="F7070"/>
    </row>
    <row r="7071" spans="1:6" x14ac:dyDescent="0.25">
      <c r="A7071" s="364"/>
      <c r="B7071"/>
      <c r="C7071"/>
      <c r="D7071"/>
      <c r="E7071" s="364"/>
      <c r="F7071"/>
    </row>
    <row r="7072" spans="1:6" x14ac:dyDescent="0.25">
      <c r="A7072" s="364"/>
      <c r="B7072"/>
      <c r="C7072"/>
      <c r="D7072"/>
      <c r="E7072" s="364"/>
      <c r="F7072"/>
    </row>
    <row r="7073" spans="1:6" x14ac:dyDescent="0.25">
      <c r="A7073" s="364"/>
      <c r="B7073"/>
      <c r="C7073"/>
      <c r="D7073"/>
      <c r="E7073" s="364"/>
      <c r="F7073"/>
    </row>
    <row r="7074" spans="1:6" x14ac:dyDescent="0.25">
      <c r="A7074" s="364"/>
      <c r="B7074"/>
      <c r="C7074"/>
      <c r="D7074"/>
      <c r="E7074" s="364"/>
      <c r="F7074"/>
    </row>
    <row r="7075" spans="1:6" x14ac:dyDescent="0.25">
      <c r="A7075" s="364"/>
      <c r="B7075"/>
      <c r="C7075"/>
      <c r="D7075"/>
      <c r="E7075" s="364"/>
      <c r="F7075"/>
    </row>
    <row r="7076" spans="1:6" x14ac:dyDescent="0.25">
      <c r="A7076" s="364"/>
      <c r="B7076"/>
      <c r="C7076"/>
      <c r="D7076"/>
      <c r="E7076" s="364"/>
      <c r="F7076"/>
    </row>
    <row r="7077" spans="1:6" x14ac:dyDescent="0.25">
      <c r="A7077" s="364"/>
      <c r="B7077"/>
      <c r="C7077"/>
      <c r="D7077"/>
      <c r="E7077" s="364"/>
      <c r="F7077"/>
    </row>
    <row r="7078" spans="1:6" x14ac:dyDescent="0.25">
      <c r="A7078" s="364"/>
      <c r="B7078"/>
      <c r="C7078"/>
      <c r="D7078"/>
      <c r="E7078" s="364"/>
      <c r="F7078"/>
    </row>
    <row r="7079" spans="1:6" x14ac:dyDescent="0.25">
      <c r="A7079" s="364"/>
      <c r="B7079"/>
      <c r="C7079"/>
      <c r="D7079"/>
      <c r="E7079" s="364"/>
      <c r="F7079"/>
    </row>
    <row r="7080" spans="1:6" x14ac:dyDescent="0.25">
      <c r="A7080" s="364"/>
      <c r="B7080"/>
      <c r="C7080"/>
      <c r="D7080"/>
      <c r="E7080" s="364"/>
      <c r="F7080"/>
    </row>
    <row r="7081" spans="1:6" x14ac:dyDescent="0.25">
      <c r="A7081" s="364"/>
      <c r="B7081"/>
      <c r="C7081"/>
      <c r="D7081"/>
      <c r="E7081" s="364"/>
      <c r="F7081"/>
    </row>
    <row r="7082" spans="1:6" x14ac:dyDescent="0.25">
      <c r="A7082" s="364"/>
      <c r="B7082"/>
      <c r="C7082"/>
      <c r="D7082"/>
      <c r="E7082" s="364"/>
      <c r="F7082"/>
    </row>
    <row r="7083" spans="1:6" x14ac:dyDescent="0.25">
      <c r="A7083" s="364"/>
      <c r="B7083"/>
      <c r="C7083"/>
      <c r="D7083"/>
      <c r="E7083" s="364"/>
      <c r="F7083"/>
    </row>
    <row r="7084" spans="1:6" x14ac:dyDescent="0.25">
      <c r="A7084" s="364"/>
      <c r="B7084"/>
      <c r="C7084"/>
      <c r="D7084"/>
      <c r="E7084" s="364"/>
      <c r="F7084"/>
    </row>
    <row r="7085" spans="1:6" x14ac:dyDescent="0.25">
      <c r="A7085" s="364"/>
      <c r="B7085"/>
      <c r="C7085"/>
      <c r="D7085"/>
      <c r="E7085" s="364"/>
      <c r="F7085"/>
    </row>
    <row r="7086" spans="1:6" x14ac:dyDescent="0.25">
      <c r="A7086" s="364"/>
      <c r="B7086"/>
      <c r="C7086"/>
      <c r="D7086"/>
      <c r="E7086" s="364"/>
      <c r="F7086"/>
    </row>
    <row r="7087" spans="1:6" x14ac:dyDescent="0.25">
      <c r="A7087" s="364"/>
      <c r="B7087"/>
      <c r="C7087"/>
      <c r="D7087"/>
      <c r="E7087" s="364"/>
      <c r="F7087"/>
    </row>
    <row r="7088" spans="1:6" x14ac:dyDescent="0.25">
      <c r="A7088" s="364"/>
      <c r="B7088"/>
      <c r="C7088"/>
      <c r="D7088"/>
      <c r="E7088" s="364"/>
      <c r="F7088"/>
    </row>
    <row r="7089" spans="1:6" x14ac:dyDescent="0.25">
      <c r="A7089" s="364"/>
      <c r="B7089"/>
      <c r="C7089"/>
      <c r="D7089"/>
      <c r="E7089" s="364"/>
      <c r="F7089"/>
    </row>
    <row r="7090" spans="1:6" x14ac:dyDescent="0.25">
      <c r="A7090" s="364"/>
      <c r="B7090"/>
      <c r="C7090"/>
      <c r="D7090"/>
      <c r="E7090" s="364"/>
      <c r="F7090"/>
    </row>
    <row r="7091" spans="1:6" x14ac:dyDescent="0.25">
      <c r="A7091" s="364"/>
      <c r="B7091"/>
      <c r="C7091"/>
      <c r="D7091"/>
      <c r="E7091" s="364"/>
      <c r="F7091"/>
    </row>
    <row r="7092" spans="1:6" x14ac:dyDescent="0.25">
      <c r="A7092" s="364"/>
      <c r="B7092"/>
      <c r="C7092"/>
      <c r="D7092"/>
      <c r="E7092" s="364"/>
      <c r="F7092"/>
    </row>
    <row r="7093" spans="1:6" x14ac:dyDescent="0.25">
      <c r="A7093" s="364"/>
      <c r="B7093"/>
      <c r="C7093"/>
      <c r="D7093"/>
      <c r="E7093" s="364"/>
      <c r="F7093"/>
    </row>
    <row r="7094" spans="1:6" x14ac:dyDescent="0.25">
      <c r="A7094" s="364"/>
      <c r="B7094"/>
      <c r="C7094"/>
      <c r="D7094"/>
      <c r="E7094" s="364"/>
      <c r="F7094"/>
    </row>
    <row r="7095" spans="1:6" x14ac:dyDescent="0.25">
      <c r="A7095" s="364"/>
      <c r="B7095"/>
      <c r="C7095"/>
      <c r="D7095"/>
      <c r="E7095" s="364"/>
      <c r="F7095"/>
    </row>
    <row r="7096" spans="1:6" x14ac:dyDescent="0.25">
      <c r="A7096" s="364"/>
      <c r="B7096"/>
      <c r="C7096"/>
      <c r="D7096"/>
      <c r="E7096" s="364"/>
      <c r="F7096"/>
    </row>
    <row r="7097" spans="1:6" x14ac:dyDescent="0.25">
      <c r="A7097" s="364"/>
      <c r="B7097"/>
      <c r="C7097"/>
      <c r="D7097"/>
      <c r="E7097" s="364"/>
      <c r="F7097"/>
    </row>
    <row r="7098" spans="1:6" x14ac:dyDescent="0.25">
      <c r="A7098" s="364"/>
      <c r="B7098"/>
      <c r="C7098"/>
      <c r="D7098"/>
      <c r="E7098" s="364"/>
      <c r="F7098"/>
    </row>
    <row r="7099" spans="1:6" x14ac:dyDescent="0.25">
      <c r="A7099" s="364"/>
      <c r="B7099"/>
      <c r="C7099"/>
      <c r="D7099"/>
      <c r="E7099" s="364"/>
      <c r="F7099"/>
    </row>
    <row r="7100" spans="1:6" x14ac:dyDescent="0.25">
      <c r="A7100" s="364"/>
      <c r="B7100"/>
      <c r="C7100"/>
      <c r="D7100"/>
      <c r="E7100" s="364"/>
      <c r="F7100"/>
    </row>
    <row r="7101" spans="1:6" x14ac:dyDescent="0.25">
      <c r="A7101" s="364"/>
      <c r="B7101"/>
      <c r="C7101"/>
      <c r="D7101"/>
      <c r="E7101" s="364"/>
      <c r="F7101"/>
    </row>
    <row r="7102" spans="1:6" x14ac:dyDescent="0.25">
      <c r="A7102" s="364"/>
      <c r="B7102"/>
      <c r="C7102"/>
      <c r="D7102"/>
      <c r="E7102" s="364"/>
      <c r="F7102"/>
    </row>
    <row r="7103" spans="1:6" x14ac:dyDescent="0.25">
      <c r="A7103" s="364"/>
      <c r="B7103"/>
      <c r="C7103"/>
      <c r="D7103"/>
      <c r="E7103" s="364"/>
      <c r="F7103"/>
    </row>
    <row r="7104" spans="1:6" x14ac:dyDescent="0.25">
      <c r="A7104" s="364"/>
      <c r="B7104"/>
      <c r="C7104"/>
      <c r="D7104"/>
      <c r="E7104" s="364"/>
      <c r="F7104"/>
    </row>
    <row r="7105" spans="1:6" x14ac:dyDescent="0.25">
      <c r="A7105" s="364"/>
      <c r="B7105"/>
      <c r="C7105"/>
      <c r="D7105"/>
      <c r="E7105" s="364"/>
      <c r="F7105"/>
    </row>
    <row r="7106" spans="1:6" x14ac:dyDescent="0.25">
      <c r="A7106" s="364"/>
      <c r="B7106"/>
      <c r="C7106"/>
      <c r="D7106"/>
      <c r="E7106" s="364"/>
      <c r="F7106"/>
    </row>
    <row r="7107" spans="1:6" x14ac:dyDescent="0.25">
      <c r="A7107" s="364"/>
      <c r="B7107"/>
      <c r="C7107"/>
      <c r="D7107"/>
      <c r="E7107" s="364"/>
      <c r="F7107"/>
    </row>
    <row r="7108" spans="1:6" x14ac:dyDescent="0.25">
      <c r="A7108" s="364"/>
      <c r="B7108"/>
      <c r="C7108"/>
      <c r="D7108"/>
      <c r="E7108" s="364"/>
      <c r="F7108"/>
    </row>
    <row r="7109" spans="1:6" x14ac:dyDescent="0.25">
      <c r="A7109" s="364"/>
      <c r="B7109"/>
      <c r="C7109"/>
      <c r="D7109"/>
      <c r="E7109" s="364"/>
      <c r="F7109"/>
    </row>
    <row r="7110" spans="1:6" x14ac:dyDescent="0.25">
      <c r="A7110" s="364"/>
      <c r="B7110"/>
      <c r="C7110"/>
      <c r="D7110"/>
      <c r="E7110" s="364"/>
      <c r="F7110"/>
    </row>
    <row r="7111" spans="1:6" x14ac:dyDescent="0.25">
      <c r="A7111" s="364"/>
      <c r="B7111"/>
      <c r="C7111"/>
      <c r="D7111"/>
      <c r="E7111" s="364"/>
      <c r="F7111"/>
    </row>
    <row r="7112" spans="1:6" x14ac:dyDescent="0.25">
      <c r="A7112" s="364"/>
      <c r="B7112"/>
      <c r="C7112"/>
      <c r="D7112"/>
      <c r="E7112" s="364"/>
      <c r="F7112"/>
    </row>
    <row r="7113" spans="1:6" x14ac:dyDescent="0.25">
      <c r="A7113" s="364"/>
      <c r="B7113"/>
      <c r="C7113"/>
      <c r="D7113"/>
      <c r="E7113" s="364"/>
      <c r="F7113"/>
    </row>
    <row r="7114" spans="1:6" x14ac:dyDescent="0.25">
      <c r="A7114" s="364"/>
      <c r="B7114"/>
      <c r="C7114"/>
      <c r="D7114"/>
      <c r="E7114" s="364"/>
      <c r="F7114"/>
    </row>
    <row r="7115" spans="1:6" x14ac:dyDescent="0.25">
      <c r="A7115" s="364"/>
      <c r="B7115"/>
      <c r="C7115"/>
      <c r="D7115"/>
      <c r="E7115" s="364"/>
      <c r="F7115"/>
    </row>
    <row r="7116" spans="1:6" x14ac:dyDescent="0.25">
      <c r="A7116" s="364"/>
      <c r="B7116"/>
      <c r="C7116"/>
      <c r="D7116"/>
      <c r="E7116" s="364"/>
      <c r="F7116"/>
    </row>
    <row r="7117" spans="1:6" x14ac:dyDescent="0.25">
      <c r="A7117" s="364"/>
      <c r="B7117"/>
      <c r="C7117"/>
      <c r="D7117"/>
      <c r="E7117" s="364"/>
      <c r="F7117"/>
    </row>
    <row r="7118" spans="1:6" x14ac:dyDescent="0.25">
      <c r="A7118" s="364"/>
      <c r="B7118"/>
      <c r="C7118"/>
      <c r="D7118"/>
      <c r="E7118" s="364"/>
      <c r="F7118"/>
    </row>
    <row r="7119" spans="1:6" x14ac:dyDescent="0.25">
      <c r="A7119" s="364"/>
      <c r="B7119"/>
      <c r="C7119"/>
      <c r="D7119"/>
      <c r="E7119" s="364"/>
      <c r="F7119"/>
    </row>
    <row r="7120" spans="1:6" x14ac:dyDescent="0.25">
      <c r="A7120" s="364"/>
      <c r="B7120"/>
      <c r="C7120"/>
      <c r="D7120"/>
      <c r="E7120" s="364"/>
      <c r="F7120"/>
    </row>
    <row r="7121" spans="1:6" x14ac:dyDescent="0.25">
      <c r="A7121" s="364"/>
      <c r="B7121"/>
      <c r="C7121"/>
      <c r="D7121"/>
      <c r="E7121" s="364"/>
      <c r="F7121"/>
    </row>
    <row r="7122" spans="1:6" x14ac:dyDescent="0.25">
      <c r="A7122" s="364"/>
      <c r="B7122"/>
      <c r="C7122"/>
      <c r="D7122"/>
      <c r="E7122" s="364"/>
      <c r="F7122"/>
    </row>
    <row r="7123" spans="1:6" x14ac:dyDescent="0.25">
      <c r="A7123" s="364"/>
      <c r="B7123"/>
      <c r="C7123"/>
      <c r="D7123"/>
      <c r="E7123" s="364"/>
      <c r="F7123"/>
    </row>
    <row r="7124" spans="1:6" x14ac:dyDescent="0.25">
      <c r="A7124" s="364"/>
      <c r="B7124"/>
      <c r="C7124"/>
      <c r="D7124"/>
      <c r="E7124" s="364"/>
      <c r="F7124"/>
    </row>
    <row r="7125" spans="1:6" x14ac:dyDescent="0.25">
      <c r="A7125" s="364"/>
      <c r="B7125"/>
      <c r="C7125"/>
      <c r="D7125"/>
      <c r="E7125" s="364"/>
      <c r="F7125"/>
    </row>
    <row r="7126" spans="1:6" x14ac:dyDescent="0.25">
      <c r="A7126" s="364"/>
      <c r="B7126"/>
      <c r="C7126"/>
      <c r="D7126"/>
      <c r="E7126" s="364"/>
      <c r="F7126"/>
    </row>
    <row r="7127" spans="1:6" x14ac:dyDescent="0.25">
      <c r="A7127" s="364"/>
      <c r="B7127"/>
      <c r="C7127"/>
      <c r="D7127"/>
      <c r="E7127" s="364"/>
      <c r="F7127"/>
    </row>
    <row r="7128" spans="1:6" x14ac:dyDescent="0.25">
      <c r="A7128" s="364"/>
      <c r="B7128"/>
      <c r="C7128"/>
      <c r="D7128"/>
      <c r="E7128" s="364"/>
      <c r="F7128"/>
    </row>
    <row r="7129" spans="1:6" x14ac:dyDescent="0.25">
      <c r="A7129" s="364"/>
      <c r="B7129"/>
      <c r="C7129"/>
      <c r="D7129"/>
      <c r="E7129" s="364"/>
      <c r="F7129"/>
    </row>
    <row r="7130" spans="1:6" x14ac:dyDescent="0.25">
      <c r="A7130" s="364"/>
      <c r="B7130"/>
      <c r="C7130"/>
      <c r="D7130"/>
      <c r="E7130" s="364"/>
      <c r="F7130"/>
    </row>
    <row r="7131" spans="1:6" x14ac:dyDescent="0.25">
      <c r="A7131" s="364"/>
      <c r="B7131"/>
      <c r="C7131"/>
      <c r="D7131"/>
      <c r="E7131" s="364"/>
      <c r="F7131"/>
    </row>
    <row r="7132" spans="1:6" x14ac:dyDescent="0.25">
      <c r="A7132" s="364"/>
      <c r="B7132"/>
      <c r="C7132"/>
      <c r="D7132"/>
      <c r="E7132" s="364"/>
      <c r="F7132"/>
    </row>
    <row r="7133" spans="1:6" x14ac:dyDescent="0.25">
      <c r="A7133" s="364"/>
      <c r="B7133"/>
      <c r="C7133"/>
      <c r="D7133"/>
      <c r="E7133" s="364"/>
      <c r="F7133"/>
    </row>
    <row r="7134" spans="1:6" x14ac:dyDescent="0.25">
      <c r="A7134" s="364"/>
      <c r="B7134"/>
      <c r="C7134"/>
      <c r="D7134"/>
      <c r="E7134" s="364"/>
      <c r="F7134"/>
    </row>
    <row r="7135" spans="1:6" x14ac:dyDescent="0.25">
      <c r="A7135" s="364"/>
      <c r="B7135"/>
      <c r="C7135"/>
      <c r="D7135"/>
      <c r="E7135" s="364"/>
      <c r="F7135"/>
    </row>
    <row r="7136" spans="1:6" x14ac:dyDescent="0.25">
      <c r="A7136" s="364"/>
      <c r="B7136"/>
      <c r="C7136"/>
      <c r="D7136"/>
      <c r="E7136" s="364"/>
      <c r="F7136"/>
    </row>
    <row r="7137" spans="1:6" x14ac:dyDescent="0.25">
      <c r="A7137" s="364"/>
      <c r="B7137"/>
      <c r="C7137"/>
      <c r="D7137"/>
      <c r="E7137" s="364"/>
      <c r="F7137"/>
    </row>
    <row r="7138" spans="1:6" x14ac:dyDescent="0.25">
      <c r="A7138" s="364"/>
      <c r="B7138"/>
      <c r="C7138"/>
      <c r="D7138"/>
      <c r="E7138" s="364"/>
      <c r="F7138"/>
    </row>
    <row r="7139" spans="1:6" x14ac:dyDescent="0.25">
      <c r="A7139" s="364"/>
      <c r="B7139"/>
      <c r="C7139"/>
      <c r="D7139"/>
      <c r="E7139" s="364"/>
      <c r="F7139"/>
    </row>
    <row r="7140" spans="1:6" x14ac:dyDescent="0.25">
      <c r="A7140" s="364"/>
      <c r="B7140"/>
      <c r="C7140"/>
      <c r="D7140"/>
      <c r="E7140" s="364"/>
      <c r="F7140"/>
    </row>
    <row r="7141" spans="1:6" x14ac:dyDescent="0.25">
      <c r="A7141" s="364"/>
      <c r="B7141"/>
      <c r="C7141"/>
      <c r="D7141"/>
      <c r="E7141" s="364"/>
      <c r="F7141"/>
    </row>
    <row r="7142" spans="1:6" x14ac:dyDescent="0.25">
      <c r="A7142" s="364"/>
      <c r="B7142"/>
      <c r="C7142"/>
      <c r="D7142"/>
      <c r="E7142" s="364"/>
      <c r="F7142"/>
    </row>
    <row r="7143" spans="1:6" x14ac:dyDescent="0.25">
      <c r="A7143" s="364"/>
      <c r="B7143"/>
      <c r="C7143"/>
      <c r="D7143"/>
      <c r="E7143" s="364"/>
      <c r="F7143"/>
    </row>
    <row r="7144" spans="1:6" x14ac:dyDescent="0.25">
      <c r="A7144" s="364"/>
      <c r="B7144"/>
      <c r="C7144"/>
      <c r="D7144"/>
      <c r="E7144" s="364"/>
      <c r="F7144"/>
    </row>
    <row r="7145" spans="1:6" x14ac:dyDescent="0.25">
      <c r="A7145" s="364"/>
      <c r="B7145"/>
      <c r="C7145"/>
      <c r="D7145"/>
      <c r="E7145" s="364"/>
      <c r="F7145"/>
    </row>
    <row r="7146" spans="1:6" x14ac:dyDescent="0.25">
      <c r="A7146" s="364"/>
      <c r="B7146"/>
      <c r="C7146"/>
      <c r="D7146"/>
      <c r="E7146" s="364"/>
      <c r="F7146"/>
    </row>
    <row r="7147" spans="1:6" x14ac:dyDescent="0.25">
      <c r="A7147" s="364"/>
      <c r="B7147"/>
      <c r="C7147"/>
      <c r="D7147"/>
      <c r="E7147" s="364"/>
      <c r="F7147"/>
    </row>
    <row r="7148" spans="1:6" x14ac:dyDescent="0.25">
      <c r="A7148" s="364"/>
      <c r="B7148"/>
      <c r="C7148"/>
      <c r="D7148"/>
      <c r="E7148" s="364"/>
      <c r="F7148"/>
    </row>
    <row r="7149" spans="1:6" x14ac:dyDescent="0.25">
      <c r="A7149" s="364"/>
      <c r="B7149"/>
      <c r="C7149"/>
      <c r="D7149"/>
      <c r="E7149" s="364"/>
      <c r="F7149"/>
    </row>
    <row r="7150" spans="1:6" x14ac:dyDescent="0.25">
      <c r="A7150" s="364"/>
      <c r="B7150"/>
      <c r="C7150"/>
      <c r="D7150"/>
      <c r="E7150" s="364"/>
      <c r="F7150"/>
    </row>
    <row r="7151" spans="1:6" x14ac:dyDescent="0.25">
      <c r="A7151" s="364"/>
      <c r="B7151"/>
      <c r="C7151"/>
      <c r="D7151"/>
      <c r="E7151" s="364"/>
      <c r="F7151"/>
    </row>
    <row r="7152" spans="1:6" x14ac:dyDescent="0.25">
      <c r="A7152" s="364"/>
      <c r="B7152"/>
      <c r="C7152"/>
      <c r="D7152"/>
      <c r="E7152" s="364"/>
      <c r="F7152"/>
    </row>
    <row r="7153" spans="1:6" x14ac:dyDescent="0.25">
      <c r="A7153" s="364"/>
      <c r="B7153"/>
      <c r="C7153"/>
      <c r="D7153"/>
      <c r="E7153" s="364"/>
      <c r="F7153"/>
    </row>
    <row r="7154" spans="1:6" x14ac:dyDescent="0.25">
      <c r="A7154" s="364"/>
      <c r="B7154"/>
      <c r="C7154"/>
      <c r="D7154"/>
      <c r="E7154" s="364"/>
      <c r="F7154"/>
    </row>
    <row r="7155" spans="1:6" x14ac:dyDescent="0.25">
      <c r="A7155" s="364"/>
      <c r="B7155"/>
      <c r="C7155"/>
      <c r="D7155"/>
      <c r="E7155" s="364"/>
      <c r="F7155"/>
    </row>
    <row r="7156" spans="1:6" x14ac:dyDescent="0.25">
      <c r="A7156" s="364"/>
      <c r="B7156"/>
      <c r="C7156"/>
      <c r="D7156"/>
      <c r="E7156" s="364"/>
      <c r="F7156"/>
    </row>
    <row r="7157" spans="1:6" x14ac:dyDescent="0.25">
      <c r="A7157" s="364"/>
      <c r="B7157"/>
      <c r="C7157"/>
      <c r="D7157"/>
      <c r="E7157" s="364"/>
      <c r="F7157"/>
    </row>
    <row r="7158" spans="1:6" x14ac:dyDescent="0.25">
      <c r="A7158" s="364"/>
      <c r="B7158"/>
      <c r="C7158"/>
      <c r="D7158"/>
      <c r="E7158" s="364"/>
      <c r="F7158"/>
    </row>
    <row r="7159" spans="1:6" x14ac:dyDescent="0.25">
      <c r="A7159" s="364"/>
      <c r="B7159"/>
      <c r="C7159"/>
      <c r="D7159"/>
      <c r="E7159" s="364"/>
      <c r="F7159"/>
    </row>
    <row r="7160" spans="1:6" x14ac:dyDescent="0.25">
      <c r="A7160" s="364"/>
      <c r="B7160"/>
      <c r="C7160"/>
      <c r="D7160"/>
      <c r="E7160" s="364"/>
      <c r="F7160"/>
    </row>
    <row r="7161" spans="1:6" x14ac:dyDescent="0.25">
      <c r="A7161" s="364"/>
      <c r="B7161"/>
      <c r="C7161"/>
      <c r="D7161"/>
      <c r="E7161" s="364"/>
      <c r="F7161"/>
    </row>
    <row r="7162" spans="1:6" x14ac:dyDescent="0.25">
      <c r="A7162" s="364"/>
      <c r="B7162"/>
      <c r="C7162"/>
      <c r="D7162"/>
      <c r="E7162" s="364"/>
      <c r="F7162"/>
    </row>
    <row r="7163" spans="1:6" x14ac:dyDescent="0.25">
      <c r="A7163" s="364"/>
      <c r="B7163"/>
      <c r="C7163"/>
      <c r="D7163"/>
      <c r="E7163" s="364"/>
      <c r="F7163"/>
    </row>
    <row r="7164" spans="1:6" x14ac:dyDescent="0.25">
      <c r="A7164" s="364"/>
      <c r="B7164"/>
      <c r="C7164"/>
      <c r="D7164"/>
      <c r="E7164" s="364"/>
      <c r="F7164"/>
    </row>
    <row r="7165" spans="1:6" x14ac:dyDescent="0.25">
      <c r="A7165" s="364"/>
      <c r="B7165"/>
      <c r="C7165"/>
      <c r="D7165"/>
      <c r="E7165" s="364"/>
      <c r="F7165"/>
    </row>
    <row r="7166" spans="1:6" x14ac:dyDescent="0.25">
      <c r="A7166" s="364"/>
      <c r="B7166"/>
      <c r="C7166"/>
      <c r="D7166"/>
      <c r="E7166" s="364"/>
      <c r="F7166"/>
    </row>
    <row r="7167" spans="1:6" x14ac:dyDescent="0.25">
      <c r="A7167" s="364"/>
      <c r="B7167"/>
      <c r="C7167"/>
      <c r="D7167"/>
      <c r="E7167" s="364"/>
      <c r="F7167"/>
    </row>
    <row r="7168" spans="1:6" x14ac:dyDescent="0.25">
      <c r="A7168" s="364"/>
      <c r="B7168"/>
      <c r="C7168"/>
      <c r="D7168"/>
      <c r="E7168" s="364"/>
      <c r="F7168"/>
    </row>
    <row r="7169" spans="1:6" x14ac:dyDescent="0.25">
      <c r="A7169" s="364"/>
      <c r="B7169"/>
      <c r="C7169"/>
      <c r="D7169"/>
      <c r="E7169" s="364"/>
      <c r="F7169"/>
    </row>
    <row r="7170" spans="1:6" x14ac:dyDescent="0.25">
      <c r="A7170" s="364"/>
      <c r="B7170"/>
      <c r="C7170"/>
      <c r="D7170"/>
      <c r="E7170" s="364"/>
      <c r="F7170"/>
    </row>
    <row r="7171" spans="1:6" x14ac:dyDescent="0.25">
      <c r="A7171" s="364"/>
      <c r="B7171"/>
      <c r="C7171"/>
      <c r="D7171"/>
      <c r="E7171" s="364"/>
      <c r="F7171"/>
    </row>
    <row r="7172" spans="1:6" x14ac:dyDescent="0.25">
      <c r="A7172" s="364"/>
      <c r="B7172"/>
      <c r="C7172"/>
      <c r="D7172"/>
      <c r="E7172" s="364"/>
      <c r="F7172"/>
    </row>
    <row r="7173" spans="1:6" x14ac:dyDescent="0.25">
      <c r="A7173" s="364"/>
      <c r="B7173"/>
      <c r="C7173"/>
      <c r="D7173"/>
      <c r="E7173" s="364"/>
      <c r="F7173"/>
    </row>
    <row r="7174" spans="1:6" x14ac:dyDescent="0.25">
      <c r="A7174" s="364"/>
      <c r="B7174"/>
      <c r="C7174"/>
      <c r="D7174"/>
      <c r="E7174" s="364"/>
      <c r="F7174"/>
    </row>
    <row r="7175" spans="1:6" x14ac:dyDescent="0.25">
      <c r="A7175" s="364"/>
      <c r="B7175"/>
      <c r="C7175"/>
      <c r="D7175"/>
      <c r="E7175" s="364"/>
      <c r="F7175"/>
    </row>
    <row r="7176" spans="1:6" x14ac:dyDescent="0.25">
      <c r="A7176" s="364"/>
      <c r="B7176"/>
      <c r="C7176"/>
      <c r="D7176"/>
      <c r="E7176" s="364"/>
      <c r="F7176"/>
    </row>
    <row r="7177" spans="1:6" x14ac:dyDescent="0.25">
      <c r="A7177" s="364"/>
      <c r="B7177"/>
      <c r="C7177"/>
      <c r="D7177"/>
      <c r="E7177" s="364"/>
      <c r="F7177"/>
    </row>
    <row r="7178" spans="1:6" x14ac:dyDescent="0.25">
      <c r="A7178" s="364"/>
      <c r="B7178"/>
      <c r="C7178"/>
      <c r="D7178"/>
      <c r="E7178" s="364"/>
      <c r="F7178"/>
    </row>
    <row r="7179" spans="1:6" x14ac:dyDescent="0.25">
      <c r="A7179" s="364"/>
      <c r="B7179"/>
      <c r="C7179"/>
      <c r="D7179"/>
      <c r="E7179" s="364"/>
      <c r="F7179"/>
    </row>
    <row r="7180" spans="1:6" x14ac:dyDescent="0.25">
      <c r="A7180" s="364"/>
      <c r="B7180"/>
      <c r="C7180"/>
      <c r="D7180"/>
      <c r="E7180" s="364"/>
      <c r="F7180"/>
    </row>
    <row r="7181" spans="1:6" x14ac:dyDescent="0.25">
      <c r="A7181" s="364"/>
      <c r="B7181"/>
      <c r="C7181"/>
      <c r="D7181"/>
      <c r="E7181" s="364"/>
      <c r="F7181"/>
    </row>
    <row r="7182" spans="1:6" x14ac:dyDescent="0.25">
      <c r="A7182" s="364"/>
      <c r="B7182"/>
      <c r="C7182"/>
      <c r="D7182"/>
      <c r="E7182" s="364"/>
      <c r="F7182"/>
    </row>
    <row r="7183" spans="1:6" x14ac:dyDescent="0.25">
      <c r="A7183" s="364"/>
      <c r="B7183"/>
      <c r="C7183"/>
      <c r="D7183"/>
      <c r="E7183" s="364"/>
      <c r="F7183"/>
    </row>
    <row r="7184" spans="1:6" x14ac:dyDescent="0.25">
      <c r="A7184" s="364"/>
      <c r="B7184"/>
      <c r="C7184"/>
      <c r="D7184"/>
      <c r="E7184" s="364"/>
      <c r="F7184"/>
    </row>
    <row r="7185" spans="1:6" x14ac:dyDescent="0.25">
      <c r="A7185" s="364"/>
      <c r="B7185"/>
      <c r="C7185"/>
      <c r="D7185"/>
      <c r="E7185" s="364"/>
      <c r="F7185"/>
    </row>
    <row r="7186" spans="1:6" x14ac:dyDescent="0.25">
      <c r="A7186" s="364"/>
      <c r="B7186"/>
      <c r="C7186"/>
      <c r="D7186"/>
      <c r="E7186" s="364"/>
      <c r="F7186"/>
    </row>
    <row r="7187" spans="1:6" x14ac:dyDescent="0.25">
      <c r="A7187" s="364"/>
      <c r="B7187"/>
      <c r="C7187"/>
      <c r="D7187"/>
      <c r="E7187" s="364"/>
      <c r="F7187"/>
    </row>
    <row r="7188" spans="1:6" x14ac:dyDescent="0.25">
      <c r="A7188" s="364"/>
      <c r="B7188"/>
      <c r="C7188"/>
      <c r="D7188"/>
      <c r="E7188" s="364"/>
      <c r="F7188"/>
    </row>
    <row r="7189" spans="1:6" x14ac:dyDescent="0.25">
      <c r="A7189" s="364"/>
      <c r="B7189"/>
      <c r="C7189"/>
      <c r="D7189"/>
      <c r="E7189" s="364"/>
      <c r="F7189"/>
    </row>
    <row r="7190" spans="1:6" x14ac:dyDescent="0.25">
      <c r="A7190" s="364"/>
      <c r="B7190"/>
      <c r="C7190"/>
      <c r="D7190"/>
      <c r="E7190" s="364"/>
      <c r="F7190"/>
    </row>
    <row r="7191" spans="1:6" x14ac:dyDescent="0.25">
      <c r="A7191" s="364"/>
      <c r="B7191"/>
      <c r="C7191"/>
      <c r="D7191"/>
      <c r="E7191" s="364"/>
      <c r="F7191"/>
    </row>
    <row r="7192" spans="1:6" x14ac:dyDescent="0.25">
      <c r="A7192" s="364"/>
      <c r="B7192"/>
      <c r="C7192"/>
      <c r="D7192"/>
      <c r="E7192" s="364"/>
      <c r="F7192"/>
    </row>
    <row r="7193" spans="1:6" x14ac:dyDescent="0.25">
      <c r="A7193" s="364"/>
      <c r="B7193"/>
      <c r="C7193"/>
      <c r="D7193"/>
      <c r="E7193" s="364"/>
      <c r="F7193"/>
    </row>
    <row r="7194" spans="1:6" x14ac:dyDescent="0.25">
      <c r="A7194" s="364"/>
      <c r="B7194"/>
      <c r="C7194"/>
      <c r="D7194"/>
      <c r="E7194" s="364"/>
      <c r="F7194"/>
    </row>
    <row r="7195" spans="1:6" x14ac:dyDescent="0.25">
      <c r="A7195" s="364"/>
      <c r="B7195"/>
      <c r="C7195"/>
      <c r="D7195"/>
      <c r="E7195" s="364"/>
      <c r="F7195"/>
    </row>
    <row r="7196" spans="1:6" x14ac:dyDescent="0.25">
      <c r="A7196" s="364"/>
      <c r="B7196"/>
      <c r="C7196"/>
      <c r="D7196"/>
      <c r="E7196" s="364"/>
      <c r="F7196"/>
    </row>
    <row r="7197" spans="1:6" x14ac:dyDescent="0.25">
      <c r="A7197" s="364"/>
      <c r="B7197"/>
      <c r="C7197"/>
      <c r="D7197"/>
      <c r="E7197" s="364"/>
      <c r="F7197"/>
    </row>
    <row r="7198" spans="1:6" x14ac:dyDescent="0.25">
      <c r="A7198" s="364"/>
      <c r="B7198"/>
      <c r="C7198"/>
      <c r="D7198"/>
      <c r="E7198" s="364"/>
      <c r="F7198"/>
    </row>
    <row r="7199" spans="1:6" x14ac:dyDescent="0.25">
      <c r="A7199" s="364"/>
      <c r="B7199"/>
      <c r="C7199"/>
      <c r="D7199"/>
      <c r="E7199" s="364"/>
      <c r="F7199"/>
    </row>
    <row r="7200" spans="1:6" x14ac:dyDescent="0.25">
      <c r="A7200" s="364"/>
      <c r="B7200"/>
      <c r="C7200"/>
      <c r="D7200"/>
      <c r="E7200" s="364"/>
      <c r="F7200"/>
    </row>
    <row r="7201" spans="1:6" x14ac:dyDescent="0.25">
      <c r="A7201" s="364"/>
      <c r="B7201"/>
      <c r="C7201"/>
      <c r="D7201"/>
      <c r="E7201" s="364"/>
      <c r="F7201"/>
    </row>
    <row r="7202" spans="1:6" x14ac:dyDescent="0.25">
      <c r="A7202" s="364"/>
      <c r="B7202"/>
      <c r="C7202"/>
      <c r="D7202"/>
      <c r="E7202" s="364"/>
      <c r="F7202"/>
    </row>
    <row r="7203" spans="1:6" x14ac:dyDescent="0.25">
      <c r="A7203" s="364"/>
      <c r="B7203"/>
      <c r="C7203"/>
      <c r="D7203"/>
      <c r="E7203" s="364"/>
      <c r="F7203"/>
    </row>
    <row r="7204" spans="1:6" x14ac:dyDescent="0.25">
      <c r="A7204" s="364"/>
      <c r="B7204"/>
      <c r="C7204"/>
      <c r="D7204"/>
      <c r="E7204" s="364"/>
      <c r="F7204"/>
    </row>
    <row r="7205" spans="1:6" x14ac:dyDescent="0.25">
      <c r="A7205" s="364"/>
      <c r="B7205"/>
      <c r="C7205"/>
      <c r="D7205"/>
      <c r="E7205" s="364"/>
      <c r="F7205"/>
    </row>
    <row r="7206" spans="1:6" x14ac:dyDescent="0.25">
      <c r="A7206" s="364"/>
      <c r="B7206"/>
      <c r="C7206"/>
      <c r="D7206"/>
      <c r="E7206" s="364"/>
      <c r="F7206"/>
    </row>
    <row r="7207" spans="1:6" x14ac:dyDescent="0.25">
      <c r="A7207" s="364"/>
      <c r="B7207"/>
      <c r="C7207"/>
      <c r="D7207"/>
      <c r="E7207" s="364"/>
      <c r="F7207"/>
    </row>
    <row r="7208" spans="1:6" x14ac:dyDescent="0.25">
      <c r="A7208" s="364"/>
      <c r="B7208"/>
      <c r="C7208"/>
      <c r="D7208"/>
      <c r="E7208" s="364"/>
      <c r="F7208"/>
    </row>
    <row r="7209" spans="1:6" x14ac:dyDescent="0.25">
      <c r="A7209" s="364"/>
      <c r="B7209"/>
      <c r="C7209"/>
      <c r="D7209"/>
      <c r="E7209" s="364"/>
      <c r="F7209"/>
    </row>
    <row r="7210" spans="1:6" x14ac:dyDescent="0.25">
      <c r="A7210" s="364"/>
      <c r="B7210"/>
      <c r="C7210"/>
      <c r="D7210"/>
      <c r="E7210" s="364"/>
      <c r="F7210"/>
    </row>
    <row r="7211" spans="1:6" x14ac:dyDescent="0.25">
      <c r="A7211" s="364"/>
      <c r="B7211"/>
      <c r="C7211"/>
      <c r="D7211"/>
      <c r="E7211" s="364"/>
      <c r="F7211"/>
    </row>
    <row r="7212" spans="1:6" x14ac:dyDescent="0.25">
      <c r="A7212" s="364"/>
      <c r="B7212"/>
      <c r="C7212"/>
      <c r="D7212"/>
      <c r="E7212" s="364"/>
      <c r="F7212"/>
    </row>
    <row r="7213" spans="1:6" x14ac:dyDescent="0.25">
      <c r="A7213" s="364"/>
      <c r="B7213"/>
      <c r="C7213"/>
      <c r="D7213"/>
      <c r="E7213" s="364"/>
      <c r="F7213"/>
    </row>
    <row r="7214" spans="1:6" x14ac:dyDescent="0.25">
      <c r="A7214" s="364"/>
      <c r="B7214"/>
      <c r="C7214"/>
      <c r="D7214"/>
      <c r="E7214" s="364"/>
      <c r="F7214"/>
    </row>
    <row r="7215" spans="1:6" x14ac:dyDescent="0.25">
      <c r="A7215" s="364"/>
      <c r="B7215"/>
      <c r="C7215"/>
      <c r="D7215"/>
      <c r="E7215" s="364"/>
      <c r="F7215"/>
    </row>
    <row r="7216" spans="1:6" x14ac:dyDescent="0.25">
      <c r="A7216" s="364"/>
      <c r="B7216"/>
      <c r="C7216"/>
      <c r="D7216"/>
      <c r="E7216" s="364"/>
      <c r="F7216"/>
    </row>
    <row r="7217" spans="1:6" x14ac:dyDescent="0.25">
      <c r="A7217" s="364"/>
      <c r="B7217"/>
      <c r="C7217"/>
      <c r="D7217"/>
      <c r="E7217" s="364"/>
      <c r="F7217"/>
    </row>
    <row r="7218" spans="1:6" x14ac:dyDescent="0.25">
      <c r="A7218" s="364"/>
      <c r="B7218"/>
      <c r="C7218"/>
      <c r="D7218"/>
      <c r="E7218" s="364"/>
      <c r="F7218"/>
    </row>
    <row r="7219" spans="1:6" x14ac:dyDescent="0.25">
      <c r="A7219" s="364"/>
      <c r="B7219"/>
      <c r="C7219"/>
      <c r="D7219"/>
      <c r="E7219" s="364"/>
      <c r="F7219"/>
    </row>
    <row r="7220" spans="1:6" x14ac:dyDescent="0.25">
      <c r="A7220" s="364"/>
      <c r="B7220"/>
      <c r="C7220"/>
      <c r="D7220"/>
      <c r="E7220" s="364"/>
      <c r="F7220"/>
    </row>
    <row r="7221" spans="1:6" x14ac:dyDescent="0.25">
      <c r="A7221" s="364"/>
      <c r="B7221"/>
      <c r="C7221"/>
      <c r="D7221"/>
      <c r="E7221" s="364"/>
      <c r="F7221"/>
    </row>
    <row r="7222" spans="1:6" x14ac:dyDescent="0.25">
      <c r="A7222" s="364"/>
      <c r="B7222"/>
      <c r="C7222"/>
      <c r="D7222"/>
      <c r="E7222" s="364"/>
      <c r="F7222"/>
    </row>
    <row r="7223" spans="1:6" x14ac:dyDescent="0.25">
      <c r="A7223" s="364"/>
      <c r="B7223"/>
      <c r="C7223"/>
      <c r="D7223"/>
      <c r="E7223" s="364"/>
      <c r="F7223"/>
    </row>
    <row r="7224" spans="1:6" x14ac:dyDescent="0.25">
      <c r="A7224" s="364"/>
      <c r="B7224"/>
      <c r="C7224"/>
      <c r="D7224"/>
      <c r="E7224" s="364"/>
      <c r="F7224"/>
    </row>
    <row r="7225" spans="1:6" x14ac:dyDescent="0.25">
      <c r="A7225" s="364"/>
      <c r="B7225"/>
      <c r="C7225"/>
      <c r="D7225"/>
      <c r="E7225" s="364"/>
      <c r="F7225"/>
    </row>
    <row r="7226" spans="1:6" x14ac:dyDescent="0.25">
      <c r="A7226" s="364"/>
      <c r="B7226"/>
      <c r="C7226"/>
      <c r="D7226"/>
      <c r="E7226" s="364"/>
      <c r="F7226"/>
    </row>
    <row r="7227" spans="1:6" x14ac:dyDescent="0.25">
      <c r="A7227" s="364"/>
      <c r="B7227"/>
      <c r="C7227"/>
      <c r="D7227"/>
      <c r="E7227" s="364"/>
      <c r="F7227"/>
    </row>
    <row r="7228" spans="1:6" x14ac:dyDescent="0.25">
      <c r="A7228" s="364"/>
      <c r="B7228"/>
      <c r="C7228"/>
      <c r="D7228"/>
      <c r="E7228" s="364"/>
      <c r="F7228"/>
    </row>
    <row r="7229" spans="1:6" x14ac:dyDescent="0.25">
      <c r="A7229" s="364"/>
      <c r="B7229"/>
      <c r="C7229"/>
      <c r="D7229"/>
      <c r="E7229" s="364"/>
      <c r="F7229"/>
    </row>
    <row r="7230" spans="1:6" x14ac:dyDescent="0.25">
      <c r="A7230" s="364"/>
      <c r="B7230"/>
      <c r="C7230"/>
      <c r="D7230"/>
      <c r="E7230" s="364"/>
      <c r="F7230"/>
    </row>
    <row r="7231" spans="1:6" x14ac:dyDescent="0.25">
      <c r="A7231" s="364"/>
      <c r="B7231"/>
      <c r="C7231"/>
      <c r="D7231"/>
      <c r="E7231" s="364"/>
      <c r="F7231"/>
    </row>
    <row r="7232" spans="1:6" x14ac:dyDescent="0.25">
      <c r="A7232" s="364"/>
      <c r="B7232"/>
      <c r="C7232"/>
      <c r="D7232"/>
      <c r="E7232" s="364"/>
      <c r="F7232"/>
    </row>
    <row r="7233" spans="1:6" x14ac:dyDescent="0.25">
      <c r="A7233" s="364"/>
      <c r="B7233"/>
      <c r="C7233"/>
      <c r="D7233"/>
      <c r="E7233" s="364"/>
      <c r="F7233"/>
    </row>
    <row r="7234" spans="1:6" x14ac:dyDescent="0.25">
      <c r="A7234" s="364"/>
      <c r="B7234"/>
      <c r="C7234"/>
      <c r="D7234"/>
      <c r="E7234" s="364"/>
      <c r="F7234"/>
    </row>
    <row r="7235" spans="1:6" x14ac:dyDescent="0.25">
      <c r="A7235" s="364"/>
      <c r="B7235"/>
      <c r="C7235"/>
      <c r="D7235"/>
      <c r="E7235" s="364"/>
      <c r="F7235"/>
    </row>
    <row r="7236" spans="1:6" x14ac:dyDescent="0.25">
      <c r="A7236" s="364"/>
      <c r="B7236"/>
      <c r="C7236"/>
      <c r="D7236"/>
      <c r="E7236" s="364"/>
      <c r="F7236"/>
    </row>
    <row r="7237" spans="1:6" x14ac:dyDescent="0.25">
      <c r="A7237" s="364"/>
      <c r="B7237"/>
      <c r="C7237"/>
      <c r="D7237"/>
      <c r="E7237" s="364"/>
      <c r="F7237"/>
    </row>
    <row r="7238" spans="1:6" x14ac:dyDescent="0.25">
      <c r="A7238" s="364"/>
      <c r="B7238"/>
      <c r="C7238"/>
      <c r="D7238"/>
      <c r="E7238" s="364"/>
      <c r="F7238"/>
    </row>
    <row r="7239" spans="1:6" x14ac:dyDescent="0.25">
      <c r="A7239" s="364"/>
      <c r="B7239"/>
      <c r="C7239"/>
      <c r="D7239"/>
      <c r="E7239" s="364"/>
      <c r="F7239"/>
    </row>
    <row r="7240" spans="1:6" x14ac:dyDescent="0.25">
      <c r="A7240" s="364"/>
      <c r="B7240"/>
      <c r="C7240"/>
      <c r="D7240"/>
      <c r="E7240" s="364"/>
      <c r="F7240"/>
    </row>
    <row r="7241" spans="1:6" x14ac:dyDescent="0.25">
      <c r="A7241" s="364"/>
      <c r="B7241"/>
      <c r="C7241"/>
      <c r="D7241"/>
      <c r="E7241" s="364"/>
      <c r="F7241"/>
    </row>
    <row r="7242" spans="1:6" x14ac:dyDescent="0.25">
      <c r="A7242" s="364"/>
      <c r="B7242"/>
      <c r="C7242"/>
      <c r="D7242"/>
      <c r="E7242" s="364"/>
      <c r="F7242"/>
    </row>
    <row r="7243" spans="1:6" x14ac:dyDescent="0.25">
      <c r="A7243" s="364"/>
      <c r="B7243"/>
      <c r="C7243"/>
      <c r="D7243"/>
      <c r="E7243" s="364"/>
      <c r="F7243"/>
    </row>
    <row r="7244" spans="1:6" x14ac:dyDescent="0.25">
      <c r="A7244" s="364"/>
      <c r="B7244"/>
      <c r="C7244"/>
      <c r="D7244"/>
      <c r="E7244" s="364"/>
      <c r="F7244"/>
    </row>
    <row r="7245" spans="1:6" x14ac:dyDescent="0.25">
      <c r="A7245" s="364"/>
      <c r="B7245"/>
      <c r="C7245"/>
      <c r="D7245"/>
      <c r="E7245" s="364"/>
      <c r="F7245"/>
    </row>
    <row r="7246" spans="1:6" x14ac:dyDescent="0.25">
      <c r="A7246" s="364"/>
      <c r="B7246"/>
      <c r="C7246"/>
      <c r="D7246"/>
      <c r="E7246" s="364"/>
      <c r="F7246"/>
    </row>
    <row r="7247" spans="1:6" x14ac:dyDescent="0.25">
      <c r="A7247" s="364"/>
      <c r="B7247"/>
      <c r="C7247"/>
      <c r="D7247"/>
      <c r="E7247" s="364"/>
      <c r="F7247"/>
    </row>
    <row r="7248" spans="1:6" x14ac:dyDescent="0.25">
      <c r="A7248" s="364"/>
      <c r="B7248"/>
      <c r="C7248"/>
      <c r="D7248"/>
      <c r="E7248" s="364"/>
      <c r="F7248"/>
    </row>
    <row r="7249" spans="1:6" x14ac:dyDescent="0.25">
      <c r="A7249" s="364"/>
      <c r="B7249"/>
      <c r="C7249"/>
      <c r="D7249"/>
      <c r="E7249" s="364"/>
      <c r="F7249"/>
    </row>
    <row r="7250" spans="1:6" x14ac:dyDescent="0.25">
      <c r="A7250" s="364"/>
      <c r="B7250"/>
      <c r="C7250"/>
      <c r="D7250"/>
      <c r="E7250" s="364"/>
      <c r="F7250"/>
    </row>
    <row r="7251" spans="1:6" x14ac:dyDescent="0.25">
      <c r="A7251" s="364"/>
      <c r="B7251"/>
      <c r="C7251"/>
      <c r="D7251"/>
      <c r="E7251" s="364"/>
      <c r="F7251"/>
    </row>
    <row r="7252" spans="1:6" x14ac:dyDescent="0.25">
      <c r="A7252" s="364"/>
      <c r="B7252"/>
      <c r="C7252"/>
      <c r="D7252"/>
      <c r="E7252" s="364"/>
      <c r="F7252"/>
    </row>
    <row r="7253" spans="1:6" x14ac:dyDescent="0.25">
      <c r="A7253" s="364"/>
      <c r="B7253"/>
      <c r="C7253"/>
      <c r="D7253"/>
      <c r="E7253" s="364"/>
      <c r="F7253"/>
    </row>
    <row r="7254" spans="1:6" x14ac:dyDescent="0.25">
      <c r="A7254" s="364"/>
      <c r="B7254"/>
      <c r="C7254"/>
      <c r="D7254"/>
      <c r="E7254" s="364"/>
      <c r="F7254"/>
    </row>
    <row r="7255" spans="1:6" x14ac:dyDescent="0.25">
      <c r="A7255" s="364"/>
      <c r="B7255"/>
      <c r="C7255"/>
      <c r="D7255"/>
      <c r="E7255" s="364"/>
      <c r="F7255"/>
    </row>
    <row r="7256" spans="1:6" x14ac:dyDescent="0.25">
      <c r="A7256" s="364"/>
      <c r="B7256"/>
      <c r="C7256"/>
      <c r="D7256"/>
      <c r="E7256" s="364"/>
      <c r="F7256"/>
    </row>
    <row r="7257" spans="1:6" x14ac:dyDescent="0.25">
      <c r="A7257" s="364"/>
      <c r="B7257"/>
      <c r="C7257"/>
      <c r="D7257"/>
      <c r="E7257" s="364"/>
      <c r="F7257"/>
    </row>
    <row r="7258" spans="1:6" x14ac:dyDescent="0.25">
      <c r="A7258" s="364"/>
      <c r="B7258"/>
      <c r="C7258"/>
      <c r="D7258"/>
      <c r="E7258" s="364"/>
      <c r="F7258"/>
    </row>
    <row r="7259" spans="1:6" x14ac:dyDescent="0.25">
      <c r="A7259" s="364"/>
      <c r="B7259"/>
      <c r="C7259"/>
      <c r="D7259"/>
      <c r="E7259" s="364"/>
      <c r="F7259"/>
    </row>
    <row r="7260" spans="1:6" x14ac:dyDescent="0.25">
      <c r="A7260" s="364"/>
      <c r="B7260"/>
      <c r="C7260"/>
      <c r="D7260"/>
      <c r="E7260" s="364"/>
      <c r="F7260"/>
    </row>
    <row r="7261" spans="1:6" x14ac:dyDescent="0.25">
      <c r="A7261" s="364"/>
      <c r="B7261"/>
      <c r="C7261"/>
      <c r="D7261"/>
      <c r="E7261" s="364"/>
      <c r="F7261"/>
    </row>
    <row r="7262" spans="1:6" x14ac:dyDescent="0.25">
      <c r="A7262" s="364"/>
      <c r="B7262"/>
      <c r="C7262"/>
      <c r="D7262"/>
      <c r="E7262" s="364"/>
      <c r="F7262"/>
    </row>
    <row r="7263" spans="1:6" x14ac:dyDescent="0.25">
      <c r="A7263" s="364"/>
      <c r="B7263"/>
      <c r="C7263"/>
      <c r="D7263"/>
      <c r="E7263" s="364"/>
      <c r="F7263"/>
    </row>
    <row r="7264" spans="1:6" x14ac:dyDescent="0.25">
      <c r="A7264" s="364"/>
      <c r="B7264"/>
      <c r="C7264"/>
      <c r="D7264"/>
      <c r="E7264" s="364"/>
      <c r="F7264"/>
    </row>
    <row r="7265" spans="1:6" x14ac:dyDescent="0.25">
      <c r="A7265" s="364"/>
      <c r="B7265"/>
      <c r="C7265"/>
      <c r="D7265"/>
      <c r="E7265" s="364"/>
      <c r="F7265"/>
    </row>
    <row r="7266" spans="1:6" x14ac:dyDescent="0.25">
      <c r="A7266" s="364"/>
      <c r="B7266"/>
      <c r="C7266"/>
      <c r="D7266"/>
      <c r="E7266" s="364"/>
      <c r="F7266"/>
    </row>
    <row r="7267" spans="1:6" x14ac:dyDescent="0.25">
      <c r="A7267" s="364"/>
      <c r="B7267"/>
      <c r="C7267"/>
      <c r="D7267"/>
      <c r="E7267" s="364"/>
      <c r="F7267"/>
    </row>
    <row r="7268" spans="1:6" x14ac:dyDescent="0.25">
      <c r="A7268" s="364"/>
      <c r="B7268"/>
      <c r="C7268"/>
      <c r="D7268"/>
      <c r="E7268" s="364"/>
      <c r="F7268"/>
    </row>
    <row r="7269" spans="1:6" x14ac:dyDescent="0.25">
      <c r="A7269" s="364"/>
      <c r="B7269"/>
      <c r="C7269"/>
      <c r="D7269"/>
      <c r="E7269" s="364"/>
      <c r="F7269"/>
    </row>
    <row r="7270" spans="1:6" x14ac:dyDescent="0.25">
      <c r="A7270" s="364"/>
      <c r="B7270"/>
      <c r="C7270"/>
      <c r="D7270"/>
      <c r="E7270" s="364"/>
      <c r="F7270"/>
    </row>
    <row r="7271" spans="1:6" x14ac:dyDescent="0.25">
      <c r="A7271" s="364"/>
      <c r="B7271"/>
      <c r="C7271"/>
      <c r="D7271"/>
      <c r="E7271" s="364"/>
      <c r="F7271"/>
    </row>
    <row r="7272" spans="1:6" x14ac:dyDescent="0.25">
      <c r="A7272" s="364"/>
      <c r="B7272"/>
      <c r="C7272"/>
      <c r="D7272"/>
      <c r="E7272" s="364"/>
      <c r="F7272"/>
    </row>
    <row r="7273" spans="1:6" x14ac:dyDescent="0.25">
      <c r="A7273" s="364"/>
      <c r="B7273"/>
      <c r="C7273"/>
      <c r="D7273"/>
      <c r="E7273" s="364"/>
      <c r="F7273"/>
    </row>
    <row r="7274" spans="1:6" x14ac:dyDescent="0.25">
      <c r="A7274" s="364"/>
      <c r="B7274"/>
      <c r="C7274"/>
      <c r="D7274"/>
      <c r="E7274" s="364"/>
      <c r="F7274"/>
    </row>
    <row r="7275" spans="1:6" x14ac:dyDescent="0.25">
      <c r="A7275" s="364"/>
      <c r="B7275"/>
      <c r="C7275"/>
      <c r="D7275"/>
      <c r="E7275" s="364"/>
      <c r="F7275"/>
    </row>
    <row r="7276" spans="1:6" x14ac:dyDescent="0.25">
      <c r="A7276" s="364"/>
      <c r="B7276"/>
      <c r="C7276"/>
      <c r="D7276"/>
      <c r="E7276" s="364"/>
      <c r="F7276"/>
    </row>
    <row r="7277" spans="1:6" x14ac:dyDescent="0.25">
      <c r="A7277" s="364"/>
      <c r="B7277"/>
      <c r="C7277"/>
      <c r="D7277"/>
      <c r="E7277" s="364"/>
      <c r="F7277"/>
    </row>
    <row r="7278" spans="1:6" x14ac:dyDescent="0.25">
      <c r="A7278" s="364"/>
      <c r="B7278"/>
      <c r="C7278"/>
      <c r="D7278"/>
      <c r="E7278" s="364"/>
      <c r="F7278"/>
    </row>
    <row r="7279" spans="1:6" x14ac:dyDescent="0.25">
      <c r="A7279" s="364"/>
      <c r="B7279"/>
      <c r="C7279"/>
      <c r="D7279"/>
      <c r="E7279" s="364"/>
      <c r="F7279"/>
    </row>
    <row r="7280" spans="1:6" x14ac:dyDescent="0.25">
      <c r="A7280" s="364"/>
      <c r="B7280"/>
      <c r="C7280"/>
      <c r="D7280"/>
      <c r="E7280" s="364"/>
      <c r="F7280"/>
    </row>
    <row r="7281" spans="1:6" x14ac:dyDescent="0.25">
      <c r="A7281" s="364"/>
      <c r="B7281"/>
      <c r="C7281"/>
      <c r="D7281"/>
      <c r="E7281" s="364"/>
      <c r="F7281"/>
    </row>
    <row r="7282" spans="1:6" x14ac:dyDescent="0.25">
      <c r="A7282" s="364"/>
      <c r="B7282"/>
      <c r="C7282"/>
      <c r="D7282"/>
      <c r="E7282" s="364"/>
      <c r="F7282"/>
    </row>
    <row r="7283" spans="1:6" x14ac:dyDescent="0.25">
      <c r="A7283" s="364"/>
      <c r="B7283"/>
      <c r="C7283"/>
      <c r="D7283"/>
      <c r="E7283" s="364"/>
      <c r="F7283"/>
    </row>
    <row r="7284" spans="1:6" x14ac:dyDescent="0.25">
      <c r="A7284" s="364"/>
      <c r="B7284"/>
      <c r="C7284"/>
      <c r="D7284"/>
      <c r="E7284" s="364"/>
      <c r="F7284"/>
    </row>
    <row r="7285" spans="1:6" x14ac:dyDescent="0.25">
      <c r="A7285" s="364"/>
      <c r="B7285"/>
      <c r="C7285"/>
      <c r="D7285"/>
      <c r="E7285" s="364"/>
      <c r="F7285"/>
    </row>
    <row r="7286" spans="1:6" x14ac:dyDescent="0.25">
      <c r="A7286" s="364"/>
      <c r="B7286"/>
      <c r="C7286"/>
      <c r="D7286"/>
      <c r="E7286" s="364"/>
      <c r="F7286"/>
    </row>
    <row r="7287" spans="1:6" x14ac:dyDescent="0.25">
      <c r="A7287" s="364"/>
      <c r="B7287"/>
      <c r="C7287"/>
      <c r="D7287"/>
      <c r="E7287" s="364"/>
      <c r="F7287"/>
    </row>
    <row r="7288" spans="1:6" x14ac:dyDescent="0.25">
      <c r="A7288" s="364"/>
      <c r="B7288"/>
      <c r="C7288"/>
      <c r="D7288"/>
      <c r="E7288" s="364"/>
      <c r="F7288"/>
    </row>
    <row r="7289" spans="1:6" x14ac:dyDescent="0.25">
      <c r="A7289" s="364"/>
      <c r="B7289"/>
      <c r="C7289"/>
      <c r="D7289"/>
      <c r="E7289" s="364"/>
      <c r="F7289"/>
    </row>
    <row r="7290" spans="1:6" x14ac:dyDescent="0.25">
      <c r="A7290" s="364"/>
      <c r="B7290"/>
      <c r="C7290"/>
      <c r="D7290"/>
      <c r="E7290" s="364"/>
      <c r="F7290"/>
    </row>
    <row r="7291" spans="1:6" x14ac:dyDescent="0.25">
      <c r="A7291" s="364"/>
      <c r="B7291"/>
      <c r="C7291"/>
      <c r="D7291"/>
      <c r="E7291" s="364"/>
      <c r="F7291"/>
    </row>
    <row r="7292" spans="1:6" x14ac:dyDescent="0.25">
      <c r="A7292" s="364"/>
      <c r="B7292"/>
      <c r="C7292"/>
      <c r="D7292"/>
      <c r="E7292" s="364"/>
      <c r="F7292"/>
    </row>
    <row r="7293" spans="1:6" x14ac:dyDescent="0.25">
      <c r="A7293" s="364"/>
      <c r="B7293"/>
      <c r="C7293"/>
      <c r="D7293"/>
      <c r="E7293" s="364"/>
      <c r="F7293"/>
    </row>
    <row r="7294" spans="1:6" x14ac:dyDescent="0.25">
      <c r="A7294" s="364"/>
      <c r="B7294"/>
      <c r="C7294"/>
      <c r="D7294"/>
      <c r="E7294" s="364"/>
      <c r="F7294"/>
    </row>
    <row r="7295" spans="1:6" x14ac:dyDescent="0.25">
      <c r="A7295" s="364"/>
      <c r="B7295"/>
      <c r="C7295"/>
      <c r="D7295"/>
      <c r="E7295" s="364"/>
      <c r="F7295"/>
    </row>
    <row r="7296" spans="1:6" x14ac:dyDescent="0.25">
      <c r="A7296" s="364"/>
      <c r="B7296"/>
      <c r="C7296"/>
      <c r="D7296"/>
      <c r="E7296" s="364"/>
      <c r="F7296"/>
    </row>
    <row r="7297" spans="1:6" x14ac:dyDescent="0.25">
      <c r="A7297" s="364"/>
      <c r="B7297"/>
      <c r="C7297"/>
      <c r="D7297"/>
      <c r="E7297" s="364"/>
      <c r="F7297"/>
    </row>
    <row r="7298" spans="1:6" x14ac:dyDescent="0.25">
      <c r="A7298" s="364"/>
      <c r="B7298"/>
      <c r="C7298"/>
      <c r="D7298"/>
      <c r="E7298" s="364"/>
      <c r="F7298"/>
    </row>
    <row r="7299" spans="1:6" x14ac:dyDescent="0.25">
      <c r="A7299" s="364"/>
      <c r="B7299"/>
      <c r="C7299"/>
      <c r="D7299"/>
      <c r="E7299" s="364"/>
      <c r="F7299"/>
    </row>
    <row r="7300" spans="1:6" x14ac:dyDescent="0.25">
      <c r="A7300" s="364"/>
      <c r="B7300"/>
      <c r="C7300"/>
      <c r="D7300"/>
      <c r="E7300" s="364"/>
      <c r="F7300"/>
    </row>
    <row r="7301" spans="1:6" x14ac:dyDescent="0.25">
      <c r="A7301" s="364"/>
      <c r="B7301"/>
      <c r="C7301"/>
      <c r="D7301"/>
      <c r="E7301" s="364"/>
      <c r="F7301"/>
    </row>
    <row r="7302" spans="1:6" x14ac:dyDescent="0.25">
      <c r="A7302" s="364"/>
      <c r="B7302"/>
      <c r="C7302"/>
      <c r="D7302"/>
      <c r="E7302" s="364"/>
      <c r="F7302"/>
    </row>
    <row r="7303" spans="1:6" x14ac:dyDescent="0.25">
      <c r="A7303" s="364"/>
      <c r="B7303"/>
      <c r="C7303"/>
      <c r="D7303"/>
      <c r="E7303" s="364"/>
      <c r="F7303"/>
    </row>
    <row r="7304" spans="1:6" x14ac:dyDescent="0.25">
      <c r="A7304" s="364"/>
      <c r="B7304"/>
      <c r="C7304"/>
      <c r="D7304"/>
      <c r="E7304" s="364"/>
      <c r="F7304"/>
    </row>
    <row r="7305" spans="1:6" x14ac:dyDescent="0.25">
      <c r="A7305" s="364"/>
      <c r="B7305"/>
      <c r="C7305"/>
      <c r="D7305"/>
      <c r="E7305" s="364"/>
      <c r="F7305"/>
    </row>
    <row r="7306" spans="1:6" x14ac:dyDescent="0.25">
      <c r="A7306" s="364"/>
      <c r="B7306"/>
      <c r="C7306"/>
      <c r="D7306"/>
      <c r="E7306" s="364"/>
      <c r="F7306"/>
    </row>
    <row r="7307" spans="1:6" x14ac:dyDescent="0.25">
      <c r="A7307" s="364"/>
      <c r="B7307"/>
      <c r="C7307"/>
      <c r="D7307"/>
      <c r="E7307" s="364"/>
      <c r="F7307"/>
    </row>
    <row r="7308" spans="1:6" x14ac:dyDescent="0.25">
      <c r="A7308" s="364"/>
      <c r="B7308"/>
      <c r="C7308"/>
      <c r="D7308"/>
      <c r="E7308" s="364"/>
      <c r="F7308"/>
    </row>
    <row r="7309" spans="1:6" x14ac:dyDescent="0.25">
      <c r="A7309" s="364"/>
      <c r="B7309"/>
      <c r="C7309"/>
      <c r="D7309"/>
      <c r="E7309" s="364"/>
      <c r="F7309"/>
    </row>
    <row r="7310" spans="1:6" x14ac:dyDescent="0.25">
      <c r="A7310" s="364"/>
      <c r="B7310"/>
      <c r="C7310"/>
      <c r="D7310"/>
      <c r="E7310" s="364"/>
      <c r="F7310"/>
    </row>
    <row r="7311" spans="1:6" x14ac:dyDescent="0.25">
      <c r="A7311" s="364"/>
      <c r="B7311"/>
      <c r="C7311"/>
      <c r="D7311"/>
      <c r="E7311" s="364"/>
      <c r="F7311"/>
    </row>
    <row r="7312" spans="1:6" x14ac:dyDescent="0.25">
      <c r="A7312" s="364"/>
      <c r="B7312"/>
      <c r="C7312"/>
      <c r="D7312"/>
      <c r="E7312" s="364"/>
      <c r="F7312"/>
    </row>
    <row r="7313" spans="1:6" x14ac:dyDescent="0.25">
      <c r="A7313" s="364"/>
      <c r="B7313"/>
      <c r="C7313"/>
      <c r="D7313"/>
      <c r="E7313" s="364"/>
      <c r="F7313"/>
    </row>
    <row r="7314" spans="1:6" x14ac:dyDescent="0.25">
      <c r="A7314" s="364"/>
      <c r="B7314"/>
      <c r="C7314"/>
      <c r="D7314"/>
      <c r="E7314" s="364"/>
      <c r="F7314"/>
    </row>
    <row r="7315" spans="1:6" x14ac:dyDescent="0.25">
      <c r="A7315" s="364"/>
      <c r="B7315"/>
      <c r="C7315"/>
      <c r="D7315"/>
      <c r="E7315" s="364"/>
      <c r="F7315"/>
    </row>
    <row r="7316" spans="1:6" x14ac:dyDescent="0.25">
      <c r="A7316" s="364"/>
      <c r="B7316"/>
      <c r="C7316"/>
      <c r="D7316"/>
      <c r="E7316" s="364"/>
      <c r="F7316"/>
    </row>
    <row r="7317" spans="1:6" x14ac:dyDescent="0.25">
      <c r="A7317" s="364"/>
      <c r="B7317"/>
      <c r="C7317"/>
      <c r="D7317"/>
      <c r="E7317" s="364"/>
      <c r="F7317"/>
    </row>
    <row r="7318" spans="1:6" x14ac:dyDescent="0.25">
      <c r="A7318" s="364"/>
      <c r="B7318"/>
      <c r="C7318"/>
      <c r="D7318"/>
      <c r="E7318" s="364"/>
      <c r="F7318"/>
    </row>
    <row r="7319" spans="1:6" x14ac:dyDescent="0.25">
      <c r="A7319" s="364"/>
      <c r="B7319"/>
      <c r="C7319"/>
      <c r="D7319"/>
      <c r="E7319" s="364"/>
      <c r="F7319"/>
    </row>
    <row r="7320" spans="1:6" x14ac:dyDescent="0.25">
      <c r="A7320" s="364"/>
      <c r="B7320"/>
      <c r="C7320"/>
      <c r="D7320"/>
      <c r="E7320" s="364"/>
      <c r="F7320"/>
    </row>
    <row r="7321" spans="1:6" x14ac:dyDescent="0.25">
      <c r="A7321" s="364"/>
      <c r="B7321"/>
      <c r="C7321"/>
      <c r="D7321"/>
      <c r="E7321" s="364"/>
      <c r="F7321"/>
    </row>
    <row r="7322" spans="1:6" x14ac:dyDescent="0.25">
      <c r="A7322" s="364"/>
      <c r="B7322"/>
      <c r="C7322"/>
      <c r="D7322"/>
      <c r="E7322" s="364"/>
      <c r="F7322"/>
    </row>
    <row r="7323" spans="1:6" x14ac:dyDescent="0.25">
      <c r="A7323" s="364"/>
      <c r="B7323"/>
      <c r="C7323"/>
      <c r="D7323"/>
      <c r="E7323" s="364"/>
      <c r="F7323"/>
    </row>
    <row r="7324" spans="1:6" x14ac:dyDescent="0.25">
      <c r="A7324" s="364"/>
      <c r="B7324"/>
      <c r="C7324"/>
      <c r="D7324"/>
      <c r="E7324" s="364"/>
      <c r="F7324"/>
    </row>
    <row r="7325" spans="1:6" x14ac:dyDescent="0.25">
      <c r="A7325" s="364"/>
      <c r="B7325"/>
      <c r="C7325"/>
      <c r="D7325"/>
      <c r="E7325" s="364"/>
      <c r="F7325"/>
    </row>
    <row r="7326" spans="1:6" x14ac:dyDescent="0.25">
      <c r="A7326" s="364"/>
      <c r="B7326"/>
      <c r="C7326"/>
      <c r="D7326"/>
      <c r="E7326" s="364"/>
      <c r="F7326"/>
    </row>
    <row r="7327" spans="1:6" x14ac:dyDescent="0.25">
      <c r="A7327" s="364"/>
      <c r="B7327"/>
      <c r="C7327"/>
      <c r="D7327"/>
      <c r="E7327" s="364"/>
      <c r="F7327"/>
    </row>
    <row r="7328" spans="1:6" x14ac:dyDescent="0.25">
      <c r="A7328" s="364"/>
      <c r="B7328"/>
      <c r="C7328"/>
      <c r="D7328"/>
      <c r="E7328" s="364"/>
      <c r="F7328"/>
    </row>
    <row r="7329" spans="1:6" x14ac:dyDescent="0.25">
      <c r="A7329" s="364"/>
      <c r="B7329"/>
      <c r="C7329"/>
      <c r="D7329"/>
      <c r="E7329" s="364"/>
      <c r="F7329"/>
    </row>
    <row r="7330" spans="1:6" x14ac:dyDescent="0.25">
      <c r="A7330" s="364"/>
      <c r="B7330"/>
      <c r="C7330"/>
      <c r="D7330"/>
      <c r="E7330" s="364"/>
      <c r="F7330"/>
    </row>
    <row r="7331" spans="1:6" x14ac:dyDescent="0.25">
      <c r="A7331" s="364"/>
      <c r="B7331"/>
      <c r="C7331"/>
      <c r="D7331"/>
      <c r="E7331" s="364"/>
      <c r="F7331"/>
    </row>
    <row r="7332" spans="1:6" x14ac:dyDescent="0.25">
      <c r="A7332" s="364"/>
      <c r="B7332"/>
      <c r="C7332"/>
      <c r="D7332"/>
      <c r="E7332" s="364"/>
      <c r="F7332"/>
    </row>
    <row r="7333" spans="1:6" x14ac:dyDescent="0.25">
      <c r="A7333" s="364"/>
      <c r="B7333"/>
      <c r="C7333"/>
      <c r="D7333"/>
      <c r="E7333" s="364"/>
      <c r="F7333"/>
    </row>
    <row r="7334" spans="1:6" x14ac:dyDescent="0.25">
      <c r="A7334" s="364"/>
      <c r="B7334"/>
      <c r="C7334"/>
      <c r="D7334"/>
      <c r="E7334" s="364"/>
      <c r="F7334"/>
    </row>
    <row r="7335" spans="1:6" x14ac:dyDescent="0.25">
      <c r="A7335" s="364"/>
      <c r="B7335"/>
      <c r="C7335"/>
      <c r="D7335"/>
      <c r="E7335" s="364"/>
      <c r="F7335"/>
    </row>
    <row r="7336" spans="1:6" x14ac:dyDescent="0.25">
      <c r="A7336" s="364"/>
      <c r="B7336"/>
      <c r="C7336"/>
      <c r="D7336"/>
      <c r="E7336" s="364"/>
      <c r="F7336"/>
    </row>
    <row r="7337" spans="1:6" x14ac:dyDescent="0.25">
      <c r="A7337" s="364"/>
      <c r="B7337"/>
      <c r="C7337"/>
      <c r="D7337"/>
      <c r="E7337" s="364"/>
      <c r="F7337"/>
    </row>
    <row r="7338" spans="1:6" x14ac:dyDescent="0.25">
      <c r="A7338" s="364"/>
      <c r="B7338"/>
      <c r="C7338"/>
      <c r="D7338"/>
      <c r="E7338" s="364"/>
      <c r="F7338"/>
    </row>
    <row r="7339" spans="1:6" x14ac:dyDescent="0.25">
      <c r="A7339" s="364"/>
      <c r="B7339"/>
      <c r="C7339"/>
      <c r="D7339"/>
      <c r="E7339" s="364"/>
      <c r="F7339"/>
    </row>
    <row r="7340" spans="1:6" x14ac:dyDescent="0.25">
      <c r="A7340" s="364"/>
      <c r="B7340"/>
      <c r="C7340"/>
      <c r="D7340"/>
      <c r="E7340" s="364"/>
      <c r="F7340"/>
    </row>
    <row r="7341" spans="1:6" x14ac:dyDescent="0.25">
      <c r="A7341" s="364"/>
      <c r="B7341"/>
      <c r="C7341"/>
      <c r="D7341"/>
      <c r="E7341" s="364"/>
      <c r="F7341"/>
    </row>
    <row r="7342" spans="1:6" x14ac:dyDescent="0.25">
      <c r="A7342" s="364"/>
      <c r="B7342"/>
      <c r="C7342"/>
      <c r="D7342"/>
      <c r="E7342" s="364"/>
      <c r="F7342"/>
    </row>
    <row r="7343" spans="1:6" x14ac:dyDescent="0.25">
      <c r="A7343" s="364"/>
      <c r="B7343"/>
      <c r="C7343"/>
      <c r="D7343"/>
      <c r="E7343" s="364"/>
      <c r="F7343"/>
    </row>
    <row r="7344" spans="1:6" x14ac:dyDescent="0.25">
      <c r="A7344" s="364"/>
      <c r="B7344"/>
      <c r="C7344"/>
      <c r="D7344"/>
      <c r="E7344" s="364"/>
      <c r="F7344"/>
    </row>
    <row r="7345" spans="1:6" x14ac:dyDescent="0.25">
      <c r="A7345" s="364"/>
      <c r="B7345"/>
      <c r="C7345"/>
      <c r="D7345"/>
      <c r="E7345" s="364"/>
      <c r="F7345"/>
    </row>
    <row r="7346" spans="1:6" x14ac:dyDescent="0.25">
      <c r="A7346" s="364"/>
      <c r="B7346"/>
      <c r="C7346"/>
      <c r="D7346"/>
      <c r="E7346" s="364"/>
      <c r="F7346"/>
    </row>
    <row r="7347" spans="1:6" x14ac:dyDescent="0.25">
      <c r="A7347" s="364"/>
      <c r="B7347"/>
      <c r="C7347"/>
      <c r="D7347"/>
      <c r="E7347" s="364"/>
      <c r="F7347"/>
    </row>
    <row r="7348" spans="1:6" x14ac:dyDescent="0.25">
      <c r="A7348" s="364"/>
      <c r="B7348"/>
      <c r="C7348"/>
      <c r="D7348"/>
      <c r="E7348" s="364"/>
      <c r="F7348"/>
    </row>
    <row r="7349" spans="1:6" x14ac:dyDescent="0.25">
      <c r="A7349" s="364"/>
      <c r="B7349"/>
      <c r="C7349"/>
      <c r="D7349"/>
      <c r="E7349" s="364"/>
      <c r="F7349"/>
    </row>
    <row r="7350" spans="1:6" x14ac:dyDescent="0.25">
      <c r="A7350" s="364"/>
      <c r="B7350"/>
      <c r="C7350"/>
      <c r="D7350"/>
      <c r="E7350" s="364"/>
      <c r="F7350"/>
    </row>
    <row r="7351" spans="1:6" x14ac:dyDescent="0.25">
      <c r="A7351" s="364"/>
      <c r="B7351"/>
      <c r="C7351"/>
      <c r="D7351"/>
      <c r="E7351" s="364"/>
      <c r="F7351"/>
    </row>
    <row r="7352" spans="1:6" x14ac:dyDescent="0.25">
      <c r="A7352" s="364"/>
      <c r="B7352"/>
      <c r="C7352"/>
      <c r="D7352"/>
      <c r="E7352" s="364"/>
      <c r="F7352"/>
    </row>
    <row r="7353" spans="1:6" x14ac:dyDescent="0.25">
      <c r="A7353" s="364"/>
      <c r="B7353"/>
      <c r="C7353"/>
      <c r="D7353"/>
      <c r="E7353" s="364"/>
      <c r="F7353"/>
    </row>
    <row r="7354" spans="1:6" x14ac:dyDescent="0.25">
      <c r="A7354" s="364"/>
      <c r="B7354"/>
      <c r="C7354"/>
      <c r="D7354"/>
      <c r="E7354" s="364"/>
      <c r="F7354"/>
    </row>
    <row r="7355" spans="1:6" x14ac:dyDescent="0.25">
      <c r="A7355" s="364"/>
      <c r="B7355"/>
      <c r="C7355"/>
      <c r="D7355"/>
      <c r="E7355" s="364"/>
      <c r="F7355"/>
    </row>
    <row r="7356" spans="1:6" x14ac:dyDescent="0.25">
      <c r="A7356" s="364"/>
      <c r="B7356"/>
      <c r="C7356"/>
      <c r="D7356"/>
      <c r="E7356" s="364"/>
      <c r="F7356"/>
    </row>
    <row r="7357" spans="1:6" x14ac:dyDescent="0.25">
      <c r="A7357" s="364"/>
      <c r="B7357"/>
      <c r="C7357"/>
      <c r="D7357"/>
      <c r="E7357" s="364"/>
      <c r="F7357"/>
    </row>
    <row r="7358" spans="1:6" x14ac:dyDescent="0.25">
      <c r="A7358" s="364"/>
      <c r="B7358"/>
      <c r="C7358"/>
      <c r="D7358"/>
      <c r="E7358" s="364"/>
      <c r="F7358"/>
    </row>
    <row r="7359" spans="1:6" x14ac:dyDescent="0.25">
      <c r="A7359" s="364"/>
      <c r="B7359"/>
      <c r="C7359"/>
      <c r="D7359"/>
      <c r="E7359" s="364"/>
      <c r="F7359"/>
    </row>
    <row r="7360" spans="1:6" x14ac:dyDescent="0.25">
      <c r="A7360" s="364"/>
      <c r="B7360"/>
      <c r="C7360"/>
      <c r="D7360"/>
      <c r="E7360" s="364"/>
      <c r="F7360"/>
    </row>
    <row r="7361" spans="1:6" x14ac:dyDescent="0.25">
      <c r="A7361" s="364"/>
      <c r="B7361"/>
      <c r="C7361"/>
      <c r="D7361"/>
      <c r="E7361" s="364"/>
      <c r="F7361"/>
    </row>
    <row r="7362" spans="1:6" x14ac:dyDescent="0.25">
      <c r="A7362" s="364"/>
      <c r="B7362"/>
      <c r="C7362"/>
      <c r="D7362"/>
      <c r="E7362" s="364"/>
      <c r="F7362"/>
    </row>
    <row r="7363" spans="1:6" x14ac:dyDescent="0.25">
      <c r="A7363" s="364"/>
      <c r="B7363"/>
      <c r="C7363"/>
      <c r="D7363"/>
      <c r="E7363" s="364"/>
      <c r="F7363"/>
    </row>
    <row r="7364" spans="1:6" x14ac:dyDescent="0.25">
      <c r="A7364" s="364"/>
      <c r="B7364"/>
      <c r="C7364"/>
      <c r="D7364"/>
      <c r="E7364" s="364"/>
      <c r="F7364"/>
    </row>
    <row r="7365" spans="1:6" x14ac:dyDescent="0.25">
      <c r="A7365" s="364"/>
      <c r="B7365"/>
      <c r="C7365"/>
      <c r="D7365"/>
      <c r="E7365" s="364"/>
      <c r="F7365"/>
    </row>
    <row r="7366" spans="1:6" x14ac:dyDescent="0.25">
      <c r="A7366" s="364"/>
      <c r="B7366"/>
      <c r="C7366"/>
      <c r="D7366"/>
      <c r="E7366" s="364"/>
      <c r="F7366"/>
    </row>
    <row r="7367" spans="1:6" x14ac:dyDescent="0.25">
      <c r="A7367" s="364"/>
      <c r="B7367"/>
      <c r="C7367"/>
      <c r="D7367"/>
      <c r="E7367" s="364"/>
      <c r="F7367"/>
    </row>
    <row r="7368" spans="1:6" x14ac:dyDescent="0.25">
      <c r="A7368" s="364"/>
      <c r="B7368"/>
      <c r="C7368"/>
      <c r="D7368"/>
      <c r="E7368" s="364"/>
      <c r="F7368"/>
    </row>
    <row r="7369" spans="1:6" x14ac:dyDescent="0.25">
      <c r="A7369" s="364"/>
      <c r="B7369"/>
      <c r="C7369"/>
      <c r="D7369"/>
      <c r="E7369" s="364"/>
      <c r="F7369"/>
    </row>
    <row r="7370" spans="1:6" x14ac:dyDescent="0.25">
      <c r="A7370" s="364"/>
      <c r="B7370"/>
      <c r="C7370"/>
      <c r="D7370"/>
      <c r="E7370" s="364"/>
      <c r="F7370"/>
    </row>
    <row r="7371" spans="1:6" x14ac:dyDescent="0.25">
      <c r="A7371" s="364"/>
      <c r="B7371"/>
      <c r="C7371"/>
      <c r="D7371"/>
      <c r="E7371" s="364"/>
      <c r="F7371"/>
    </row>
    <row r="7372" spans="1:6" x14ac:dyDescent="0.25">
      <c r="A7372" s="364"/>
      <c r="B7372"/>
      <c r="C7372"/>
      <c r="D7372"/>
      <c r="E7372" s="364"/>
      <c r="F7372"/>
    </row>
    <row r="7373" spans="1:6" x14ac:dyDescent="0.25">
      <c r="A7373" s="364"/>
      <c r="B7373"/>
      <c r="C7373"/>
      <c r="D7373"/>
      <c r="E7373" s="364"/>
      <c r="F7373"/>
    </row>
    <row r="7374" spans="1:6" x14ac:dyDescent="0.25">
      <c r="A7374" s="364"/>
      <c r="B7374"/>
      <c r="C7374"/>
      <c r="D7374"/>
      <c r="E7374" s="364"/>
      <c r="F7374"/>
    </row>
    <row r="7375" spans="1:6" x14ac:dyDescent="0.25">
      <c r="A7375" s="364"/>
      <c r="B7375"/>
      <c r="C7375"/>
      <c r="D7375"/>
      <c r="E7375" s="364"/>
      <c r="F7375"/>
    </row>
    <row r="7376" spans="1:6" x14ac:dyDescent="0.25">
      <c r="A7376" s="364"/>
      <c r="B7376"/>
      <c r="C7376"/>
      <c r="D7376"/>
      <c r="E7376" s="364"/>
      <c r="F7376"/>
    </row>
    <row r="7377" spans="1:6" x14ac:dyDescent="0.25">
      <c r="A7377" s="364"/>
      <c r="B7377"/>
      <c r="C7377"/>
      <c r="D7377"/>
      <c r="E7377" s="364"/>
      <c r="F7377"/>
    </row>
    <row r="7378" spans="1:6" x14ac:dyDescent="0.25">
      <c r="A7378" s="364"/>
      <c r="B7378"/>
      <c r="C7378"/>
      <c r="D7378"/>
      <c r="E7378" s="364"/>
      <c r="F7378"/>
    </row>
    <row r="7379" spans="1:6" x14ac:dyDescent="0.25">
      <c r="A7379" s="364"/>
      <c r="B7379"/>
      <c r="C7379"/>
      <c r="D7379"/>
      <c r="E7379" s="364"/>
      <c r="F7379"/>
    </row>
    <row r="7380" spans="1:6" x14ac:dyDescent="0.25">
      <c r="A7380" s="364"/>
      <c r="B7380"/>
      <c r="C7380"/>
      <c r="D7380"/>
      <c r="E7380" s="364"/>
      <c r="F7380"/>
    </row>
    <row r="7381" spans="1:6" x14ac:dyDescent="0.25">
      <c r="A7381" s="364"/>
      <c r="B7381"/>
      <c r="C7381"/>
      <c r="D7381"/>
      <c r="E7381" s="364"/>
      <c r="F7381"/>
    </row>
    <row r="7382" spans="1:6" x14ac:dyDescent="0.25">
      <c r="A7382" s="364"/>
      <c r="B7382"/>
      <c r="C7382"/>
      <c r="D7382"/>
      <c r="E7382" s="364"/>
      <c r="F7382"/>
    </row>
    <row r="7383" spans="1:6" x14ac:dyDescent="0.25">
      <c r="A7383" s="364"/>
      <c r="B7383"/>
      <c r="C7383"/>
      <c r="D7383"/>
      <c r="E7383" s="364"/>
      <c r="F7383"/>
    </row>
    <row r="7384" spans="1:6" x14ac:dyDescent="0.25">
      <c r="A7384" s="364"/>
      <c r="B7384"/>
      <c r="C7384"/>
      <c r="D7384"/>
      <c r="E7384" s="364"/>
      <c r="F7384"/>
    </row>
    <row r="7385" spans="1:6" x14ac:dyDescent="0.25">
      <c r="A7385" s="364"/>
      <c r="B7385"/>
      <c r="C7385"/>
      <c r="D7385"/>
      <c r="E7385" s="364"/>
      <c r="F7385"/>
    </row>
    <row r="7386" spans="1:6" x14ac:dyDescent="0.25">
      <c r="A7386" s="364"/>
      <c r="B7386"/>
      <c r="C7386"/>
      <c r="D7386"/>
      <c r="E7386" s="364"/>
      <c r="F7386"/>
    </row>
    <row r="7387" spans="1:6" x14ac:dyDescent="0.25">
      <c r="A7387" s="364"/>
      <c r="B7387"/>
      <c r="C7387"/>
      <c r="D7387"/>
      <c r="E7387" s="364"/>
      <c r="F7387"/>
    </row>
    <row r="7388" spans="1:6" x14ac:dyDescent="0.25">
      <c r="A7388" s="364"/>
      <c r="B7388"/>
      <c r="C7388"/>
      <c r="D7388"/>
      <c r="E7388" s="364"/>
      <c r="F7388"/>
    </row>
    <row r="7389" spans="1:6" x14ac:dyDescent="0.25">
      <c r="A7389" s="364"/>
      <c r="B7389"/>
      <c r="C7389"/>
      <c r="D7389"/>
      <c r="E7389" s="364"/>
      <c r="F7389"/>
    </row>
    <row r="7390" spans="1:6" x14ac:dyDescent="0.25">
      <c r="A7390" s="364"/>
      <c r="B7390"/>
      <c r="C7390"/>
      <c r="D7390"/>
      <c r="E7390" s="364"/>
      <c r="F7390"/>
    </row>
    <row r="7391" spans="1:6" x14ac:dyDescent="0.25">
      <c r="A7391" s="364"/>
      <c r="B7391"/>
      <c r="C7391"/>
      <c r="D7391"/>
      <c r="E7391" s="364"/>
      <c r="F7391"/>
    </row>
    <row r="7392" spans="1:6" x14ac:dyDescent="0.25">
      <c r="A7392" s="364"/>
      <c r="B7392"/>
      <c r="C7392"/>
      <c r="D7392"/>
      <c r="E7392" s="364"/>
      <c r="F7392"/>
    </row>
    <row r="7393" spans="1:6" x14ac:dyDescent="0.25">
      <c r="A7393" s="364"/>
      <c r="B7393"/>
      <c r="C7393"/>
      <c r="D7393"/>
      <c r="E7393" s="364"/>
      <c r="F7393"/>
    </row>
    <row r="7394" spans="1:6" x14ac:dyDescent="0.25">
      <c r="A7394" s="364"/>
      <c r="B7394"/>
      <c r="C7394"/>
      <c r="D7394"/>
      <c r="E7394" s="364"/>
      <c r="F7394"/>
    </row>
    <row r="7395" spans="1:6" x14ac:dyDescent="0.25">
      <c r="A7395" s="364"/>
      <c r="B7395"/>
      <c r="C7395"/>
      <c r="D7395"/>
      <c r="E7395" s="364"/>
      <c r="F7395"/>
    </row>
    <row r="7396" spans="1:6" x14ac:dyDescent="0.25">
      <c r="A7396" s="364"/>
      <c r="B7396"/>
      <c r="C7396"/>
      <c r="D7396"/>
      <c r="E7396" s="364"/>
      <c r="F7396"/>
    </row>
    <row r="7397" spans="1:6" x14ac:dyDescent="0.25">
      <c r="A7397" s="364"/>
      <c r="B7397"/>
      <c r="C7397"/>
      <c r="D7397"/>
      <c r="E7397" s="364"/>
      <c r="F7397"/>
    </row>
    <row r="7398" spans="1:6" x14ac:dyDescent="0.25">
      <c r="A7398" s="364"/>
      <c r="B7398"/>
      <c r="C7398"/>
      <c r="D7398"/>
      <c r="E7398" s="364"/>
      <c r="F7398"/>
    </row>
    <row r="7399" spans="1:6" x14ac:dyDescent="0.25">
      <c r="A7399" s="364"/>
      <c r="B7399"/>
      <c r="C7399"/>
      <c r="D7399"/>
      <c r="E7399" s="364"/>
      <c r="F7399"/>
    </row>
    <row r="7400" spans="1:6" x14ac:dyDescent="0.25">
      <c r="A7400" s="364"/>
      <c r="B7400"/>
      <c r="C7400"/>
      <c r="D7400"/>
      <c r="E7400" s="364"/>
      <c r="F7400"/>
    </row>
    <row r="7401" spans="1:6" x14ac:dyDescent="0.25">
      <c r="A7401" s="364"/>
      <c r="B7401"/>
      <c r="C7401"/>
      <c r="D7401"/>
      <c r="E7401" s="364"/>
      <c r="F7401"/>
    </row>
    <row r="7402" spans="1:6" x14ac:dyDescent="0.25">
      <c r="A7402" s="364"/>
      <c r="B7402"/>
      <c r="C7402"/>
      <c r="D7402"/>
      <c r="E7402" s="364"/>
      <c r="F7402"/>
    </row>
    <row r="7403" spans="1:6" x14ac:dyDescent="0.25">
      <c r="A7403" s="364"/>
      <c r="B7403"/>
      <c r="C7403"/>
      <c r="D7403"/>
      <c r="E7403" s="364"/>
      <c r="F7403"/>
    </row>
    <row r="7404" spans="1:6" x14ac:dyDescent="0.25">
      <c r="A7404" s="364"/>
      <c r="B7404"/>
      <c r="C7404"/>
      <c r="D7404"/>
      <c r="E7404" s="364"/>
      <c r="F7404"/>
    </row>
    <row r="7405" spans="1:6" x14ac:dyDescent="0.25">
      <c r="A7405" s="364"/>
      <c r="B7405"/>
      <c r="C7405"/>
      <c r="D7405"/>
      <c r="E7405" s="364"/>
      <c r="F7405"/>
    </row>
    <row r="7406" spans="1:6" x14ac:dyDescent="0.25">
      <c r="A7406" s="364"/>
      <c r="B7406"/>
      <c r="C7406"/>
      <c r="D7406"/>
      <c r="E7406" s="364"/>
      <c r="F7406"/>
    </row>
    <row r="7407" spans="1:6" x14ac:dyDescent="0.25">
      <c r="A7407" s="364"/>
      <c r="B7407"/>
      <c r="C7407"/>
      <c r="D7407"/>
      <c r="E7407" s="364"/>
      <c r="F7407"/>
    </row>
    <row r="7408" spans="1:6" x14ac:dyDescent="0.25">
      <c r="A7408" s="364"/>
      <c r="B7408"/>
      <c r="C7408"/>
      <c r="D7408"/>
      <c r="E7408" s="364"/>
      <c r="F7408"/>
    </row>
    <row r="7409" spans="1:6" x14ac:dyDescent="0.25">
      <c r="A7409" s="364"/>
      <c r="B7409"/>
      <c r="C7409"/>
      <c r="D7409"/>
      <c r="E7409" s="364"/>
      <c r="F7409"/>
    </row>
    <row r="7410" spans="1:6" x14ac:dyDescent="0.25">
      <c r="A7410" s="364"/>
      <c r="B7410"/>
      <c r="C7410"/>
      <c r="D7410"/>
      <c r="E7410" s="364"/>
      <c r="F7410"/>
    </row>
    <row r="7411" spans="1:6" x14ac:dyDescent="0.25">
      <c r="A7411" s="364"/>
      <c r="B7411"/>
      <c r="C7411"/>
      <c r="D7411"/>
      <c r="E7411" s="364"/>
      <c r="F7411"/>
    </row>
    <row r="7412" spans="1:6" x14ac:dyDescent="0.25">
      <c r="A7412" s="364"/>
      <c r="B7412"/>
      <c r="C7412"/>
      <c r="D7412"/>
      <c r="E7412" s="364"/>
      <c r="F7412"/>
    </row>
    <row r="7413" spans="1:6" x14ac:dyDescent="0.25">
      <c r="A7413" s="364"/>
      <c r="B7413"/>
      <c r="C7413"/>
      <c r="D7413"/>
      <c r="E7413" s="364"/>
      <c r="F7413"/>
    </row>
    <row r="7414" spans="1:6" x14ac:dyDescent="0.25">
      <c r="A7414" s="364"/>
      <c r="B7414"/>
      <c r="C7414"/>
      <c r="D7414"/>
      <c r="E7414" s="364"/>
      <c r="F7414"/>
    </row>
    <row r="7415" spans="1:6" x14ac:dyDescent="0.25">
      <c r="A7415" s="364"/>
      <c r="B7415"/>
      <c r="C7415"/>
      <c r="D7415"/>
      <c r="E7415" s="364"/>
      <c r="F7415"/>
    </row>
    <row r="7416" spans="1:6" x14ac:dyDescent="0.25">
      <c r="A7416" s="364"/>
      <c r="B7416"/>
      <c r="C7416"/>
      <c r="D7416"/>
      <c r="E7416" s="364"/>
      <c r="F7416"/>
    </row>
    <row r="7417" spans="1:6" x14ac:dyDescent="0.25">
      <c r="A7417" s="364"/>
      <c r="B7417"/>
      <c r="C7417"/>
      <c r="D7417"/>
      <c r="E7417" s="364"/>
      <c r="F7417"/>
    </row>
    <row r="7418" spans="1:6" x14ac:dyDescent="0.25">
      <c r="A7418" s="364"/>
      <c r="B7418"/>
      <c r="C7418"/>
      <c r="D7418"/>
      <c r="E7418" s="364"/>
      <c r="F7418"/>
    </row>
    <row r="7419" spans="1:6" x14ac:dyDescent="0.25">
      <c r="A7419" s="364"/>
      <c r="B7419"/>
      <c r="C7419"/>
      <c r="D7419"/>
      <c r="E7419" s="364"/>
      <c r="F7419"/>
    </row>
    <row r="7420" spans="1:6" x14ac:dyDescent="0.25">
      <c r="A7420" s="364"/>
      <c r="B7420"/>
      <c r="C7420"/>
      <c r="D7420"/>
      <c r="E7420" s="364"/>
      <c r="F7420"/>
    </row>
    <row r="7421" spans="1:6" x14ac:dyDescent="0.25">
      <c r="A7421" s="364"/>
      <c r="B7421"/>
      <c r="C7421"/>
      <c r="D7421"/>
      <c r="E7421" s="364"/>
      <c r="F7421"/>
    </row>
    <row r="7422" spans="1:6" x14ac:dyDescent="0.25">
      <c r="A7422" s="364"/>
      <c r="B7422"/>
      <c r="C7422"/>
      <c r="D7422"/>
      <c r="E7422" s="364"/>
      <c r="F7422"/>
    </row>
    <row r="7423" spans="1:6" x14ac:dyDescent="0.25">
      <c r="A7423" s="364"/>
      <c r="B7423"/>
      <c r="C7423"/>
      <c r="D7423"/>
      <c r="E7423" s="364"/>
      <c r="F7423"/>
    </row>
    <row r="7424" spans="1:6" x14ac:dyDescent="0.25">
      <c r="A7424" s="364"/>
      <c r="B7424"/>
      <c r="C7424"/>
      <c r="D7424"/>
      <c r="E7424" s="364"/>
      <c r="F7424"/>
    </row>
    <row r="7425" spans="1:6" x14ac:dyDescent="0.25">
      <c r="A7425" s="364"/>
      <c r="B7425"/>
      <c r="C7425"/>
      <c r="D7425"/>
      <c r="E7425" s="364"/>
      <c r="F7425"/>
    </row>
    <row r="7426" spans="1:6" x14ac:dyDescent="0.25">
      <c r="A7426" s="364"/>
      <c r="B7426"/>
      <c r="C7426"/>
      <c r="D7426"/>
      <c r="E7426" s="364"/>
      <c r="F7426"/>
    </row>
    <row r="7427" spans="1:6" x14ac:dyDescent="0.25">
      <c r="A7427" s="364"/>
      <c r="B7427"/>
      <c r="C7427"/>
      <c r="D7427"/>
      <c r="E7427" s="364"/>
      <c r="F7427"/>
    </row>
    <row r="7428" spans="1:6" x14ac:dyDescent="0.25">
      <c r="A7428" s="364"/>
      <c r="B7428"/>
      <c r="C7428"/>
      <c r="D7428"/>
      <c r="E7428" s="364"/>
      <c r="F7428"/>
    </row>
    <row r="7429" spans="1:6" x14ac:dyDescent="0.25">
      <c r="A7429" s="364"/>
      <c r="B7429"/>
      <c r="C7429"/>
      <c r="D7429"/>
      <c r="E7429" s="364"/>
      <c r="F7429"/>
    </row>
    <row r="7430" spans="1:6" x14ac:dyDescent="0.25">
      <c r="A7430" s="364"/>
      <c r="B7430"/>
      <c r="C7430"/>
      <c r="D7430"/>
      <c r="E7430" s="364"/>
      <c r="F7430"/>
    </row>
    <row r="7431" spans="1:6" x14ac:dyDescent="0.25">
      <c r="A7431" s="364"/>
      <c r="B7431"/>
      <c r="C7431"/>
      <c r="D7431"/>
      <c r="E7431" s="364"/>
      <c r="F7431"/>
    </row>
    <row r="7432" spans="1:6" x14ac:dyDescent="0.25">
      <c r="A7432" s="364"/>
      <c r="B7432"/>
      <c r="C7432"/>
      <c r="D7432"/>
      <c r="E7432" s="364"/>
      <c r="F7432"/>
    </row>
    <row r="7433" spans="1:6" x14ac:dyDescent="0.25">
      <c r="A7433" s="364"/>
      <c r="B7433"/>
      <c r="C7433"/>
      <c r="D7433"/>
      <c r="E7433" s="364"/>
      <c r="F7433"/>
    </row>
    <row r="7434" spans="1:6" x14ac:dyDescent="0.25">
      <c r="A7434" s="364"/>
      <c r="B7434"/>
      <c r="C7434"/>
      <c r="D7434"/>
      <c r="E7434" s="364"/>
      <c r="F7434"/>
    </row>
    <row r="7435" spans="1:6" x14ac:dyDescent="0.25">
      <c r="A7435" s="364"/>
      <c r="B7435"/>
      <c r="C7435"/>
      <c r="D7435"/>
      <c r="E7435" s="364"/>
      <c r="F7435"/>
    </row>
    <row r="7436" spans="1:6" x14ac:dyDescent="0.25">
      <c r="A7436" s="364"/>
      <c r="B7436"/>
      <c r="C7436"/>
      <c r="D7436"/>
      <c r="E7436" s="364"/>
      <c r="F7436"/>
    </row>
    <row r="7437" spans="1:6" x14ac:dyDescent="0.25">
      <c r="A7437" s="364"/>
      <c r="B7437"/>
      <c r="C7437"/>
      <c r="D7437"/>
      <c r="E7437" s="364"/>
      <c r="F7437"/>
    </row>
    <row r="7438" spans="1:6" x14ac:dyDescent="0.25">
      <c r="A7438" s="364"/>
      <c r="B7438"/>
      <c r="C7438"/>
      <c r="D7438"/>
      <c r="E7438" s="364"/>
      <c r="F7438"/>
    </row>
    <row r="7439" spans="1:6" x14ac:dyDescent="0.25">
      <c r="A7439" s="364"/>
      <c r="B7439"/>
      <c r="C7439"/>
      <c r="D7439"/>
      <c r="E7439" s="364"/>
      <c r="F7439"/>
    </row>
    <row r="7440" spans="1:6" x14ac:dyDescent="0.25">
      <c r="A7440" s="364"/>
      <c r="B7440"/>
      <c r="C7440"/>
      <c r="D7440"/>
      <c r="E7440" s="364"/>
      <c r="F7440"/>
    </row>
    <row r="7441" spans="1:6" x14ac:dyDescent="0.25">
      <c r="A7441" s="364"/>
      <c r="B7441"/>
      <c r="C7441"/>
      <c r="D7441"/>
      <c r="E7441" s="364"/>
      <c r="F7441"/>
    </row>
    <row r="7442" spans="1:6" x14ac:dyDescent="0.25">
      <c r="A7442" s="364"/>
      <c r="B7442"/>
      <c r="C7442"/>
      <c r="D7442"/>
      <c r="E7442" s="364"/>
      <c r="F7442"/>
    </row>
    <row r="7443" spans="1:6" x14ac:dyDescent="0.25">
      <c r="A7443" s="364"/>
      <c r="B7443"/>
      <c r="C7443"/>
      <c r="D7443"/>
      <c r="E7443" s="364"/>
      <c r="F7443"/>
    </row>
    <row r="7444" spans="1:6" x14ac:dyDescent="0.25">
      <c r="A7444" s="364"/>
      <c r="B7444"/>
      <c r="C7444"/>
      <c r="D7444"/>
      <c r="E7444" s="364"/>
      <c r="F7444"/>
    </row>
    <row r="7445" spans="1:6" x14ac:dyDescent="0.25">
      <c r="A7445" s="364"/>
      <c r="B7445"/>
      <c r="C7445"/>
      <c r="D7445"/>
      <c r="E7445" s="364"/>
      <c r="F7445"/>
    </row>
    <row r="7446" spans="1:6" x14ac:dyDescent="0.25">
      <c r="A7446" s="364"/>
      <c r="B7446"/>
      <c r="C7446"/>
      <c r="D7446"/>
      <c r="E7446" s="364"/>
      <c r="F7446"/>
    </row>
    <row r="7447" spans="1:6" x14ac:dyDescent="0.25">
      <c r="A7447" s="364"/>
      <c r="B7447"/>
      <c r="C7447"/>
      <c r="D7447"/>
      <c r="E7447" s="364"/>
      <c r="F7447"/>
    </row>
    <row r="7448" spans="1:6" x14ac:dyDescent="0.25">
      <c r="A7448" s="364"/>
      <c r="B7448"/>
      <c r="C7448"/>
      <c r="D7448"/>
      <c r="E7448" s="364"/>
      <c r="F7448"/>
    </row>
    <row r="7449" spans="1:6" x14ac:dyDescent="0.25">
      <c r="A7449" s="364"/>
      <c r="B7449"/>
      <c r="C7449"/>
      <c r="D7449"/>
      <c r="E7449" s="364"/>
      <c r="F7449"/>
    </row>
    <row r="7450" spans="1:6" x14ac:dyDescent="0.25">
      <c r="A7450" s="364"/>
      <c r="B7450"/>
      <c r="C7450"/>
      <c r="D7450"/>
      <c r="E7450" s="364"/>
      <c r="F7450"/>
    </row>
    <row r="7451" spans="1:6" x14ac:dyDescent="0.25">
      <c r="A7451" s="364"/>
      <c r="B7451"/>
      <c r="C7451"/>
      <c r="D7451"/>
      <c r="E7451" s="364"/>
      <c r="F7451"/>
    </row>
    <row r="7452" spans="1:6" x14ac:dyDescent="0.25">
      <c r="A7452" s="364"/>
      <c r="B7452"/>
      <c r="C7452"/>
      <c r="D7452"/>
      <c r="E7452" s="364"/>
      <c r="F7452"/>
    </row>
    <row r="7453" spans="1:6" x14ac:dyDescent="0.25">
      <c r="A7453" s="364"/>
      <c r="B7453"/>
      <c r="C7453"/>
      <c r="D7453"/>
      <c r="E7453" s="364"/>
      <c r="F7453"/>
    </row>
    <row r="7454" spans="1:6" x14ac:dyDescent="0.25">
      <c r="A7454" s="364"/>
      <c r="B7454"/>
      <c r="C7454"/>
      <c r="D7454"/>
      <c r="E7454" s="364"/>
      <c r="F7454"/>
    </row>
    <row r="7455" spans="1:6" x14ac:dyDescent="0.25">
      <c r="A7455" s="364"/>
      <c r="B7455"/>
      <c r="C7455"/>
      <c r="D7455"/>
      <c r="E7455" s="364"/>
      <c r="F7455"/>
    </row>
    <row r="7456" spans="1:6" x14ac:dyDescent="0.25">
      <c r="A7456" s="364"/>
      <c r="B7456"/>
      <c r="C7456"/>
      <c r="D7456"/>
      <c r="E7456" s="364"/>
      <c r="F7456"/>
    </row>
    <row r="7457" spans="1:6" x14ac:dyDescent="0.25">
      <c r="A7457" s="364"/>
      <c r="B7457"/>
      <c r="C7457"/>
      <c r="D7457"/>
      <c r="E7457" s="364"/>
      <c r="F7457"/>
    </row>
    <row r="7458" spans="1:6" x14ac:dyDescent="0.25">
      <c r="A7458" s="364"/>
      <c r="B7458"/>
      <c r="C7458"/>
      <c r="D7458"/>
      <c r="E7458" s="364"/>
      <c r="F7458"/>
    </row>
    <row r="7459" spans="1:6" x14ac:dyDescent="0.25">
      <c r="A7459" s="364"/>
      <c r="B7459"/>
      <c r="C7459"/>
      <c r="D7459"/>
      <c r="E7459" s="364"/>
      <c r="F7459"/>
    </row>
    <row r="7460" spans="1:6" x14ac:dyDescent="0.25">
      <c r="A7460" s="364"/>
      <c r="B7460"/>
      <c r="C7460"/>
      <c r="D7460"/>
      <c r="E7460" s="364"/>
      <c r="F7460"/>
    </row>
    <row r="7461" spans="1:6" x14ac:dyDescent="0.25">
      <c r="A7461" s="364"/>
      <c r="B7461"/>
      <c r="C7461"/>
      <c r="D7461"/>
      <c r="E7461" s="364"/>
      <c r="F7461"/>
    </row>
    <row r="7462" spans="1:6" x14ac:dyDescent="0.25">
      <c r="A7462" s="364"/>
      <c r="B7462"/>
      <c r="C7462"/>
      <c r="D7462"/>
      <c r="E7462" s="364"/>
      <c r="F7462"/>
    </row>
    <row r="7463" spans="1:6" x14ac:dyDescent="0.25">
      <c r="A7463" s="364"/>
      <c r="B7463"/>
      <c r="C7463"/>
      <c r="D7463"/>
      <c r="E7463" s="364"/>
      <c r="F7463"/>
    </row>
    <row r="7464" spans="1:6" x14ac:dyDescent="0.25">
      <c r="A7464" s="364"/>
      <c r="B7464"/>
      <c r="C7464"/>
      <c r="D7464"/>
      <c r="E7464" s="364"/>
      <c r="F7464"/>
    </row>
    <row r="7465" spans="1:6" x14ac:dyDescent="0.25">
      <c r="A7465" s="364"/>
      <c r="B7465"/>
      <c r="C7465"/>
      <c r="D7465"/>
      <c r="E7465" s="364"/>
      <c r="F7465"/>
    </row>
    <row r="7466" spans="1:6" x14ac:dyDescent="0.25">
      <c r="A7466" s="364"/>
      <c r="B7466"/>
      <c r="C7466"/>
      <c r="D7466"/>
      <c r="E7466" s="364"/>
      <c r="F7466"/>
    </row>
    <row r="7467" spans="1:6" x14ac:dyDescent="0.25">
      <c r="A7467" s="364"/>
      <c r="B7467"/>
      <c r="C7467"/>
      <c r="D7467"/>
      <c r="E7467" s="364"/>
      <c r="F7467"/>
    </row>
    <row r="7468" spans="1:6" x14ac:dyDescent="0.25">
      <c r="A7468" s="364"/>
      <c r="B7468"/>
      <c r="C7468"/>
      <c r="D7468"/>
      <c r="E7468" s="364"/>
      <c r="F7468"/>
    </row>
    <row r="7469" spans="1:6" x14ac:dyDescent="0.25">
      <c r="A7469" s="364"/>
      <c r="B7469"/>
      <c r="C7469"/>
      <c r="D7469"/>
      <c r="E7469" s="364"/>
      <c r="F7469"/>
    </row>
    <row r="7470" spans="1:6" x14ac:dyDescent="0.25">
      <c r="A7470" s="364"/>
      <c r="B7470"/>
      <c r="C7470"/>
      <c r="D7470"/>
      <c r="E7470" s="364"/>
      <c r="F7470"/>
    </row>
    <row r="7471" spans="1:6" x14ac:dyDescent="0.25">
      <c r="A7471" s="364"/>
      <c r="B7471"/>
      <c r="C7471"/>
      <c r="D7471"/>
      <c r="E7471" s="364"/>
      <c r="F7471"/>
    </row>
    <row r="7472" spans="1:6" x14ac:dyDescent="0.25">
      <c r="A7472" s="364"/>
      <c r="B7472"/>
      <c r="C7472"/>
      <c r="D7472"/>
      <c r="E7472" s="364"/>
      <c r="F7472"/>
    </row>
    <row r="7473" spans="1:6" x14ac:dyDescent="0.25">
      <c r="A7473" s="364"/>
      <c r="B7473"/>
      <c r="C7473"/>
      <c r="D7473"/>
      <c r="E7473" s="364"/>
      <c r="F7473"/>
    </row>
    <row r="7474" spans="1:6" x14ac:dyDescent="0.25">
      <c r="A7474" s="364"/>
      <c r="B7474"/>
      <c r="C7474"/>
      <c r="D7474"/>
      <c r="E7474" s="364"/>
      <c r="F7474"/>
    </row>
    <row r="7475" spans="1:6" x14ac:dyDescent="0.25">
      <c r="A7475" s="364"/>
      <c r="B7475"/>
      <c r="C7475"/>
      <c r="D7475"/>
      <c r="E7475" s="364"/>
      <c r="F7475"/>
    </row>
    <row r="7476" spans="1:6" x14ac:dyDescent="0.25">
      <c r="A7476" s="364"/>
      <c r="B7476"/>
      <c r="C7476"/>
      <c r="D7476"/>
      <c r="E7476" s="364"/>
      <c r="F7476"/>
    </row>
    <row r="7477" spans="1:6" x14ac:dyDescent="0.25">
      <c r="A7477" s="364"/>
      <c r="B7477"/>
      <c r="C7477"/>
      <c r="D7477"/>
      <c r="E7477" s="364"/>
      <c r="F7477"/>
    </row>
    <row r="7478" spans="1:6" x14ac:dyDescent="0.25">
      <c r="A7478" s="364"/>
      <c r="B7478"/>
      <c r="C7478"/>
      <c r="D7478"/>
      <c r="E7478" s="364"/>
      <c r="F7478"/>
    </row>
    <row r="7479" spans="1:6" x14ac:dyDescent="0.25">
      <c r="A7479" s="364"/>
      <c r="B7479"/>
      <c r="C7479"/>
      <c r="D7479"/>
      <c r="E7479" s="364"/>
      <c r="F7479"/>
    </row>
    <row r="7480" spans="1:6" x14ac:dyDescent="0.25">
      <c r="A7480" s="364"/>
      <c r="B7480"/>
      <c r="C7480"/>
      <c r="D7480"/>
      <c r="E7480" s="364"/>
      <c r="F7480"/>
    </row>
    <row r="7481" spans="1:6" x14ac:dyDescent="0.25">
      <c r="A7481" s="364"/>
      <c r="B7481"/>
      <c r="C7481"/>
      <c r="D7481"/>
      <c r="E7481" s="364"/>
      <c r="F7481"/>
    </row>
    <row r="7482" spans="1:6" x14ac:dyDescent="0.25">
      <c r="A7482" s="364"/>
      <c r="B7482"/>
      <c r="C7482"/>
      <c r="D7482"/>
      <c r="E7482" s="364"/>
      <c r="F7482"/>
    </row>
    <row r="7483" spans="1:6" x14ac:dyDescent="0.25">
      <c r="A7483" s="364"/>
      <c r="B7483"/>
      <c r="C7483"/>
      <c r="D7483"/>
      <c r="E7483" s="364"/>
      <c r="F7483"/>
    </row>
    <row r="7484" spans="1:6" x14ac:dyDescent="0.25">
      <c r="A7484" s="364"/>
      <c r="B7484"/>
      <c r="C7484"/>
      <c r="D7484"/>
      <c r="E7484" s="364"/>
      <c r="F7484"/>
    </row>
    <row r="7485" spans="1:6" x14ac:dyDescent="0.25">
      <c r="A7485" s="364"/>
      <c r="B7485"/>
      <c r="C7485"/>
      <c r="D7485"/>
      <c r="E7485" s="364"/>
      <c r="F7485"/>
    </row>
    <row r="7486" spans="1:6" x14ac:dyDescent="0.25">
      <c r="A7486" s="364"/>
      <c r="B7486"/>
      <c r="C7486"/>
      <c r="D7486"/>
      <c r="E7486" s="364"/>
      <c r="F7486"/>
    </row>
    <row r="7487" spans="1:6" x14ac:dyDescent="0.25">
      <c r="A7487" s="364"/>
      <c r="B7487"/>
      <c r="C7487"/>
      <c r="D7487"/>
      <c r="E7487" s="364"/>
      <c r="F7487"/>
    </row>
    <row r="7488" spans="1:6" x14ac:dyDescent="0.25">
      <c r="A7488" s="364"/>
      <c r="B7488"/>
      <c r="C7488"/>
      <c r="D7488"/>
      <c r="E7488" s="364"/>
      <c r="F7488"/>
    </row>
    <row r="7489" spans="1:6" x14ac:dyDescent="0.25">
      <c r="A7489" s="364"/>
      <c r="B7489"/>
      <c r="C7489"/>
      <c r="D7489"/>
      <c r="E7489" s="364"/>
      <c r="F7489"/>
    </row>
    <row r="7490" spans="1:6" x14ac:dyDescent="0.25">
      <c r="A7490" s="364"/>
      <c r="B7490"/>
      <c r="C7490"/>
      <c r="D7490"/>
      <c r="E7490" s="364"/>
      <c r="F7490"/>
    </row>
    <row r="7491" spans="1:6" x14ac:dyDescent="0.25">
      <c r="A7491" s="364"/>
      <c r="B7491"/>
      <c r="C7491"/>
      <c r="D7491"/>
      <c r="E7491" s="364"/>
      <c r="F7491"/>
    </row>
    <row r="7492" spans="1:6" x14ac:dyDescent="0.25">
      <c r="A7492" s="364"/>
      <c r="B7492"/>
      <c r="C7492"/>
      <c r="D7492"/>
      <c r="E7492" s="364"/>
      <c r="F7492"/>
    </row>
    <row r="7493" spans="1:6" x14ac:dyDescent="0.25">
      <c r="A7493" s="364"/>
      <c r="B7493"/>
      <c r="C7493"/>
      <c r="D7493"/>
      <c r="E7493" s="364"/>
      <c r="F7493"/>
    </row>
    <row r="7494" spans="1:6" x14ac:dyDescent="0.25">
      <c r="A7494" s="364"/>
      <c r="B7494"/>
      <c r="C7494"/>
      <c r="D7494"/>
      <c r="E7494" s="364"/>
      <c r="F7494"/>
    </row>
    <row r="7495" spans="1:6" x14ac:dyDescent="0.25">
      <c r="A7495" s="364"/>
      <c r="B7495"/>
      <c r="C7495"/>
      <c r="D7495"/>
      <c r="E7495" s="364"/>
      <c r="F7495"/>
    </row>
    <row r="7496" spans="1:6" x14ac:dyDescent="0.25">
      <c r="A7496" s="364"/>
      <c r="B7496"/>
      <c r="C7496"/>
      <c r="D7496"/>
      <c r="E7496" s="364"/>
      <c r="F7496"/>
    </row>
    <row r="7497" spans="1:6" x14ac:dyDescent="0.25">
      <c r="A7497" s="364"/>
      <c r="B7497"/>
      <c r="C7497"/>
      <c r="D7497"/>
      <c r="E7497" s="364"/>
      <c r="F7497"/>
    </row>
    <row r="7498" spans="1:6" x14ac:dyDescent="0.25">
      <c r="A7498" s="364"/>
      <c r="B7498"/>
      <c r="C7498"/>
      <c r="D7498"/>
      <c r="E7498" s="364"/>
      <c r="F7498"/>
    </row>
    <row r="7499" spans="1:6" x14ac:dyDescent="0.25">
      <c r="A7499" s="364"/>
      <c r="B7499"/>
      <c r="C7499"/>
      <c r="D7499"/>
      <c r="E7499" s="364"/>
      <c r="F7499"/>
    </row>
    <row r="7500" spans="1:6" x14ac:dyDescent="0.25">
      <c r="A7500" s="364"/>
      <c r="B7500"/>
      <c r="C7500"/>
      <c r="D7500"/>
      <c r="E7500" s="364"/>
      <c r="F7500"/>
    </row>
    <row r="7501" spans="1:6" x14ac:dyDescent="0.25">
      <c r="A7501" s="364"/>
      <c r="B7501"/>
      <c r="C7501"/>
      <c r="D7501"/>
      <c r="E7501" s="364"/>
      <c r="F7501"/>
    </row>
    <row r="7502" spans="1:6" x14ac:dyDescent="0.25">
      <c r="A7502" s="364"/>
      <c r="B7502"/>
      <c r="C7502"/>
      <c r="D7502"/>
      <c r="E7502" s="364"/>
      <c r="F7502"/>
    </row>
    <row r="7503" spans="1:6" x14ac:dyDescent="0.25">
      <c r="A7503" s="364"/>
      <c r="B7503"/>
      <c r="C7503"/>
      <c r="D7503"/>
      <c r="E7503" s="364"/>
      <c r="F7503"/>
    </row>
    <row r="7504" spans="1:6" x14ac:dyDescent="0.25">
      <c r="A7504" s="364"/>
      <c r="B7504"/>
      <c r="C7504"/>
      <c r="D7504"/>
      <c r="E7504" s="364"/>
      <c r="F7504"/>
    </row>
    <row r="7505" spans="1:6" x14ac:dyDescent="0.25">
      <c r="A7505" s="364"/>
      <c r="B7505"/>
      <c r="C7505"/>
      <c r="D7505"/>
      <c r="E7505" s="364"/>
      <c r="F7505"/>
    </row>
    <row r="7506" spans="1:6" x14ac:dyDescent="0.25">
      <c r="A7506" s="364"/>
      <c r="B7506"/>
      <c r="C7506"/>
      <c r="D7506"/>
      <c r="E7506" s="364"/>
      <c r="F7506"/>
    </row>
    <row r="7507" spans="1:6" x14ac:dyDescent="0.25">
      <c r="A7507" s="364"/>
      <c r="B7507"/>
      <c r="C7507"/>
      <c r="D7507"/>
      <c r="E7507" s="364"/>
      <c r="F7507"/>
    </row>
    <row r="7508" spans="1:6" x14ac:dyDescent="0.25">
      <c r="A7508" s="364"/>
      <c r="B7508"/>
      <c r="C7508"/>
      <c r="D7508"/>
      <c r="E7508" s="364"/>
      <c r="F7508"/>
    </row>
    <row r="7509" spans="1:6" x14ac:dyDescent="0.25">
      <c r="A7509" s="364"/>
      <c r="B7509"/>
      <c r="C7509"/>
      <c r="D7509"/>
      <c r="E7509" s="364"/>
      <c r="F7509"/>
    </row>
    <row r="7510" spans="1:6" x14ac:dyDescent="0.25">
      <c r="A7510" s="364"/>
      <c r="B7510"/>
      <c r="C7510"/>
      <c r="D7510"/>
      <c r="E7510" s="364"/>
      <c r="F7510"/>
    </row>
    <row r="7511" spans="1:6" x14ac:dyDescent="0.25">
      <c r="A7511" s="364"/>
      <c r="B7511"/>
      <c r="C7511"/>
      <c r="D7511"/>
      <c r="E7511" s="364"/>
      <c r="F7511"/>
    </row>
    <row r="7512" spans="1:6" x14ac:dyDescent="0.25">
      <c r="A7512" s="364"/>
      <c r="B7512"/>
      <c r="C7512"/>
      <c r="D7512"/>
      <c r="E7512" s="364"/>
      <c r="F7512"/>
    </row>
    <row r="7513" spans="1:6" x14ac:dyDescent="0.25">
      <c r="A7513" s="364"/>
      <c r="B7513"/>
      <c r="C7513"/>
      <c r="D7513"/>
      <c r="E7513" s="364"/>
      <c r="F7513"/>
    </row>
    <row r="7514" spans="1:6" x14ac:dyDescent="0.25">
      <c r="A7514" s="364"/>
      <c r="B7514"/>
      <c r="C7514"/>
      <c r="D7514"/>
      <c r="E7514" s="364"/>
      <c r="F7514"/>
    </row>
    <row r="7515" spans="1:6" x14ac:dyDescent="0.25">
      <c r="A7515" s="364"/>
      <c r="B7515"/>
      <c r="C7515"/>
      <c r="D7515"/>
      <c r="E7515" s="364"/>
      <c r="F7515"/>
    </row>
    <row r="7516" spans="1:6" x14ac:dyDescent="0.25">
      <c r="A7516" s="364"/>
      <c r="B7516"/>
      <c r="C7516"/>
      <c r="D7516"/>
      <c r="E7516" s="364"/>
      <c r="F7516"/>
    </row>
    <row r="7517" spans="1:6" x14ac:dyDescent="0.25">
      <c r="A7517" s="364"/>
      <c r="B7517"/>
      <c r="C7517"/>
      <c r="D7517"/>
      <c r="E7517" s="364"/>
      <c r="F7517"/>
    </row>
    <row r="7518" spans="1:6" x14ac:dyDescent="0.25">
      <c r="A7518" s="364"/>
      <c r="B7518"/>
      <c r="C7518"/>
      <c r="D7518"/>
      <c r="E7518" s="364"/>
      <c r="F7518"/>
    </row>
    <row r="7519" spans="1:6" x14ac:dyDescent="0.25">
      <c r="A7519" s="364"/>
      <c r="B7519"/>
      <c r="C7519"/>
      <c r="D7519"/>
      <c r="E7519" s="364"/>
      <c r="F7519"/>
    </row>
    <row r="7520" spans="1:6" x14ac:dyDescent="0.25">
      <c r="A7520" s="364"/>
      <c r="B7520"/>
      <c r="C7520"/>
      <c r="D7520"/>
      <c r="E7520" s="364"/>
      <c r="F7520"/>
    </row>
    <row r="7521" spans="1:6" x14ac:dyDescent="0.25">
      <c r="A7521" s="364"/>
      <c r="B7521"/>
      <c r="C7521"/>
      <c r="D7521"/>
      <c r="E7521" s="364"/>
      <c r="F7521"/>
    </row>
    <row r="7522" spans="1:6" x14ac:dyDescent="0.25">
      <c r="A7522" s="364"/>
      <c r="B7522"/>
      <c r="C7522"/>
      <c r="D7522"/>
      <c r="E7522" s="364"/>
      <c r="F7522"/>
    </row>
    <row r="7523" spans="1:6" x14ac:dyDescent="0.25">
      <c r="A7523" s="364"/>
      <c r="B7523"/>
      <c r="C7523"/>
      <c r="D7523"/>
      <c r="E7523" s="364"/>
      <c r="F7523"/>
    </row>
    <row r="7524" spans="1:6" x14ac:dyDescent="0.25">
      <c r="A7524" s="364"/>
      <c r="B7524"/>
      <c r="C7524"/>
      <c r="D7524"/>
      <c r="E7524" s="364"/>
      <c r="F7524"/>
    </row>
    <row r="7525" spans="1:6" x14ac:dyDescent="0.25">
      <c r="A7525" s="364"/>
      <c r="B7525"/>
      <c r="C7525"/>
      <c r="D7525"/>
      <c r="E7525" s="364"/>
      <c r="F7525"/>
    </row>
    <row r="7526" spans="1:6" x14ac:dyDescent="0.25">
      <c r="A7526" s="364"/>
      <c r="B7526"/>
      <c r="C7526"/>
      <c r="D7526"/>
      <c r="E7526" s="364"/>
      <c r="F7526"/>
    </row>
    <row r="7527" spans="1:6" x14ac:dyDescent="0.25">
      <c r="A7527" s="364"/>
      <c r="B7527"/>
      <c r="C7527"/>
      <c r="D7527"/>
      <c r="E7527" s="364"/>
      <c r="F7527"/>
    </row>
    <row r="7528" spans="1:6" x14ac:dyDescent="0.25">
      <c r="A7528" s="364"/>
      <c r="B7528"/>
      <c r="C7528"/>
      <c r="D7528"/>
      <c r="E7528" s="364"/>
      <c r="F7528"/>
    </row>
    <row r="7529" spans="1:6" x14ac:dyDescent="0.25">
      <c r="A7529" s="364"/>
      <c r="B7529"/>
      <c r="C7529"/>
      <c r="D7529"/>
      <c r="E7529" s="364"/>
      <c r="F7529"/>
    </row>
    <row r="7530" spans="1:6" x14ac:dyDescent="0.25">
      <c r="A7530" s="364"/>
      <c r="B7530"/>
      <c r="C7530"/>
      <c r="D7530"/>
      <c r="E7530" s="364"/>
      <c r="F7530"/>
    </row>
    <row r="7531" spans="1:6" x14ac:dyDescent="0.25">
      <c r="A7531" s="364"/>
      <c r="B7531"/>
      <c r="C7531"/>
      <c r="D7531"/>
      <c r="E7531" s="364"/>
      <c r="F7531"/>
    </row>
    <row r="7532" spans="1:6" x14ac:dyDescent="0.25">
      <c r="A7532" s="364"/>
      <c r="B7532"/>
      <c r="C7532"/>
      <c r="D7532"/>
      <c r="E7532" s="364"/>
      <c r="F7532"/>
    </row>
    <row r="7533" spans="1:6" x14ac:dyDescent="0.25">
      <c r="A7533" s="364"/>
      <c r="B7533"/>
      <c r="C7533"/>
      <c r="D7533"/>
      <c r="E7533" s="364"/>
      <c r="F7533"/>
    </row>
    <row r="7534" spans="1:6" x14ac:dyDescent="0.25">
      <c r="A7534" s="364"/>
      <c r="B7534"/>
      <c r="C7534"/>
      <c r="D7534"/>
      <c r="E7534" s="364"/>
      <c r="F7534"/>
    </row>
    <row r="7535" spans="1:6" x14ac:dyDescent="0.25">
      <c r="A7535" s="364"/>
      <c r="B7535"/>
      <c r="C7535"/>
      <c r="D7535"/>
      <c r="E7535" s="364"/>
      <c r="F7535"/>
    </row>
    <row r="7536" spans="1:6" x14ac:dyDescent="0.25">
      <c r="A7536" s="364"/>
      <c r="B7536"/>
      <c r="C7536"/>
      <c r="D7536"/>
      <c r="E7536" s="364"/>
      <c r="F7536"/>
    </row>
    <row r="7537" spans="1:6" x14ac:dyDescent="0.25">
      <c r="A7537" s="364"/>
      <c r="B7537"/>
      <c r="C7537"/>
      <c r="D7537"/>
      <c r="E7537" s="364"/>
      <c r="F7537"/>
    </row>
    <row r="7538" spans="1:6" x14ac:dyDescent="0.25">
      <c r="A7538" s="364"/>
      <c r="B7538"/>
      <c r="C7538"/>
      <c r="D7538"/>
      <c r="E7538" s="364"/>
      <c r="F7538"/>
    </row>
    <row r="7539" spans="1:6" x14ac:dyDescent="0.25">
      <c r="A7539" s="364"/>
      <c r="B7539"/>
      <c r="C7539"/>
      <c r="D7539"/>
      <c r="E7539" s="364"/>
      <c r="F7539"/>
    </row>
    <row r="7540" spans="1:6" x14ac:dyDescent="0.25">
      <c r="A7540" s="364"/>
      <c r="B7540"/>
      <c r="C7540"/>
      <c r="D7540"/>
      <c r="E7540" s="364"/>
      <c r="F7540"/>
    </row>
    <row r="7541" spans="1:6" x14ac:dyDescent="0.25">
      <c r="A7541" s="364"/>
      <c r="B7541"/>
      <c r="C7541"/>
      <c r="D7541"/>
      <c r="E7541" s="364"/>
      <c r="F7541"/>
    </row>
    <row r="7542" spans="1:6" x14ac:dyDescent="0.25">
      <c r="A7542" s="364"/>
      <c r="B7542"/>
      <c r="C7542"/>
      <c r="D7542"/>
      <c r="E7542" s="364"/>
      <c r="F7542"/>
    </row>
    <row r="7543" spans="1:6" x14ac:dyDescent="0.25">
      <c r="A7543" s="364"/>
      <c r="B7543"/>
      <c r="C7543"/>
      <c r="D7543"/>
      <c r="E7543" s="364"/>
      <c r="F7543"/>
    </row>
    <row r="7544" spans="1:6" x14ac:dyDescent="0.25">
      <c r="A7544" s="364"/>
      <c r="B7544"/>
      <c r="C7544"/>
      <c r="D7544"/>
      <c r="E7544" s="364"/>
      <c r="F7544"/>
    </row>
    <row r="7545" spans="1:6" x14ac:dyDescent="0.25">
      <c r="A7545" s="364"/>
      <c r="B7545"/>
      <c r="C7545"/>
      <c r="D7545"/>
      <c r="E7545" s="364"/>
      <c r="F7545"/>
    </row>
    <row r="7546" spans="1:6" x14ac:dyDescent="0.25">
      <c r="A7546" s="364"/>
      <c r="B7546"/>
      <c r="C7546"/>
      <c r="D7546"/>
      <c r="E7546" s="364"/>
      <c r="F7546"/>
    </row>
    <row r="7547" spans="1:6" x14ac:dyDescent="0.25">
      <c r="A7547" s="364"/>
      <c r="B7547"/>
      <c r="C7547"/>
      <c r="D7547"/>
      <c r="E7547" s="364"/>
      <c r="F7547"/>
    </row>
    <row r="7548" spans="1:6" x14ac:dyDescent="0.25">
      <c r="A7548" s="364"/>
      <c r="B7548"/>
      <c r="C7548"/>
      <c r="D7548"/>
      <c r="E7548" s="364"/>
      <c r="F7548"/>
    </row>
    <row r="7549" spans="1:6" x14ac:dyDescent="0.25">
      <c r="A7549" s="364"/>
      <c r="B7549"/>
      <c r="C7549"/>
      <c r="D7549"/>
      <c r="E7549" s="364"/>
      <c r="F7549"/>
    </row>
    <row r="7550" spans="1:6" x14ac:dyDescent="0.25">
      <c r="A7550" s="364"/>
      <c r="B7550"/>
      <c r="C7550"/>
      <c r="D7550"/>
      <c r="E7550" s="364"/>
      <c r="F7550"/>
    </row>
    <row r="7551" spans="1:6" x14ac:dyDescent="0.25">
      <c r="A7551" s="364"/>
      <c r="B7551"/>
      <c r="C7551"/>
      <c r="D7551"/>
      <c r="E7551" s="364"/>
      <c r="F7551"/>
    </row>
    <row r="7552" spans="1:6" x14ac:dyDescent="0.25">
      <c r="A7552" s="364"/>
      <c r="B7552"/>
      <c r="C7552"/>
      <c r="D7552"/>
      <c r="E7552" s="364"/>
      <c r="F7552"/>
    </row>
    <row r="7553" spans="1:6" x14ac:dyDescent="0.25">
      <c r="A7553" s="364"/>
      <c r="B7553"/>
      <c r="C7553"/>
      <c r="D7553"/>
      <c r="E7553" s="364"/>
      <c r="F7553"/>
    </row>
    <row r="7554" spans="1:6" x14ac:dyDescent="0.25">
      <c r="A7554" s="364"/>
      <c r="B7554"/>
      <c r="C7554"/>
      <c r="D7554"/>
      <c r="E7554" s="364"/>
      <c r="F7554"/>
    </row>
    <row r="7555" spans="1:6" x14ac:dyDescent="0.25">
      <c r="A7555" s="364"/>
      <c r="B7555"/>
      <c r="C7555"/>
      <c r="D7555"/>
      <c r="E7555" s="364"/>
      <c r="F7555"/>
    </row>
    <row r="7556" spans="1:6" x14ac:dyDescent="0.25">
      <c r="A7556" s="364"/>
      <c r="B7556"/>
      <c r="C7556"/>
      <c r="D7556"/>
      <c r="E7556" s="364"/>
      <c r="F7556"/>
    </row>
    <row r="7557" spans="1:6" x14ac:dyDescent="0.25">
      <c r="A7557" s="364"/>
      <c r="B7557"/>
      <c r="C7557"/>
      <c r="D7557"/>
      <c r="E7557" s="364"/>
      <c r="F7557"/>
    </row>
    <row r="7558" spans="1:6" x14ac:dyDescent="0.25">
      <c r="A7558" s="364"/>
      <c r="B7558"/>
      <c r="C7558"/>
      <c r="D7558"/>
      <c r="E7558" s="364"/>
      <c r="F7558"/>
    </row>
    <row r="7559" spans="1:6" x14ac:dyDescent="0.25">
      <c r="A7559" s="364"/>
      <c r="B7559"/>
      <c r="C7559"/>
      <c r="D7559"/>
      <c r="E7559" s="364"/>
      <c r="F7559"/>
    </row>
    <row r="7560" spans="1:6" x14ac:dyDescent="0.25">
      <c r="A7560" s="364"/>
      <c r="B7560"/>
      <c r="C7560"/>
      <c r="D7560"/>
      <c r="E7560" s="364"/>
      <c r="F7560"/>
    </row>
    <row r="7561" spans="1:6" x14ac:dyDescent="0.25">
      <c r="A7561" s="364"/>
      <c r="B7561"/>
      <c r="C7561"/>
      <c r="D7561"/>
      <c r="E7561" s="364"/>
      <c r="F7561"/>
    </row>
    <row r="7562" spans="1:6" x14ac:dyDescent="0.25">
      <c r="A7562" s="364"/>
      <c r="B7562"/>
      <c r="C7562"/>
      <c r="D7562"/>
      <c r="E7562" s="364"/>
      <c r="F7562"/>
    </row>
    <row r="7563" spans="1:6" x14ac:dyDescent="0.25">
      <c r="A7563" s="364"/>
      <c r="B7563"/>
      <c r="C7563"/>
      <c r="D7563"/>
      <c r="E7563" s="364"/>
      <c r="F7563"/>
    </row>
    <row r="7564" spans="1:6" x14ac:dyDescent="0.25">
      <c r="A7564" s="364"/>
      <c r="B7564"/>
      <c r="C7564"/>
      <c r="D7564"/>
      <c r="E7564" s="364"/>
      <c r="F7564"/>
    </row>
    <row r="7565" spans="1:6" x14ac:dyDescent="0.25">
      <c r="A7565" s="364"/>
      <c r="B7565"/>
      <c r="C7565"/>
      <c r="D7565"/>
      <c r="E7565" s="364"/>
      <c r="F7565"/>
    </row>
    <row r="7566" spans="1:6" x14ac:dyDescent="0.25">
      <c r="A7566" s="364"/>
      <c r="B7566"/>
      <c r="C7566"/>
      <c r="D7566"/>
      <c r="E7566" s="364"/>
      <c r="F7566"/>
    </row>
    <row r="7567" spans="1:6" x14ac:dyDescent="0.25">
      <c r="A7567" s="364"/>
      <c r="B7567"/>
      <c r="C7567"/>
      <c r="D7567"/>
      <c r="E7567" s="364"/>
      <c r="F7567"/>
    </row>
    <row r="7568" spans="1:6" x14ac:dyDescent="0.25">
      <c r="A7568" s="364"/>
      <c r="B7568"/>
      <c r="C7568"/>
      <c r="D7568"/>
      <c r="E7568" s="364"/>
      <c r="F7568"/>
    </row>
    <row r="7569" spans="1:6" x14ac:dyDescent="0.25">
      <c r="A7569" s="364"/>
      <c r="B7569"/>
      <c r="C7569"/>
      <c r="D7569"/>
      <c r="E7569" s="364"/>
      <c r="F7569"/>
    </row>
    <row r="7570" spans="1:6" x14ac:dyDescent="0.25">
      <c r="A7570" s="364"/>
      <c r="B7570"/>
      <c r="C7570"/>
      <c r="D7570"/>
      <c r="E7570" s="364"/>
      <c r="F7570"/>
    </row>
    <row r="7571" spans="1:6" x14ac:dyDescent="0.25">
      <c r="A7571" s="364"/>
      <c r="B7571"/>
      <c r="C7571"/>
      <c r="D7571"/>
      <c r="E7571" s="364"/>
      <c r="F7571"/>
    </row>
    <row r="7572" spans="1:6" x14ac:dyDescent="0.25">
      <c r="A7572" s="364"/>
      <c r="B7572"/>
      <c r="C7572"/>
      <c r="D7572"/>
      <c r="E7572" s="364"/>
      <c r="F7572"/>
    </row>
    <row r="7573" spans="1:6" x14ac:dyDescent="0.25">
      <c r="A7573" s="364"/>
      <c r="B7573"/>
      <c r="C7573"/>
      <c r="D7573"/>
      <c r="E7573" s="364"/>
      <c r="F7573"/>
    </row>
    <row r="7574" spans="1:6" x14ac:dyDescent="0.25">
      <c r="A7574" s="364"/>
      <c r="B7574"/>
      <c r="C7574"/>
      <c r="D7574"/>
      <c r="E7574" s="364"/>
      <c r="F7574"/>
    </row>
    <row r="7575" spans="1:6" x14ac:dyDescent="0.25">
      <c r="A7575" s="364"/>
      <c r="B7575"/>
      <c r="C7575"/>
      <c r="D7575"/>
      <c r="E7575" s="364"/>
      <c r="F7575"/>
    </row>
    <row r="7576" spans="1:6" x14ac:dyDescent="0.25">
      <c r="A7576" s="364"/>
      <c r="B7576"/>
      <c r="C7576"/>
      <c r="D7576"/>
      <c r="E7576" s="364"/>
      <c r="F7576"/>
    </row>
    <row r="7577" spans="1:6" x14ac:dyDescent="0.25">
      <c r="A7577" s="364"/>
      <c r="B7577"/>
      <c r="C7577"/>
      <c r="D7577"/>
      <c r="E7577" s="364"/>
      <c r="F7577"/>
    </row>
    <row r="7578" spans="1:6" x14ac:dyDescent="0.25">
      <c r="A7578" s="364"/>
      <c r="B7578"/>
      <c r="C7578"/>
      <c r="D7578"/>
      <c r="E7578" s="364"/>
      <c r="F7578"/>
    </row>
    <row r="7579" spans="1:6" x14ac:dyDescent="0.25">
      <c r="A7579" s="364"/>
      <c r="B7579"/>
      <c r="C7579"/>
      <c r="D7579"/>
      <c r="E7579" s="364"/>
      <c r="F7579"/>
    </row>
    <row r="7580" spans="1:6" x14ac:dyDescent="0.25">
      <c r="A7580" s="364"/>
      <c r="B7580"/>
      <c r="C7580"/>
      <c r="D7580"/>
      <c r="E7580" s="364"/>
      <c r="F7580"/>
    </row>
    <row r="7581" spans="1:6" x14ac:dyDescent="0.25">
      <c r="A7581" s="364"/>
      <c r="B7581"/>
      <c r="C7581"/>
      <c r="D7581"/>
      <c r="E7581" s="364"/>
      <c r="F7581"/>
    </row>
    <row r="7582" spans="1:6" x14ac:dyDescent="0.25">
      <c r="A7582" s="364"/>
      <c r="B7582"/>
      <c r="C7582"/>
      <c r="D7582"/>
      <c r="E7582" s="364"/>
      <c r="F7582"/>
    </row>
    <row r="7583" spans="1:6" x14ac:dyDescent="0.25">
      <c r="A7583" s="364"/>
      <c r="B7583"/>
      <c r="C7583"/>
      <c r="D7583"/>
      <c r="E7583" s="364"/>
      <c r="F7583"/>
    </row>
    <row r="7584" spans="1:6" x14ac:dyDescent="0.25">
      <c r="A7584" s="364"/>
      <c r="B7584"/>
      <c r="C7584"/>
      <c r="D7584"/>
      <c r="E7584" s="364"/>
      <c r="F7584"/>
    </row>
    <row r="7585" spans="1:6" x14ac:dyDescent="0.25">
      <c r="A7585" s="364"/>
      <c r="B7585"/>
      <c r="C7585"/>
      <c r="D7585"/>
      <c r="E7585" s="364"/>
      <c r="F7585"/>
    </row>
    <row r="7586" spans="1:6" x14ac:dyDescent="0.25">
      <c r="A7586" s="364"/>
      <c r="B7586"/>
      <c r="C7586"/>
      <c r="D7586"/>
      <c r="E7586" s="364"/>
      <c r="F7586"/>
    </row>
    <row r="7587" spans="1:6" x14ac:dyDescent="0.25">
      <c r="A7587" s="364"/>
      <c r="B7587"/>
      <c r="C7587"/>
      <c r="D7587"/>
      <c r="E7587" s="364"/>
      <c r="F7587"/>
    </row>
    <row r="7588" spans="1:6" x14ac:dyDescent="0.25">
      <c r="A7588" s="364"/>
      <c r="B7588"/>
      <c r="C7588"/>
      <c r="D7588"/>
      <c r="E7588" s="364"/>
      <c r="F7588"/>
    </row>
    <row r="7589" spans="1:6" x14ac:dyDescent="0.25">
      <c r="A7589" s="364"/>
      <c r="B7589"/>
      <c r="C7589"/>
      <c r="D7589"/>
      <c r="E7589" s="364"/>
      <c r="F7589"/>
    </row>
    <row r="7590" spans="1:6" x14ac:dyDescent="0.25">
      <c r="A7590" s="364"/>
      <c r="B7590"/>
      <c r="C7590"/>
      <c r="D7590"/>
      <c r="E7590" s="364"/>
      <c r="F7590"/>
    </row>
    <row r="7591" spans="1:6" x14ac:dyDescent="0.25">
      <c r="A7591" s="364"/>
      <c r="B7591"/>
      <c r="C7591"/>
      <c r="D7591"/>
      <c r="E7591" s="364"/>
      <c r="F7591"/>
    </row>
    <row r="7592" spans="1:6" x14ac:dyDescent="0.25">
      <c r="A7592" s="364"/>
      <c r="B7592"/>
      <c r="C7592"/>
      <c r="D7592"/>
      <c r="E7592" s="364"/>
      <c r="F7592"/>
    </row>
    <row r="7593" spans="1:6" x14ac:dyDescent="0.25">
      <c r="A7593" s="364"/>
      <c r="B7593"/>
      <c r="C7593"/>
      <c r="D7593"/>
      <c r="E7593" s="364"/>
      <c r="F7593"/>
    </row>
    <row r="7594" spans="1:6" x14ac:dyDescent="0.25">
      <c r="A7594" s="364"/>
      <c r="B7594"/>
      <c r="C7594"/>
      <c r="D7594"/>
      <c r="E7594" s="364"/>
      <c r="F7594"/>
    </row>
    <row r="7595" spans="1:6" x14ac:dyDescent="0.25">
      <c r="A7595" s="364"/>
      <c r="B7595"/>
      <c r="C7595"/>
      <c r="D7595"/>
      <c r="E7595" s="364"/>
      <c r="F7595"/>
    </row>
    <row r="7596" spans="1:6" x14ac:dyDescent="0.25">
      <c r="A7596" s="364"/>
      <c r="B7596"/>
      <c r="C7596"/>
      <c r="D7596"/>
      <c r="E7596" s="364"/>
      <c r="F7596"/>
    </row>
    <row r="7597" spans="1:6" x14ac:dyDescent="0.25">
      <c r="A7597" s="364"/>
      <c r="B7597"/>
      <c r="C7597"/>
      <c r="D7597"/>
      <c r="E7597" s="364"/>
      <c r="F7597"/>
    </row>
    <row r="7598" spans="1:6" x14ac:dyDescent="0.25">
      <c r="A7598" s="364"/>
      <c r="B7598"/>
      <c r="C7598"/>
      <c r="D7598"/>
      <c r="E7598" s="364"/>
      <c r="F7598"/>
    </row>
    <row r="7599" spans="1:6" x14ac:dyDescent="0.25">
      <c r="A7599" s="364"/>
      <c r="B7599"/>
      <c r="C7599"/>
      <c r="D7599"/>
      <c r="E7599" s="364"/>
      <c r="F7599"/>
    </row>
    <row r="7600" spans="1:6" x14ac:dyDescent="0.25">
      <c r="A7600" s="364"/>
      <c r="B7600"/>
      <c r="C7600"/>
      <c r="D7600"/>
      <c r="E7600" s="364"/>
      <c r="F7600"/>
    </row>
    <row r="7601" spans="1:6" x14ac:dyDescent="0.25">
      <c r="A7601" s="364"/>
      <c r="B7601"/>
      <c r="C7601"/>
      <c r="D7601"/>
      <c r="E7601" s="364"/>
      <c r="F7601"/>
    </row>
    <row r="7602" spans="1:6" x14ac:dyDescent="0.25">
      <c r="A7602" s="364"/>
      <c r="B7602"/>
      <c r="C7602"/>
      <c r="D7602"/>
      <c r="E7602" s="364"/>
      <c r="F7602"/>
    </row>
    <row r="7603" spans="1:6" x14ac:dyDescent="0.25">
      <c r="A7603" s="364"/>
      <c r="B7603"/>
      <c r="C7603"/>
      <c r="D7603"/>
      <c r="E7603" s="364"/>
      <c r="F7603"/>
    </row>
    <row r="7604" spans="1:6" x14ac:dyDescent="0.25">
      <c r="A7604" s="364"/>
      <c r="B7604"/>
      <c r="C7604"/>
      <c r="D7604"/>
      <c r="E7604" s="364"/>
      <c r="F7604"/>
    </row>
    <row r="7605" spans="1:6" x14ac:dyDescent="0.25">
      <c r="A7605" s="364"/>
      <c r="B7605"/>
      <c r="C7605"/>
      <c r="D7605"/>
      <c r="E7605" s="364"/>
      <c r="F7605"/>
    </row>
    <row r="7606" spans="1:6" x14ac:dyDescent="0.25">
      <c r="A7606" s="364"/>
      <c r="B7606"/>
      <c r="C7606"/>
      <c r="D7606"/>
      <c r="E7606" s="364"/>
      <c r="F7606"/>
    </row>
    <row r="7607" spans="1:6" x14ac:dyDescent="0.25">
      <c r="A7607" s="364"/>
      <c r="B7607"/>
      <c r="C7607"/>
      <c r="D7607"/>
      <c r="E7607" s="364"/>
      <c r="F7607"/>
    </row>
    <row r="7608" spans="1:6" x14ac:dyDescent="0.25">
      <c r="A7608" s="364"/>
      <c r="B7608"/>
      <c r="C7608"/>
      <c r="D7608"/>
      <c r="E7608" s="364"/>
      <c r="F7608"/>
    </row>
    <row r="7609" spans="1:6" x14ac:dyDescent="0.25">
      <c r="A7609" s="364"/>
      <c r="B7609"/>
      <c r="C7609"/>
      <c r="D7609"/>
      <c r="E7609" s="364"/>
      <c r="F7609"/>
    </row>
    <row r="7610" spans="1:6" x14ac:dyDescent="0.25">
      <c r="A7610" s="364"/>
      <c r="B7610"/>
      <c r="C7610"/>
      <c r="D7610"/>
      <c r="E7610" s="364"/>
      <c r="F7610"/>
    </row>
    <row r="7611" spans="1:6" x14ac:dyDescent="0.25">
      <c r="A7611" s="364"/>
      <c r="B7611"/>
      <c r="C7611"/>
      <c r="D7611"/>
      <c r="E7611" s="364"/>
      <c r="F7611"/>
    </row>
    <row r="7612" spans="1:6" x14ac:dyDescent="0.25">
      <c r="A7612" s="364"/>
      <c r="B7612"/>
      <c r="C7612"/>
      <c r="D7612"/>
      <c r="E7612" s="364"/>
      <c r="F7612"/>
    </row>
    <row r="7613" spans="1:6" x14ac:dyDescent="0.25">
      <c r="A7613" s="364"/>
      <c r="B7613"/>
      <c r="C7613"/>
      <c r="D7613"/>
      <c r="E7613" s="364"/>
      <c r="F7613"/>
    </row>
    <row r="7614" spans="1:6" x14ac:dyDescent="0.25">
      <c r="A7614" s="364"/>
      <c r="B7614"/>
      <c r="C7614"/>
      <c r="D7614"/>
      <c r="E7614" s="364"/>
      <c r="F7614"/>
    </row>
    <row r="7615" spans="1:6" x14ac:dyDescent="0.25">
      <c r="A7615" s="364"/>
      <c r="B7615"/>
      <c r="C7615"/>
      <c r="D7615"/>
      <c r="E7615" s="364"/>
      <c r="F7615"/>
    </row>
    <row r="7616" spans="1:6" x14ac:dyDescent="0.25">
      <c r="A7616" s="364"/>
      <c r="B7616"/>
      <c r="C7616"/>
      <c r="D7616"/>
      <c r="E7616" s="364"/>
      <c r="F7616"/>
    </row>
    <row r="7617" spans="1:6" x14ac:dyDescent="0.25">
      <c r="A7617" s="364"/>
      <c r="B7617"/>
      <c r="C7617"/>
      <c r="D7617"/>
      <c r="E7617" s="364"/>
      <c r="F7617"/>
    </row>
    <row r="7618" spans="1:6" x14ac:dyDescent="0.25">
      <c r="A7618" s="364"/>
      <c r="B7618"/>
      <c r="C7618"/>
      <c r="D7618"/>
      <c r="E7618" s="364"/>
      <c r="F7618"/>
    </row>
    <row r="7619" spans="1:6" x14ac:dyDescent="0.25">
      <c r="A7619" s="364"/>
      <c r="B7619"/>
      <c r="C7619"/>
      <c r="D7619"/>
      <c r="E7619" s="364"/>
      <c r="F7619"/>
    </row>
    <row r="7620" spans="1:6" x14ac:dyDescent="0.25">
      <c r="A7620" s="364"/>
      <c r="B7620"/>
      <c r="C7620"/>
      <c r="D7620"/>
      <c r="E7620" s="364"/>
      <c r="F7620"/>
    </row>
    <row r="7621" spans="1:6" x14ac:dyDescent="0.25">
      <c r="A7621" s="364"/>
      <c r="B7621"/>
      <c r="C7621"/>
      <c r="D7621"/>
      <c r="E7621" s="364"/>
      <c r="F7621"/>
    </row>
    <row r="7622" spans="1:6" x14ac:dyDescent="0.25">
      <c r="A7622" s="364"/>
      <c r="B7622"/>
      <c r="C7622"/>
      <c r="D7622"/>
      <c r="E7622" s="364"/>
      <c r="F7622"/>
    </row>
    <row r="7623" spans="1:6" x14ac:dyDescent="0.25">
      <c r="A7623" s="364"/>
      <c r="B7623"/>
      <c r="C7623"/>
      <c r="D7623"/>
      <c r="E7623" s="364"/>
      <c r="F7623"/>
    </row>
    <row r="7624" spans="1:6" x14ac:dyDescent="0.25">
      <c r="A7624" s="364"/>
      <c r="B7624"/>
      <c r="C7624"/>
      <c r="D7624"/>
      <c r="E7624" s="364"/>
      <c r="F7624"/>
    </row>
    <row r="7625" spans="1:6" x14ac:dyDescent="0.25">
      <c r="A7625" s="364"/>
      <c r="B7625"/>
      <c r="C7625"/>
      <c r="D7625"/>
      <c r="E7625" s="364"/>
      <c r="F7625"/>
    </row>
    <row r="7626" spans="1:6" x14ac:dyDescent="0.25">
      <c r="A7626" s="364"/>
      <c r="B7626"/>
      <c r="C7626"/>
      <c r="D7626"/>
      <c r="E7626" s="364"/>
      <c r="F7626"/>
    </row>
    <row r="7627" spans="1:6" x14ac:dyDescent="0.25">
      <c r="A7627" s="364"/>
      <c r="B7627"/>
      <c r="C7627"/>
      <c r="D7627"/>
      <c r="E7627" s="364"/>
      <c r="F7627"/>
    </row>
    <row r="7628" spans="1:6" x14ac:dyDescent="0.25">
      <c r="A7628" s="364"/>
      <c r="B7628"/>
      <c r="C7628"/>
      <c r="D7628"/>
      <c r="E7628" s="364"/>
      <c r="F7628"/>
    </row>
    <row r="7629" spans="1:6" x14ac:dyDescent="0.25">
      <c r="A7629" s="364"/>
      <c r="B7629"/>
      <c r="C7629"/>
      <c r="D7629"/>
      <c r="E7629" s="364"/>
      <c r="F7629"/>
    </row>
    <row r="7630" spans="1:6" x14ac:dyDescent="0.25">
      <c r="A7630" s="364"/>
      <c r="B7630"/>
      <c r="C7630"/>
      <c r="D7630"/>
      <c r="E7630" s="364"/>
      <c r="F7630"/>
    </row>
    <row r="7631" spans="1:6" x14ac:dyDescent="0.25">
      <c r="A7631" s="364"/>
      <c r="B7631"/>
      <c r="C7631"/>
      <c r="D7631"/>
      <c r="E7631" s="364"/>
      <c r="F7631"/>
    </row>
    <row r="7632" spans="1:6" x14ac:dyDescent="0.25">
      <c r="A7632" s="364"/>
      <c r="B7632"/>
      <c r="C7632"/>
      <c r="D7632"/>
      <c r="E7632" s="364"/>
      <c r="F7632"/>
    </row>
    <row r="7633" spans="1:6" x14ac:dyDescent="0.25">
      <c r="A7633" s="364"/>
      <c r="B7633"/>
      <c r="C7633"/>
      <c r="D7633"/>
      <c r="E7633" s="364"/>
      <c r="F7633"/>
    </row>
    <row r="7634" spans="1:6" x14ac:dyDescent="0.25">
      <c r="A7634" s="364"/>
      <c r="B7634"/>
      <c r="C7634"/>
      <c r="D7634"/>
      <c r="E7634" s="364"/>
      <c r="F7634"/>
    </row>
    <row r="7635" spans="1:6" x14ac:dyDescent="0.25">
      <c r="A7635" s="364"/>
      <c r="B7635"/>
      <c r="C7635"/>
      <c r="D7635"/>
      <c r="E7635" s="364"/>
      <c r="F7635"/>
    </row>
    <row r="7636" spans="1:6" x14ac:dyDescent="0.25">
      <c r="A7636" s="364"/>
      <c r="B7636"/>
      <c r="C7636"/>
      <c r="D7636"/>
      <c r="E7636" s="364"/>
      <c r="F7636"/>
    </row>
    <row r="7637" spans="1:6" x14ac:dyDescent="0.25">
      <c r="A7637" s="364"/>
      <c r="B7637"/>
      <c r="C7637"/>
      <c r="D7637"/>
      <c r="E7637" s="364"/>
      <c r="F7637"/>
    </row>
    <row r="7638" spans="1:6" x14ac:dyDescent="0.25">
      <c r="A7638" s="364"/>
      <c r="B7638"/>
      <c r="C7638"/>
      <c r="D7638"/>
      <c r="E7638" s="364"/>
      <c r="F7638"/>
    </row>
    <row r="7639" spans="1:6" x14ac:dyDescent="0.25">
      <c r="A7639" s="364"/>
      <c r="B7639"/>
      <c r="C7639"/>
      <c r="D7639"/>
      <c r="E7639" s="364"/>
      <c r="F7639"/>
    </row>
    <row r="7640" spans="1:6" x14ac:dyDescent="0.25">
      <c r="A7640" s="364"/>
      <c r="B7640"/>
      <c r="C7640"/>
      <c r="D7640"/>
      <c r="E7640" s="364"/>
      <c r="F7640"/>
    </row>
    <row r="7641" spans="1:6" x14ac:dyDescent="0.25">
      <c r="A7641" s="364"/>
      <c r="B7641"/>
      <c r="C7641"/>
      <c r="D7641"/>
      <c r="E7641" s="364"/>
      <c r="F7641"/>
    </row>
    <row r="7642" spans="1:6" x14ac:dyDescent="0.25">
      <c r="A7642" s="364"/>
      <c r="B7642"/>
      <c r="C7642"/>
      <c r="D7642"/>
      <c r="E7642" s="364"/>
      <c r="F7642"/>
    </row>
    <row r="7643" spans="1:6" x14ac:dyDescent="0.25">
      <c r="A7643" s="364"/>
      <c r="B7643"/>
      <c r="C7643"/>
      <c r="D7643"/>
      <c r="E7643" s="364"/>
      <c r="F7643"/>
    </row>
    <row r="7644" spans="1:6" x14ac:dyDescent="0.25">
      <c r="A7644" s="364"/>
      <c r="B7644"/>
      <c r="C7644"/>
      <c r="D7644"/>
      <c r="E7644" s="364"/>
      <c r="F7644"/>
    </row>
    <row r="7645" spans="1:6" x14ac:dyDescent="0.25">
      <c r="A7645" s="364"/>
      <c r="B7645"/>
      <c r="C7645"/>
      <c r="D7645"/>
      <c r="E7645" s="364"/>
      <c r="F7645"/>
    </row>
    <row r="7646" spans="1:6" x14ac:dyDescent="0.25">
      <c r="A7646" s="364"/>
      <c r="B7646"/>
      <c r="C7646"/>
      <c r="D7646"/>
      <c r="E7646" s="364"/>
      <c r="F7646"/>
    </row>
    <row r="7647" spans="1:6" x14ac:dyDescent="0.25">
      <c r="A7647" s="364"/>
      <c r="B7647"/>
      <c r="C7647"/>
      <c r="D7647"/>
      <c r="E7647" s="364"/>
      <c r="F7647"/>
    </row>
    <row r="7648" spans="1:6" x14ac:dyDescent="0.25">
      <c r="A7648" s="364"/>
      <c r="B7648"/>
      <c r="C7648"/>
      <c r="D7648"/>
      <c r="E7648" s="364"/>
      <c r="F7648"/>
    </row>
    <row r="7649" spans="1:6" x14ac:dyDescent="0.25">
      <c r="A7649" s="364"/>
      <c r="B7649"/>
      <c r="C7649"/>
      <c r="D7649"/>
      <c r="E7649" s="364"/>
      <c r="F7649"/>
    </row>
    <row r="7650" spans="1:6" x14ac:dyDescent="0.25">
      <c r="A7650" s="364"/>
      <c r="B7650"/>
      <c r="C7650"/>
      <c r="D7650"/>
      <c r="E7650" s="364"/>
      <c r="F7650"/>
    </row>
    <row r="7651" spans="1:6" x14ac:dyDescent="0.25">
      <c r="A7651" s="364"/>
      <c r="B7651"/>
      <c r="C7651"/>
      <c r="D7651"/>
      <c r="E7651" s="364"/>
      <c r="F7651"/>
    </row>
    <row r="7652" spans="1:6" x14ac:dyDescent="0.25">
      <c r="A7652" s="364"/>
      <c r="B7652"/>
      <c r="C7652"/>
      <c r="D7652"/>
      <c r="E7652" s="364"/>
      <c r="F7652"/>
    </row>
    <row r="7653" spans="1:6" x14ac:dyDescent="0.25">
      <c r="A7653" s="364"/>
      <c r="B7653"/>
      <c r="C7653"/>
      <c r="D7653"/>
      <c r="E7653" s="364"/>
      <c r="F7653"/>
    </row>
    <row r="7654" spans="1:6" x14ac:dyDescent="0.25">
      <c r="A7654" s="364"/>
      <c r="B7654"/>
      <c r="C7654"/>
      <c r="D7654"/>
      <c r="E7654" s="364"/>
      <c r="F7654"/>
    </row>
    <row r="7655" spans="1:6" x14ac:dyDescent="0.25">
      <c r="A7655" s="364"/>
      <c r="B7655"/>
      <c r="C7655"/>
      <c r="D7655"/>
      <c r="E7655" s="364"/>
      <c r="F7655"/>
    </row>
    <row r="7656" spans="1:6" x14ac:dyDescent="0.25">
      <c r="A7656" s="364"/>
      <c r="B7656"/>
      <c r="C7656"/>
      <c r="D7656"/>
      <c r="E7656" s="364"/>
      <c r="F7656"/>
    </row>
    <row r="7657" spans="1:6" x14ac:dyDescent="0.25">
      <c r="A7657" s="364"/>
      <c r="B7657"/>
      <c r="C7657"/>
      <c r="D7657"/>
      <c r="E7657" s="364"/>
      <c r="F7657"/>
    </row>
    <row r="7658" spans="1:6" x14ac:dyDescent="0.25">
      <c r="A7658" s="364"/>
      <c r="B7658"/>
      <c r="C7658"/>
      <c r="D7658"/>
      <c r="E7658" s="364"/>
      <c r="F7658"/>
    </row>
    <row r="7659" spans="1:6" x14ac:dyDescent="0.25">
      <c r="A7659" s="364"/>
      <c r="B7659"/>
      <c r="C7659"/>
      <c r="D7659"/>
      <c r="E7659" s="364"/>
      <c r="F7659"/>
    </row>
    <row r="7660" spans="1:6" x14ac:dyDescent="0.25">
      <c r="A7660" s="364"/>
      <c r="B7660"/>
      <c r="C7660"/>
      <c r="D7660"/>
      <c r="E7660" s="364"/>
      <c r="F7660"/>
    </row>
    <row r="7661" spans="1:6" x14ac:dyDescent="0.25">
      <c r="A7661" s="364"/>
      <c r="B7661"/>
      <c r="C7661"/>
      <c r="D7661"/>
      <c r="E7661" s="364"/>
      <c r="F7661"/>
    </row>
    <row r="7662" spans="1:6" x14ac:dyDescent="0.25">
      <c r="A7662" s="364"/>
      <c r="B7662"/>
      <c r="C7662"/>
      <c r="D7662"/>
      <c r="E7662" s="364"/>
      <c r="F7662"/>
    </row>
    <row r="7663" spans="1:6" x14ac:dyDescent="0.25">
      <c r="A7663" s="364"/>
      <c r="B7663"/>
      <c r="C7663"/>
      <c r="D7663"/>
      <c r="E7663" s="364"/>
      <c r="F7663"/>
    </row>
    <row r="7664" spans="1:6" x14ac:dyDescent="0.25">
      <c r="A7664" s="364"/>
      <c r="B7664"/>
      <c r="C7664"/>
      <c r="D7664"/>
      <c r="E7664" s="364"/>
      <c r="F7664"/>
    </row>
    <row r="7665" spans="1:6" x14ac:dyDescent="0.25">
      <c r="A7665" s="364"/>
      <c r="B7665"/>
      <c r="C7665"/>
      <c r="D7665"/>
      <c r="E7665" s="364"/>
      <c r="F7665"/>
    </row>
    <row r="7666" spans="1:6" x14ac:dyDescent="0.25">
      <c r="A7666" s="364"/>
      <c r="B7666"/>
      <c r="C7666"/>
      <c r="D7666"/>
      <c r="E7666" s="364"/>
      <c r="F7666"/>
    </row>
    <row r="7667" spans="1:6" x14ac:dyDescent="0.25">
      <c r="A7667" s="364"/>
      <c r="B7667"/>
      <c r="C7667"/>
      <c r="D7667"/>
      <c r="E7667" s="364"/>
      <c r="F7667"/>
    </row>
    <row r="7668" spans="1:6" x14ac:dyDescent="0.25">
      <c r="A7668" s="364"/>
      <c r="B7668"/>
      <c r="C7668"/>
      <c r="D7668"/>
      <c r="E7668" s="364"/>
      <c r="F7668"/>
    </row>
    <row r="7669" spans="1:6" x14ac:dyDescent="0.25">
      <c r="A7669" s="364"/>
      <c r="B7669"/>
      <c r="C7669"/>
      <c r="D7669"/>
      <c r="E7669" s="364"/>
      <c r="F7669"/>
    </row>
    <row r="7670" spans="1:6" x14ac:dyDescent="0.25">
      <c r="A7670" s="364"/>
      <c r="B7670"/>
      <c r="C7670"/>
      <c r="D7670"/>
      <c r="E7670" s="364"/>
      <c r="F7670"/>
    </row>
    <row r="7671" spans="1:6" x14ac:dyDescent="0.25">
      <c r="A7671" s="364"/>
      <c r="B7671"/>
      <c r="C7671"/>
      <c r="D7671"/>
      <c r="E7671" s="364"/>
      <c r="F7671"/>
    </row>
    <row r="7672" spans="1:6" x14ac:dyDescent="0.25">
      <c r="A7672" s="364"/>
      <c r="B7672"/>
      <c r="C7672"/>
      <c r="D7672"/>
      <c r="E7672" s="364"/>
      <c r="F7672"/>
    </row>
    <row r="7673" spans="1:6" x14ac:dyDescent="0.25">
      <c r="A7673" s="364"/>
      <c r="B7673"/>
      <c r="C7673"/>
      <c r="D7673"/>
      <c r="E7673" s="364"/>
      <c r="F7673"/>
    </row>
    <row r="7674" spans="1:6" x14ac:dyDescent="0.25">
      <c r="A7674" s="364"/>
      <c r="B7674"/>
      <c r="C7674"/>
      <c r="D7674"/>
      <c r="E7674" s="364"/>
      <c r="F7674"/>
    </row>
    <row r="7675" spans="1:6" x14ac:dyDescent="0.25">
      <c r="A7675" s="364"/>
      <c r="B7675"/>
      <c r="C7675"/>
      <c r="D7675"/>
      <c r="E7675" s="364"/>
      <c r="F7675"/>
    </row>
    <row r="7676" spans="1:6" x14ac:dyDescent="0.25">
      <c r="A7676" s="364"/>
      <c r="B7676"/>
      <c r="C7676"/>
      <c r="D7676"/>
      <c r="E7676" s="364"/>
      <c r="F7676"/>
    </row>
    <row r="7677" spans="1:6" x14ac:dyDescent="0.25">
      <c r="A7677" s="364"/>
      <c r="B7677"/>
      <c r="C7677"/>
      <c r="D7677"/>
      <c r="E7677" s="364"/>
      <c r="F7677"/>
    </row>
    <row r="7678" spans="1:6" x14ac:dyDescent="0.25">
      <c r="A7678" s="364"/>
      <c r="B7678"/>
      <c r="C7678"/>
      <c r="D7678"/>
      <c r="E7678" s="364"/>
      <c r="F7678"/>
    </row>
    <row r="7679" spans="1:6" x14ac:dyDescent="0.25">
      <c r="A7679" s="364"/>
      <c r="B7679"/>
      <c r="C7679"/>
      <c r="D7679"/>
      <c r="E7679" s="364"/>
      <c r="F7679"/>
    </row>
    <row r="7680" spans="1:6" x14ac:dyDescent="0.25">
      <c r="A7680" s="364"/>
      <c r="B7680"/>
      <c r="C7680"/>
      <c r="D7680"/>
      <c r="E7680" s="364"/>
      <c r="F7680"/>
    </row>
    <row r="7681" spans="1:6" x14ac:dyDescent="0.25">
      <c r="A7681" s="364"/>
      <c r="B7681"/>
      <c r="C7681"/>
      <c r="D7681"/>
      <c r="E7681" s="364"/>
      <c r="F7681"/>
    </row>
    <row r="7682" spans="1:6" x14ac:dyDescent="0.25">
      <c r="A7682" s="364"/>
      <c r="B7682"/>
      <c r="C7682"/>
      <c r="D7682"/>
      <c r="E7682" s="364"/>
      <c r="F7682"/>
    </row>
    <row r="7683" spans="1:6" x14ac:dyDescent="0.25">
      <c r="A7683" s="364"/>
      <c r="B7683"/>
      <c r="C7683"/>
      <c r="D7683"/>
      <c r="E7683" s="364"/>
      <c r="F7683"/>
    </row>
    <row r="7684" spans="1:6" x14ac:dyDescent="0.25">
      <c r="A7684" s="364"/>
      <c r="B7684"/>
      <c r="C7684"/>
      <c r="D7684"/>
      <c r="E7684" s="364"/>
      <c r="F7684"/>
    </row>
    <row r="7685" spans="1:6" x14ac:dyDescent="0.25">
      <c r="A7685" s="364"/>
      <c r="B7685"/>
      <c r="C7685"/>
      <c r="D7685"/>
      <c r="E7685" s="364"/>
      <c r="F7685"/>
    </row>
    <row r="7686" spans="1:6" x14ac:dyDescent="0.25">
      <c r="A7686" s="364"/>
      <c r="B7686"/>
      <c r="C7686"/>
      <c r="D7686"/>
      <c r="E7686" s="364"/>
      <c r="F7686"/>
    </row>
    <row r="7687" spans="1:6" x14ac:dyDescent="0.25">
      <c r="A7687" s="364"/>
      <c r="B7687"/>
      <c r="C7687"/>
      <c r="D7687"/>
      <c r="E7687" s="364"/>
      <c r="F7687"/>
    </row>
    <row r="7688" spans="1:6" x14ac:dyDescent="0.25">
      <c r="A7688" s="364"/>
      <c r="B7688"/>
      <c r="C7688"/>
      <c r="D7688"/>
      <c r="E7688" s="364"/>
      <c r="F7688"/>
    </row>
    <row r="7689" spans="1:6" x14ac:dyDescent="0.25">
      <c r="A7689" s="364"/>
      <c r="B7689"/>
      <c r="C7689"/>
      <c r="D7689"/>
      <c r="E7689" s="364"/>
      <c r="F7689"/>
    </row>
    <row r="7690" spans="1:6" x14ac:dyDescent="0.25">
      <c r="A7690" s="364"/>
      <c r="B7690"/>
      <c r="C7690"/>
      <c r="D7690"/>
      <c r="E7690" s="364"/>
      <c r="F7690"/>
    </row>
    <row r="7691" spans="1:6" x14ac:dyDescent="0.25">
      <c r="A7691" s="364"/>
      <c r="B7691"/>
      <c r="C7691"/>
      <c r="D7691"/>
      <c r="E7691" s="364"/>
      <c r="F7691"/>
    </row>
    <row r="7692" spans="1:6" x14ac:dyDescent="0.25">
      <c r="A7692" s="364"/>
      <c r="B7692"/>
      <c r="C7692"/>
      <c r="D7692"/>
      <c r="E7692" s="364"/>
      <c r="F7692"/>
    </row>
    <row r="7693" spans="1:6" x14ac:dyDescent="0.25">
      <c r="A7693" s="364"/>
      <c r="B7693"/>
      <c r="C7693"/>
      <c r="D7693"/>
      <c r="E7693" s="364"/>
      <c r="F7693"/>
    </row>
    <row r="7694" spans="1:6" x14ac:dyDescent="0.25">
      <c r="A7694" s="364"/>
      <c r="B7694"/>
      <c r="C7694"/>
      <c r="D7694"/>
      <c r="E7694" s="364"/>
      <c r="F7694"/>
    </row>
    <row r="7695" spans="1:6" x14ac:dyDescent="0.25">
      <c r="A7695" s="364"/>
      <c r="B7695"/>
      <c r="C7695"/>
      <c r="D7695"/>
      <c r="E7695" s="364"/>
      <c r="F7695"/>
    </row>
    <row r="7696" spans="1:6" x14ac:dyDescent="0.25">
      <c r="A7696" s="364"/>
      <c r="B7696"/>
      <c r="C7696"/>
      <c r="D7696"/>
      <c r="E7696" s="364"/>
      <c r="F7696"/>
    </row>
    <row r="7697" spans="1:6" x14ac:dyDescent="0.25">
      <c r="A7697" s="364"/>
      <c r="B7697"/>
      <c r="C7697"/>
      <c r="D7697"/>
      <c r="E7697" s="364"/>
      <c r="F7697"/>
    </row>
    <row r="7698" spans="1:6" x14ac:dyDescent="0.25">
      <c r="A7698" s="364"/>
      <c r="B7698"/>
      <c r="C7698"/>
      <c r="D7698"/>
      <c r="E7698" s="364"/>
      <c r="F7698"/>
    </row>
    <row r="7699" spans="1:6" x14ac:dyDescent="0.25">
      <c r="A7699" s="364"/>
      <c r="B7699"/>
      <c r="C7699"/>
      <c r="D7699"/>
      <c r="E7699" s="364"/>
      <c r="F7699"/>
    </row>
    <row r="7700" spans="1:6" x14ac:dyDescent="0.25">
      <c r="A7700" s="364"/>
      <c r="B7700"/>
      <c r="C7700"/>
      <c r="D7700"/>
      <c r="E7700" s="364"/>
      <c r="F7700"/>
    </row>
    <row r="7701" spans="1:6" x14ac:dyDescent="0.25">
      <c r="A7701" s="364"/>
      <c r="B7701"/>
      <c r="C7701"/>
      <c r="D7701"/>
      <c r="E7701" s="364"/>
      <c r="F7701"/>
    </row>
    <row r="7702" spans="1:6" x14ac:dyDescent="0.25">
      <c r="A7702" s="364"/>
      <c r="B7702"/>
      <c r="C7702"/>
      <c r="D7702"/>
      <c r="E7702" s="364"/>
      <c r="F7702"/>
    </row>
    <row r="7703" spans="1:6" x14ac:dyDescent="0.25">
      <c r="A7703" s="364"/>
      <c r="B7703"/>
      <c r="C7703"/>
      <c r="D7703"/>
      <c r="E7703" s="364"/>
      <c r="F7703"/>
    </row>
    <row r="7704" spans="1:6" x14ac:dyDescent="0.25">
      <c r="A7704" s="364"/>
      <c r="B7704"/>
      <c r="C7704"/>
      <c r="D7704"/>
      <c r="E7704" s="364"/>
      <c r="F7704"/>
    </row>
    <row r="7705" spans="1:6" x14ac:dyDescent="0.25">
      <c r="A7705" s="364"/>
      <c r="B7705"/>
      <c r="C7705"/>
      <c r="D7705"/>
      <c r="E7705" s="364"/>
      <c r="F7705"/>
    </row>
    <row r="7706" spans="1:6" x14ac:dyDescent="0.25">
      <c r="A7706" s="364"/>
      <c r="B7706"/>
      <c r="C7706"/>
      <c r="D7706"/>
      <c r="E7706" s="364"/>
      <c r="F7706"/>
    </row>
    <row r="7707" spans="1:6" x14ac:dyDescent="0.25">
      <c r="A7707" s="364"/>
      <c r="B7707"/>
      <c r="C7707"/>
      <c r="D7707"/>
      <c r="E7707" s="364"/>
      <c r="F7707"/>
    </row>
    <row r="7708" spans="1:6" x14ac:dyDescent="0.25">
      <c r="A7708" s="364"/>
      <c r="B7708"/>
      <c r="C7708"/>
      <c r="D7708"/>
      <c r="E7708" s="364"/>
      <c r="F7708"/>
    </row>
    <row r="7709" spans="1:6" x14ac:dyDescent="0.25">
      <c r="A7709" s="364"/>
      <c r="B7709"/>
      <c r="C7709"/>
      <c r="D7709"/>
      <c r="E7709" s="364"/>
      <c r="F7709"/>
    </row>
    <row r="7710" spans="1:6" x14ac:dyDescent="0.25">
      <c r="A7710" s="364"/>
      <c r="B7710"/>
      <c r="C7710"/>
      <c r="D7710"/>
      <c r="E7710" s="364"/>
      <c r="F7710"/>
    </row>
    <row r="7711" spans="1:6" x14ac:dyDescent="0.25">
      <c r="A7711" s="364"/>
      <c r="B7711"/>
      <c r="C7711"/>
      <c r="D7711"/>
      <c r="E7711" s="364"/>
      <c r="F7711"/>
    </row>
    <row r="7712" spans="1:6" x14ac:dyDescent="0.25">
      <c r="A7712" s="364"/>
      <c r="B7712"/>
      <c r="C7712"/>
      <c r="D7712"/>
      <c r="E7712" s="364"/>
      <c r="F7712"/>
    </row>
    <row r="7713" spans="1:6" x14ac:dyDescent="0.25">
      <c r="A7713" s="364"/>
      <c r="B7713"/>
      <c r="C7713"/>
      <c r="D7713"/>
      <c r="E7713" s="364"/>
      <c r="F7713"/>
    </row>
    <row r="7714" spans="1:6" x14ac:dyDescent="0.25">
      <c r="A7714" s="364"/>
      <c r="B7714"/>
      <c r="C7714"/>
      <c r="D7714"/>
      <c r="E7714" s="364"/>
      <c r="F7714"/>
    </row>
    <row r="7715" spans="1:6" x14ac:dyDescent="0.25">
      <c r="A7715" s="364"/>
      <c r="B7715"/>
      <c r="C7715"/>
      <c r="D7715"/>
      <c r="E7715" s="364"/>
      <c r="F7715"/>
    </row>
    <row r="7716" spans="1:6" x14ac:dyDescent="0.25">
      <c r="A7716" s="364"/>
      <c r="B7716"/>
      <c r="C7716"/>
      <c r="D7716"/>
      <c r="E7716" s="364"/>
      <c r="F7716"/>
    </row>
    <row r="7717" spans="1:6" x14ac:dyDescent="0.25">
      <c r="A7717" s="364"/>
      <c r="B7717"/>
      <c r="C7717"/>
      <c r="D7717"/>
      <c r="E7717" s="364"/>
      <c r="F7717"/>
    </row>
    <row r="7718" spans="1:6" x14ac:dyDescent="0.25">
      <c r="A7718" s="364"/>
      <c r="B7718"/>
      <c r="C7718"/>
      <c r="D7718"/>
      <c r="E7718" s="364"/>
      <c r="F7718"/>
    </row>
    <row r="7719" spans="1:6" x14ac:dyDescent="0.25">
      <c r="A7719" s="364"/>
      <c r="B7719"/>
      <c r="C7719"/>
      <c r="D7719"/>
      <c r="E7719" s="364"/>
      <c r="F7719"/>
    </row>
    <row r="7720" spans="1:6" x14ac:dyDescent="0.25">
      <c r="A7720" s="364"/>
      <c r="B7720"/>
      <c r="C7720"/>
      <c r="D7720"/>
      <c r="E7720" s="364"/>
      <c r="F7720"/>
    </row>
    <row r="7721" spans="1:6" x14ac:dyDescent="0.25">
      <c r="A7721" s="364"/>
      <c r="B7721"/>
      <c r="C7721"/>
      <c r="D7721"/>
      <c r="E7721" s="364"/>
      <c r="F7721"/>
    </row>
    <row r="7722" spans="1:6" x14ac:dyDescent="0.25">
      <c r="A7722" s="364"/>
      <c r="B7722"/>
      <c r="C7722"/>
      <c r="D7722"/>
      <c r="E7722" s="364"/>
      <c r="F7722"/>
    </row>
    <row r="7723" spans="1:6" x14ac:dyDescent="0.25">
      <c r="A7723" s="364"/>
      <c r="B7723"/>
      <c r="C7723"/>
      <c r="D7723"/>
      <c r="E7723" s="364"/>
      <c r="F7723"/>
    </row>
    <row r="7724" spans="1:6" x14ac:dyDescent="0.25">
      <c r="A7724" s="364"/>
      <c r="B7724"/>
      <c r="C7724"/>
      <c r="D7724"/>
      <c r="E7724" s="364"/>
      <c r="F7724"/>
    </row>
    <row r="7725" spans="1:6" x14ac:dyDescent="0.25">
      <c r="A7725" s="364"/>
      <c r="B7725"/>
      <c r="C7725"/>
      <c r="D7725"/>
      <c r="E7725" s="364"/>
      <c r="F7725"/>
    </row>
    <row r="7726" spans="1:6" x14ac:dyDescent="0.25">
      <c r="A7726" s="364"/>
      <c r="B7726"/>
      <c r="C7726"/>
      <c r="D7726"/>
      <c r="E7726" s="364"/>
      <c r="F7726"/>
    </row>
    <row r="7727" spans="1:6" x14ac:dyDescent="0.25">
      <c r="A7727" s="364"/>
      <c r="B7727"/>
      <c r="C7727"/>
      <c r="D7727"/>
      <c r="E7727" s="364"/>
      <c r="F7727"/>
    </row>
    <row r="7728" spans="1:6" x14ac:dyDescent="0.25">
      <c r="A7728" s="364"/>
      <c r="B7728"/>
      <c r="C7728"/>
      <c r="D7728"/>
      <c r="E7728" s="364"/>
      <c r="F7728"/>
    </row>
    <row r="7729" spans="1:6" x14ac:dyDescent="0.25">
      <c r="A7729" s="364"/>
      <c r="B7729"/>
      <c r="C7729"/>
      <c r="D7729"/>
      <c r="E7729" s="364"/>
      <c r="F7729"/>
    </row>
    <row r="7730" spans="1:6" x14ac:dyDescent="0.25">
      <c r="A7730" s="364"/>
      <c r="B7730"/>
      <c r="C7730"/>
      <c r="D7730"/>
      <c r="E7730" s="364"/>
      <c r="F7730"/>
    </row>
    <row r="7731" spans="1:6" x14ac:dyDescent="0.25">
      <c r="A7731" s="364"/>
      <c r="B7731"/>
      <c r="C7731"/>
      <c r="D7731"/>
      <c r="E7731" s="364"/>
      <c r="F7731"/>
    </row>
    <row r="7732" spans="1:6" x14ac:dyDescent="0.25">
      <c r="A7732" s="364"/>
      <c r="B7732"/>
      <c r="C7732"/>
      <c r="D7732"/>
      <c r="E7732" s="364"/>
      <c r="F7732"/>
    </row>
    <row r="7733" spans="1:6" x14ac:dyDescent="0.25">
      <c r="A7733" s="364"/>
      <c r="B7733"/>
      <c r="C7733"/>
      <c r="D7733"/>
      <c r="E7733" s="364"/>
      <c r="F7733"/>
    </row>
    <row r="7734" spans="1:6" x14ac:dyDescent="0.25">
      <c r="A7734" s="364"/>
      <c r="B7734"/>
      <c r="C7734"/>
      <c r="D7734"/>
      <c r="E7734" s="364"/>
      <c r="F7734"/>
    </row>
    <row r="7735" spans="1:6" x14ac:dyDescent="0.25">
      <c r="A7735" s="364"/>
      <c r="B7735"/>
      <c r="C7735"/>
      <c r="D7735"/>
      <c r="E7735" s="364"/>
      <c r="F7735"/>
    </row>
    <row r="7736" spans="1:6" x14ac:dyDescent="0.25">
      <c r="A7736" s="364"/>
      <c r="B7736"/>
      <c r="C7736"/>
      <c r="D7736"/>
      <c r="E7736" s="364"/>
      <c r="F7736"/>
    </row>
    <row r="7737" spans="1:6" x14ac:dyDescent="0.25">
      <c r="A7737" s="364"/>
      <c r="B7737"/>
      <c r="C7737"/>
      <c r="D7737"/>
      <c r="E7737" s="364"/>
      <c r="F7737"/>
    </row>
    <row r="7738" spans="1:6" x14ac:dyDescent="0.25">
      <c r="A7738" s="364"/>
      <c r="B7738"/>
      <c r="C7738"/>
      <c r="D7738"/>
      <c r="E7738" s="364"/>
      <c r="F7738"/>
    </row>
    <row r="7739" spans="1:6" x14ac:dyDescent="0.25">
      <c r="A7739" s="364"/>
      <c r="B7739"/>
      <c r="C7739"/>
      <c r="D7739"/>
      <c r="E7739" s="364"/>
      <c r="F7739"/>
    </row>
    <row r="7740" spans="1:6" x14ac:dyDescent="0.25">
      <c r="A7740" s="364"/>
      <c r="B7740"/>
      <c r="C7740"/>
      <c r="D7740"/>
      <c r="E7740" s="364"/>
      <c r="F7740"/>
    </row>
    <row r="7741" spans="1:6" x14ac:dyDescent="0.25">
      <c r="A7741" s="364"/>
      <c r="B7741"/>
      <c r="C7741"/>
      <c r="D7741"/>
      <c r="E7741" s="364"/>
      <c r="F7741"/>
    </row>
    <row r="7742" spans="1:6" x14ac:dyDescent="0.25">
      <c r="A7742" s="364"/>
      <c r="B7742"/>
      <c r="C7742"/>
      <c r="D7742"/>
      <c r="E7742" s="364"/>
      <c r="F7742"/>
    </row>
    <row r="7743" spans="1:6" x14ac:dyDescent="0.25">
      <c r="A7743" s="364"/>
      <c r="B7743"/>
      <c r="C7743"/>
      <c r="D7743"/>
      <c r="E7743" s="364"/>
      <c r="F7743"/>
    </row>
    <row r="7744" spans="1:6" x14ac:dyDescent="0.25">
      <c r="A7744" s="364"/>
      <c r="B7744"/>
      <c r="C7744"/>
      <c r="D7744"/>
      <c r="E7744" s="364"/>
      <c r="F7744"/>
    </row>
    <row r="7745" spans="1:6" x14ac:dyDescent="0.25">
      <c r="A7745" s="364"/>
      <c r="B7745"/>
      <c r="C7745"/>
      <c r="D7745"/>
      <c r="E7745" s="364"/>
      <c r="F7745"/>
    </row>
    <row r="7746" spans="1:6" x14ac:dyDescent="0.25">
      <c r="A7746" s="364"/>
      <c r="B7746"/>
      <c r="C7746"/>
      <c r="D7746"/>
      <c r="E7746" s="364"/>
      <c r="F7746"/>
    </row>
    <row r="7747" spans="1:6" x14ac:dyDescent="0.25">
      <c r="A7747" s="364"/>
      <c r="B7747"/>
      <c r="C7747"/>
      <c r="D7747"/>
      <c r="E7747" s="364"/>
      <c r="F7747"/>
    </row>
    <row r="7748" spans="1:6" x14ac:dyDescent="0.25">
      <c r="A7748" s="364"/>
      <c r="B7748"/>
      <c r="C7748"/>
      <c r="D7748"/>
      <c r="E7748" s="364"/>
      <c r="F7748"/>
    </row>
    <row r="7749" spans="1:6" x14ac:dyDescent="0.25">
      <c r="A7749" s="364"/>
      <c r="B7749"/>
      <c r="C7749"/>
      <c r="D7749"/>
      <c r="E7749" s="364"/>
      <c r="F7749"/>
    </row>
    <row r="7750" spans="1:6" x14ac:dyDescent="0.25">
      <c r="A7750" s="364"/>
      <c r="B7750"/>
      <c r="C7750"/>
      <c r="D7750"/>
      <c r="E7750" s="364"/>
      <c r="F7750"/>
    </row>
    <row r="7751" spans="1:6" x14ac:dyDescent="0.25">
      <c r="A7751" s="364"/>
      <c r="B7751"/>
      <c r="C7751"/>
      <c r="D7751"/>
      <c r="E7751" s="364"/>
      <c r="F7751"/>
    </row>
    <row r="7752" spans="1:6" x14ac:dyDescent="0.25">
      <c r="A7752" s="364"/>
      <c r="B7752"/>
      <c r="C7752"/>
      <c r="D7752"/>
      <c r="E7752" s="364"/>
      <c r="F7752"/>
    </row>
    <row r="7753" spans="1:6" x14ac:dyDescent="0.25">
      <c r="A7753" s="364"/>
      <c r="B7753"/>
      <c r="C7753"/>
      <c r="D7753"/>
      <c r="E7753" s="364"/>
      <c r="F7753"/>
    </row>
    <row r="7754" spans="1:6" x14ac:dyDescent="0.25">
      <c r="A7754" s="364"/>
      <c r="B7754"/>
      <c r="C7754"/>
      <c r="D7754"/>
      <c r="E7754" s="364"/>
      <c r="F7754"/>
    </row>
    <row r="7755" spans="1:6" x14ac:dyDescent="0.25">
      <c r="A7755" s="364"/>
      <c r="B7755"/>
      <c r="C7755"/>
      <c r="D7755"/>
      <c r="E7755" s="364"/>
      <c r="F7755"/>
    </row>
    <row r="7756" spans="1:6" x14ac:dyDescent="0.25">
      <c r="A7756" s="364"/>
      <c r="B7756"/>
      <c r="C7756"/>
      <c r="D7756"/>
      <c r="E7756" s="364"/>
      <c r="F7756"/>
    </row>
    <row r="7757" spans="1:6" x14ac:dyDescent="0.25">
      <c r="A7757" s="364"/>
      <c r="B7757"/>
      <c r="C7757"/>
      <c r="D7757"/>
      <c r="E7757" s="364"/>
      <c r="F7757"/>
    </row>
    <row r="7758" spans="1:6" x14ac:dyDescent="0.25">
      <c r="A7758" s="364"/>
      <c r="B7758"/>
      <c r="C7758"/>
      <c r="D7758"/>
      <c r="E7758" s="364"/>
      <c r="F7758"/>
    </row>
    <row r="7759" spans="1:6" x14ac:dyDescent="0.25">
      <c r="A7759" s="364"/>
      <c r="B7759"/>
      <c r="C7759"/>
      <c r="D7759"/>
      <c r="E7759" s="364"/>
      <c r="F7759"/>
    </row>
    <row r="7760" spans="1:6" x14ac:dyDescent="0.25">
      <c r="A7760" s="364"/>
      <c r="B7760"/>
      <c r="C7760"/>
      <c r="D7760"/>
      <c r="E7760" s="364"/>
      <c r="F7760"/>
    </row>
    <row r="7761" spans="1:6" x14ac:dyDescent="0.25">
      <c r="A7761" s="364"/>
      <c r="B7761"/>
      <c r="C7761"/>
      <c r="D7761"/>
      <c r="E7761" s="364"/>
      <c r="F7761"/>
    </row>
    <row r="7762" spans="1:6" x14ac:dyDescent="0.25">
      <c r="A7762" s="364"/>
      <c r="B7762"/>
      <c r="C7762"/>
      <c r="D7762"/>
      <c r="E7762" s="364"/>
      <c r="F7762"/>
    </row>
    <row r="7763" spans="1:6" x14ac:dyDescent="0.25">
      <c r="A7763" s="364"/>
      <c r="B7763"/>
      <c r="C7763"/>
      <c r="D7763"/>
      <c r="E7763" s="364"/>
      <c r="F7763"/>
    </row>
    <row r="7764" spans="1:6" x14ac:dyDescent="0.25">
      <c r="A7764" s="364"/>
      <c r="B7764"/>
      <c r="C7764"/>
      <c r="D7764"/>
      <c r="E7764" s="364"/>
      <c r="F7764"/>
    </row>
    <row r="7765" spans="1:6" x14ac:dyDescent="0.25">
      <c r="A7765" s="364"/>
      <c r="B7765"/>
      <c r="C7765"/>
      <c r="D7765"/>
      <c r="E7765" s="364"/>
      <c r="F7765"/>
    </row>
    <row r="7766" spans="1:6" x14ac:dyDescent="0.25">
      <c r="A7766" s="364"/>
      <c r="B7766"/>
      <c r="C7766"/>
      <c r="D7766"/>
      <c r="E7766" s="364"/>
      <c r="F7766"/>
    </row>
    <row r="7767" spans="1:6" x14ac:dyDescent="0.25">
      <c r="A7767" s="364"/>
      <c r="B7767"/>
      <c r="C7767"/>
      <c r="D7767"/>
      <c r="E7767" s="364"/>
      <c r="F7767"/>
    </row>
    <row r="7768" spans="1:6" x14ac:dyDescent="0.25">
      <c r="A7768" s="364"/>
      <c r="B7768"/>
      <c r="C7768"/>
      <c r="D7768"/>
      <c r="E7768" s="364"/>
      <c r="F7768"/>
    </row>
    <row r="7769" spans="1:6" x14ac:dyDescent="0.25">
      <c r="A7769" s="364"/>
      <c r="B7769"/>
      <c r="C7769"/>
      <c r="D7769"/>
      <c r="E7769" s="364"/>
      <c r="F7769"/>
    </row>
    <row r="7770" spans="1:6" x14ac:dyDescent="0.25">
      <c r="A7770" s="364"/>
      <c r="B7770"/>
      <c r="C7770"/>
      <c r="D7770"/>
      <c r="E7770" s="364"/>
      <c r="F7770"/>
    </row>
    <row r="7771" spans="1:6" x14ac:dyDescent="0.25">
      <c r="A7771" s="364"/>
      <c r="B7771"/>
      <c r="C7771"/>
      <c r="D7771"/>
      <c r="E7771" s="364"/>
      <c r="F7771"/>
    </row>
    <row r="7772" spans="1:6" x14ac:dyDescent="0.25">
      <c r="A7772" s="364"/>
      <c r="B7772"/>
      <c r="C7772"/>
      <c r="D7772"/>
      <c r="E7772" s="364"/>
      <c r="F7772"/>
    </row>
    <row r="7773" spans="1:6" x14ac:dyDescent="0.25">
      <c r="A7773" s="364"/>
      <c r="B7773"/>
      <c r="C7773"/>
      <c r="D7773"/>
      <c r="E7773" s="364"/>
      <c r="F7773"/>
    </row>
    <row r="7774" spans="1:6" x14ac:dyDescent="0.25">
      <c r="A7774" s="364"/>
      <c r="B7774"/>
      <c r="C7774"/>
      <c r="D7774"/>
      <c r="E7774" s="364"/>
      <c r="F7774"/>
    </row>
    <row r="7775" spans="1:6" x14ac:dyDescent="0.25">
      <c r="A7775" s="364"/>
      <c r="B7775"/>
      <c r="C7775"/>
      <c r="D7775"/>
      <c r="E7775" s="364"/>
      <c r="F7775"/>
    </row>
    <row r="7776" spans="1:6" x14ac:dyDescent="0.25">
      <c r="A7776" s="364"/>
      <c r="B7776"/>
      <c r="C7776"/>
      <c r="D7776"/>
      <c r="E7776" s="364"/>
      <c r="F7776"/>
    </row>
    <row r="7777" spans="1:6" x14ac:dyDescent="0.25">
      <c r="A7777" s="364"/>
      <c r="B7777"/>
      <c r="C7777"/>
      <c r="D7777"/>
      <c r="E7777" s="364"/>
      <c r="F7777"/>
    </row>
    <row r="7778" spans="1:6" x14ac:dyDescent="0.25">
      <c r="A7778" s="364"/>
      <c r="B7778"/>
      <c r="C7778"/>
      <c r="D7778"/>
      <c r="E7778" s="364"/>
      <c r="F7778"/>
    </row>
    <row r="7779" spans="1:6" x14ac:dyDescent="0.25">
      <c r="A7779" s="364"/>
      <c r="B7779"/>
      <c r="C7779"/>
      <c r="D7779"/>
      <c r="E7779" s="364"/>
      <c r="F7779"/>
    </row>
    <row r="7780" spans="1:6" x14ac:dyDescent="0.25">
      <c r="A7780" s="364"/>
      <c r="B7780"/>
      <c r="C7780"/>
      <c r="D7780"/>
      <c r="E7780" s="364"/>
      <c r="F7780"/>
    </row>
    <row r="7781" spans="1:6" x14ac:dyDescent="0.25">
      <c r="A7781" s="364"/>
      <c r="B7781"/>
      <c r="C7781"/>
      <c r="D7781"/>
      <c r="E7781" s="364"/>
      <c r="F7781"/>
    </row>
    <row r="7782" spans="1:6" x14ac:dyDescent="0.25">
      <c r="A7782" s="364"/>
      <c r="B7782"/>
      <c r="C7782"/>
      <c r="D7782"/>
      <c r="E7782" s="364"/>
      <c r="F7782"/>
    </row>
    <row r="7783" spans="1:6" x14ac:dyDescent="0.25">
      <c r="A7783" s="364"/>
      <c r="B7783"/>
      <c r="C7783"/>
      <c r="D7783"/>
      <c r="E7783" s="364"/>
      <c r="F7783"/>
    </row>
    <row r="7784" spans="1:6" x14ac:dyDescent="0.25">
      <c r="A7784" s="364"/>
      <c r="B7784"/>
      <c r="C7784"/>
      <c r="D7784"/>
      <c r="E7784" s="364"/>
      <c r="F7784"/>
    </row>
    <row r="7785" spans="1:6" x14ac:dyDescent="0.25">
      <c r="A7785" s="364"/>
      <c r="B7785"/>
      <c r="C7785"/>
      <c r="D7785"/>
      <c r="E7785" s="364"/>
      <c r="F7785"/>
    </row>
    <row r="7786" spans="1:6" x14ac:dyDescent="0.25">
      <c r="A7786" s="364"/>
      <c r="B7786"/>
      <c r="C7786"/>
      <c r="D7786"/>
      <c r="E7786" s="364"/>
      <c r="F7786"/>
    </row>
    <row r="7787" spans="1:6" x14ac:dyDescent="0.25">
      <c r="A7787" s="364"/>
      <c r="B7787"/>
      <c r="C7787"/>
      <c r="D7787"/>
      <c r="E7787" s="364"/>
      <c r="F7787"/>
    </row>
    <row r="7788" spans="1:6" x14ac:dyDescent="0.25">
      <c r="A7788" s="364"/>
      <c r="B7788"/>
      <c r="C7788"/>
      <c r="D7788"/>
      <c r="E7788" s="364"/>
      <c r="F7788"/>
    </row>
    <row r="7789" spans="1:6" x14ac:dyDescent="0.25">
      <c r="A7789" s="364"/>
      <c r="B7789"/>
      <c r="C7789"/>
      <c r="D7789"/>
      <c r="E7789" s="364"/>
      <c r="F7789"/>
    </row>
    <row r="7790" spans="1:6" x14ac:dyDescent="0.25">
      <c r="A7790" s="364"/>
      <c r="B7790"/>
      <c r="C7790"/>
      <c r="D7790"/>
      <c r="E7790" s="364"/>
      <c r="F7790"/>
    </row>
    <row r="7791" spans="1:6" x14ac:dyDescent="0.25">
      <c r="A7791" s="364"/>
      <c r="B7791"/>
      <c r="C7791"/>
      <c r="D7791"/>
      <c r="E7791" s="364"/>
      <c r="F7791"/>
    </row>
    <row r="7792" spans="1:6" x14ac:dyDescent="0.25">
      <c r="A7792" s="364"/>
      <c r="B7792"/>
      <c r="C7792"/>
      <c r="D7792"/>
      <c r="E7792" s="364"/>
      <c r="F7792"/>
    </row>
    <row r="7793" spans="1:6" x14ac:dyDescent="0.25">
      <c r="A7793" s="364"/>
      <c r="B7793"/>
      <c r="C7793"/>
      <c r="D7793"/>
      <c r="E7793" s="364"/>
      <c r="F7793"/>
    </row>
    <row r="7794" spans="1:6" x14ac:dyDescent="0.25">
      <c r="A7794" s="364"/>
      <c r="B7794"/>
      <c r="C7794"/>
      <c r="D7794"/>
      <c r="E7794" s="364"/>
      <c r="F7794"/>
    </row>
    <row r="7795" spans="1:6" x14ac:dyDescent="0.25">
      <c r="A7795" s="364"/>
      <c r="B7795"/>
      <c r="C7795"/>
      <c r="D7795"/>
      <c r="E7795" s="364"/>
      <c r="F7795"/>
    </row>
    <row r="7796" spans="1:6" x14ac:dyDescent="0.25">
      <c r="A7796" s="364"/>
      <c r="B7796"/>
      <c r="C7796"/>
      <c r="D7796"/>
      <c r="E7796" s="364"/>
      <c r="F7796"/>
    </row>
    <row r="7797" spans="1:6" x14ac:dyDescent="0.25">
      <c r="A7797" s="364"/>
      <c r="B7797"/>
      <c r="C7797"/>
      <c r="D7797"/>
      <c r="E7797" s="364"/>
      <c r="F7797"/>
    </row>
    <row r="7798" spans="1:6" x14ac:dyDescent="0.25">
      <c r="A7798" s="364"/>
      <c r="B7798"/>
      <c r="C7798"/>
      <c r="D7798"/>
      <c r="E7798" s="364"/>
      <c r="F7798"/>
    </row>
    <row r="7799" spans="1:6" x14ac:dyDescent="0.25">
      <c r="A7799" s="364"/>
      <c r="B7799"/>
      <c r="C7799"/>
      <c r="D7799"/>
      <c r="E7799" s="364"/>
      <c r="F7799"/>
    </row>
    <row r="7800" spans="1:6" x14ac:dyDescent="0.25">
      <c r="A7800" s="364"/>
      <c r="B7800"/>
      <c r="C7800"/>
      <c r="D7800"/>
      <c r="E7800" s="364"/>
      <c r="F7800"/>
    </row>
    <row r="7801" spans="1:6" x14ac:dyDescent="0.25">
      <c r="A7801" s="364"/>
      <c r="B7801"/>
      <c r="C7801"/>
      <c r="D7801"/>
      <c r="E7801" s="364"/>
      <c r="F7801"/>
    </row>
    <row r="7802" spans="1:6" x14ac:dyDescent="0.25">
      <c r="A7802" s="364"/>
      <c r="B7802"/>
      <c r="C7802"/>
      <c r="D7802"/>
      <c r="E7802" s="364"/>
      <c r="F7802"/>
    </row>
    <row r="7803" spans="1:6" x14ac:dyDescent="0.25">
      <c r="A7803" s="364"/>
      <c r="B7803"/>
      <c r="C7803"/>
      <c r="D7803"/>
      <c r="E7803" s="364"/>
      <c r="F7803"/>
    </row>
    <row r="7804" spans="1:6" x14ac:dyDescent="0.25">
      <c r="A7804" s="364"/>
      <c r="B7804"/>
      <c r="C7804"/>
      <c r="D7804"/>
      <c r="E7804" s="364"/>
      <c r="F7804"/>
    </row>
    <row r="7805" spans="1:6" x14ac:dyDescent="0.25">
      <c r="A7805" s="364"/>
      <c r="B7805"/>
      <c r="C7805"/>
      <c r="D7805"/>
      <c r="E7805" s="364"/>
      <c r="F7805"/>
    </row>
    <row r="7806" spans="1:6" x14ac:dyDescent="0.25">
      <c r="A7806" s="364"/>
      <c r="B7806"/>
      <c r="C7806"/>
      <c r="D7806"/>
      <c r="E7806" s="364"/>
      <c r="F7806"/>
    </row>
    <row r="7807" spans="1:6" x14ac:dyDescent="0.25">
      <c r="A7807" s="364"/>
      <c r="B7807"/>
      <c r="C7807"/>
      <c r="D7807"/>
      <c r="E7807" s="364"/>
      <c r="F7807"/>
    </row>
    <row r="7808" spans="1:6" x14ac:dyDescent="0.25">
      <c r="A7808" s="364"/>
      <c r="B7808"/>
      <c r="C7808"/>
      <c r="D7808"/>
      <c r="E7808" s="364"/>
      <c r="F7808"/>
    </row>
    <row r="7809" spans="1:6" x14ac:dyDescent="0.25">
      <c r="A7809" s="364"/>
      <c r="B7809"/>
      <c r="C7809"/>
      <c r="D7809"/>
      <c r="E7809" s="364"/>
      <c r="F7809"/>
    </row>
    <row r="7810" spans="1:6" x14ac:dyDescent="0.25">
      <c r="A7810" s="364"/>
      <c r="B7810"/>
      <c r="C7810"/>
      <c r="D7810"/>
      <c r="E7810" s="364"/>
      <c r="F7810"/>
    </row>
    <row r="7811" spans="1:6" x14ac:dyDescent="0.25">
      <c r="A7811" s="364"/>
      <c r="B7811"/>
      <c r="C7811"/>
      <c r="D7811"/>
      <c r="E7811" s="364"/>
      <c r="F7811"/>
    </row>
    <row r="7812" spans="1:6" x14ac:dyDescent="0.25">
      <c r="A7812" s="364"/>
      <c r="B7812"/>
      <c r="C7812"/>
      <c r="D7812"/>
      <c r="E7812" s="364"/>
      <c r="F7812"/>
    </row>
    <row r="7813" spans="1:6" x14ac:dyDescent="0.25">
      <c r="A7813" s="364"/>
      <c r="B7813"/>
      <c r="C7813"/>
      <c r="D7813"/>
      <c r="E7813" s="364"/>
      <c r="F7813"/>
    </row>
    <row r="7814" spans="1:6" x14ac:dyDescent="0.25">
      <c r="A7814" s="364"/>
      <c r="B7814"/>
      <c r="C7814"/>
      <c r="D7814"/>
      <c r="E7814" s="364"/>
      <c r="F7814"/>
    </row>
    <row r="7815" spans="1:6" x14ac:dyDescent="0.25">
      <c r="A7815" s="364"/>
      <c r="B7815"/>
      <c r="C7815"/>
      <c r="D7815"/>
      <c r="E7815" s="364"/>
      <c r="F7815"/>
    </row>
    <row r="7816" spans="1:6" x14ac:dyDescent="0.25">
      <c r="A7816" s="364"/>
      <c r="B7816"/>
      <c r="C7816"/>
      <c r="D7816"/>
      <c r="E7816" s="364"/>
      <c r="F7816"/>
    </row>
    <row r="7817" spans="1:6" x14ac:dyDescent="0.25">
      <c r="A7817" s="364"/>
      <c r="B7817"/>
      <c r="C7817"/>
      <c r="D7817"/>
      <c r="E7817" s="364"/>
      <c r="F7817"/>
    </row>
    <row r="7818" spans="1:6" x14ac:dyDescent="0.25">
      <c r="A7818" s="364"/>
      <c r="B7818"/>
      <c r="C7818"/>
      <c r="D7818"/>
      <c r="E7818" s="364"/>
      <c r="F7818"/>
    </row>
    <row r="7819" spans="1:6" x14ac:dyDescent="0.25">
      <c r="A7819" s="364"/>
      <c r="B7819"/>
      <c r="C7819"/>
      <c r="D7819"/>
      <c r="E7819" s="364"/>
      <c r="F7819"/>
    </row>
    <row r="7820" spans="1:6" x14ac:dyDescent="0.25">
      <c r="A7820" s="364"/>
      <c r="B7820"/>
      <c r="C7820"/>
      <c r="D7820"/>
      <c r="E7820" s="364"/>
      <c r="F7820"/>
    </row>
    <row r="7821" spans="1:6" x14ac:dyDescent="0.25">
      <c r="A7821" s="364"/>
      <c r="B7821"/>
      <c r="C7821"/>
      <c r="D7821"/>
      <c r="E7821" s="364"/>
      <c r="F7821"/>
    </row>
    <row r="7822" spans="1:6" x14ac:dyDescent="0.25">
      <c r="A7822" s="364"/>
      <c r="B7822"/>
      <c r="C7822"/>
      <c r="D7822"/>
      <c r="E7822" s="364"/>
      <c r="F7822"/>
    </row>
    <row r="7823" spans="1:6" x14ac:dyDescent="0.25">
      <c r="A7823" s="364"/>
      <c r="B7823"/>
      <c r="C7823"/>
      <c r="D7823"/>
      <c r="E7823" s="364"/>
      <c r="F7823"/>
    </row>
    <row r="7824" spans="1:6" x14ac:dyDescent="0.25">
      <c r="A7824" s="364"/>
      <c r="B7824"/>
      <c r="C7824"/>
      <c r="D7824"/>
      <c r="E7824" s="364"/>
      <c r="F7824"/>
    </row>
    <row r="7825" spans="1:6" x14ac:dyDescent="0.25">
      <c r="A7825" s="364"/>
      <c r="B7825"/>
      <c r="C7825"/>
      <c r="D7825"/>
      <c r="E7825" s="364"/>
      <c r="F7825"/>
    </row>
    <row r="7826" spans="1:6" x14ac:dyDescent="0.25">
      <c r="A7826" s="364"/>
      <c r="B7826"/>
      <c r="C7826"/>
      <c r="D7826"/>
      <c r="E7826" s="364"/>
      <c r="F7826"/>
    </row>
    <row r="7827" spans="1:6" x14ac:dyDescent="0.25">
      <c r="A7827" s="364"/>
      <c r="B7827"/>
      <c r="C7827"/>
      <c r="D7827"/>
      <c r="E7827" s="364"/>
      <c r="F7827"/>
    </row>
    <row r="7828" spans="1:6" x14ac:dyDescent="0.25">
      <c r="A7828" s="364"/>
      <c r="B7828"/>
      <c r="C7828"/>
      <c r="D7828"/>
      <c r="E7828" s="364"/>
      <c r="F7828"/>
    </row>
    <row r="7829" spans="1:6" x14ac:dyDescent="0.25">
      <c r="A7829" s="364"/>
      <c r="B7829"/>
      <c r="C7829"/>
      <c r="D7829"/>
      <c r="E7829" s="364"/>
      <c r="F7829"/>
    </row>
    <row r="7830" spans="1:6" x14ac:dyDescent="0.25">
      <c r="A7830" s="364"/>
      <c r="B7830"/>
      <c r="C7830"/>
      <c r="D7830"/>
      <c r="E7830" s="364"/>
      <c r="F7830"/>
    </row>
    <row r="7831" spans="1:6" x14ac:dyDescent="0.25">
      <c r="A7831" s="364"/>
      <c r="B7831"/>
      <c r="C7831"/>
      <c r="D7831"/>
      <c r="E7831" s="364"/>
      <c r="F7831"/>
    </row>
    <row r="7832" spans="1:6" x14ac:dyDescent="0.25">
      <c r="A7832" s="364"/>
      <c r="B7832"/>
      <c r="C7832"/>
      <c r="D7832"/>
      <c r="E7832" s="364"/>
      <c r="F7832"/>
    </row>
    <row r="7833" spans="1:6" x14ac:dyDescent="0.25">
      <c r="A7833" s="364"/>
      <c r="B7833"/>
      <c r="C7833"/>
      <c r="D7833"/>
      <c r="E7833" s="364"/>
      <c r="F7833"/>
    </row>
    <row r="7834" spans="1:6" x14ac:dyDescent="0.25">
      <c r="A7834" s="364"/>
      <c r="B7834"/>
      <c r="C7834"/>
      <c r="D7834"/>
      <c r="E7834" s="364"/>
      <c r="F7834"/>
    </row>
    <row r="7835" spans="1:6" x14ac:dyDescent="0.25">
      <c r="A7835" s="364"/>
      <c r="B7835"/>
      <c r="C7835"/>
      <c r="D7835"/>
      <c r="E7835" s="364"/>
      <c r="F7835"/>
    </row>
    <row r="7836" spans="1:6" x14ac:dyDescent="0.25">
      <c r="A7836" s="364"/>
      <c r="B7836"/>
      <c r="C7836"/>
      <c r="D7836"/>
      <c r="E7836" s="364"/>
      <c r="F7836"/>
    </row>
    <row r="7837" spans="1:6" x14ac:dyDescent="0.25">
      <c r="A7837" s="364"/>
      <c r="B7837"/>
      <c r="C7837"/>
      <c r="D7837"/>
      <c r="E7837" s="364"/>
      <c r="F7837"/>
    </row>
    <row r="7838" spans="1:6" x14ac:dyDescent="0.25">
      <c r="A7838" s="364"/>
      <c r="B7838"/>
      <c r="C7838"/>
      <c r="D7838"/>
      <c r="E7838" s="364"/>
      <c r="F7838"/>
    </row>
    <row r="7839" spans="1:6" x14ac:dyDescent="0.25">
      <c r="A7839" s="364"/>
      <c r="B7839"/>
      <c r="C7839"/>
      <c r="D7839"/>
      <c r="E7839" s="364"/>
      <c r="F7839"/>
    </row>
    <row r="7840" spans="1:6" x14ac:dyDescent="0.25">
      <c r="A7840" s="364"/>
      <c r="B7840"/>
      <c r="C7840"/>
      <c r="D7840"/>
      <c r="E7840" s="364"/>
      <c r="F7840"/>
    </row>
    <row r="7841" spans="1:6" x14ac:dyDescent="0.25">
      <c r="A7841" s="364"/>
      <c r="B7841"/>
      <c r="C7841"/>
      <c r="D7841"/>
      <c r="E7841" s="364"/>
      <c r="F7841"/>
    </row>
    <row r="7842" spans="1:6" x14ac:dyDescent="0.25">
      <c r="A7842" s="364"/>
      <c r="B7842"/>
      <c r="C7842"/>
      <c r="D7842"/>
      <c r="E7842" s="364"/>
      <c r="F7842"/>
    </row>
    <row r="7843" spans="1:6" x14ac:dyDescent="0.25">
      <c r="A7843" s="364"/>
      <c r="B7843"/>
      <c r="C7843"/>
      <c r="D7843"/>
      <c r="E7843" s="364"/>
      <c r="F7843"/>
    </row>
    <row r="7844" spans="1:6" x14ac:dyDescent="0.25">
      <c r="A7844" s="364"/>
      <c r="B7844"/>
      <c r="C7844"/>
      <c r="D7844"/>
      <c r="E7844" s="364"/>
      <c r="F7844"/>
    </row>
    <row r="7845" spans="1:6" x14ac:dyDescent="0.25">
      <c r="A7845" s="364"/>
      <c r="B7845"/>
      <c r="C7845"/>
      <c r="D7845"/>
      <c r="E7845" s="364"/>
      <c r="F7845"/>
    </row>
    <row r="7846" spans="1:6" x14ac:dyDescent="0.25">
      <c r="A7846" s="364"/>
      <c r="B7846"/>
      <c r="C7846"/>
      <c r="D7846"/>
      <c r="E7846" s="364"/>
      <c r="F7846"/>
    </row>
    <row r="7847" spans="1:6" x14ac:dyDescent="0.25">
      <c r="A7847" s="364"/>
      <c r="B7847"/>
      <c r="C7847"/>
      <c r="D7847"/>
      <c r="E7847" s="364"/>
      <c r="F7847"/>
    </row>
    <row r="7848" spans="1:6" x14ac:dyDescent="0.25">
      <c r="A7848" s="364"/>
      <c r="B7848"/>
      <c r="C7848"/>
      <c r="D7848"/>
      <c r="E7848" s="364"/>
      <c r="F7848"/>
    </row>
    <row r="7849" spans="1:6" x14ac:dyDescent="0.25">
      <c r="A7849" s="364"/>
      <c r="B7849"/>
      <c r="C7849"/>
      <c r="D7849"/>
      <c r="E7849" s="364"/>
      <c r="F7849"/>
    </row>
    <row r="7850" spans="1:6" x14ac:dyDescent="0.25">
      <c r="A7850" s="364"/>
      <c r="B7850"/>
      <c r="C7850"/>
      <c r="D7850"/>
      <c r="E7850" s="364"/>
      <c r="F7850"/>
    </row>
    <row r="7851" spans="1:6" x14ac:dyDescent="0.25">
      <c r="A7851" s="364"/>
      <c r="B7851"/>
      <c r="C7851"/>
      <c r="D7851"/>
      <c r="E7851" s="364"/>
      <c r="F7851"/>
    </row>
    <row r="7852" spans="1:6" x14ac:dyDescent="0.25">
      <c r="A7852" s="364"/>
      <c r="B7852"/>
      <c r="C7852"/>
      <c r="D7852"/>
      <c r="E7852" s="364"/>
      <c r="F7852"/>
    </row>
    <row r="7853" spans="1:6" x14ac:dyDescent="0.25">
      <c r="A7853" s="364"/>
      <c r="B7853"/>
      <c r="C7853"/>
      <c r="D7853"/>
      <c r="E7853" s="364"/>
      <c r="F7853"/>
    </row>
    <row r="7854" spans="1:6" x14ac:dyDescent="0.25">
      <c r="A7854" s="364"/>
      <c r="B7854"/>
      <c r="C7854"/>
      <c r="D7854"/>
      <c r="E7854" s="364"/>
      <c r="F7854"/>
    </row>
    <row r="7855" spans="1:6" x14ac:dyDescent="0.25">
      <c r="A7855" s="364"/>
      <c r="B7855"/>
      <c r="C7855"/>
      <c r="D7855"/>
      <c r="E7855" s="364"/>
      <c r="F7855"/>
    </row>
    <row r="7856" spans="1:6" x14ac:dyDescent="0.25">
      <c r="A7856" s="364"/>
      <c r="B7856"/>
      <c r="C7856"/>
      <c r="D7856"/>
      <c r="E7856" s="364"/>
      <c r="F7856"/>
    </row>
    <row r="7857" spans="1:6" x14ac:dyDescent="0.25">
      <c r="A7857" s="364"/>
      <c r="B7857"/>
      <c r="C7857"/>
      <c r="D7857"/>
      <c r="E7857" s="364"/>
      <c r="F7857"/>
    </row>
    <row r="7858" spans="1:6" x14ac:dyDescent="0.25">
      <c r="A7858" s="364"/>
      <c r="B7858"/>
      <c r="C7858"/>
      <c r="D7858"/>
      <c r="E7858" s="364"/>
      <c r="F7858"/>
    </row>
    <row r="7859" spans="1:6" x14ac:dyDescent="0.25">
      <c r="A7859" s="364"/>
      <c r="B7859"/>
      <c r="C7859"/>
      <c r="D7859"/>
      <c r="E7859" s="364"/>
      <c r="F7859"/>
    </row>
    <row r="7860" spans="1:6" x14ac:dyDescent="0.25">
      <c r="A7860" s="364"/>
      <c r="B7860"/>
      <c r="C7860"/>
      <c r="D7860"/>
      <c r="E7860" s="364"/>
      <c r="F7860"/>
    </row>
    <row r="7861" spans="1:6" x14ac:dyDescent="0.25">
      <c r="A7861" s="364"/>
      <c r="B7861"/>
      <c r="C7861"/>
      <c r="D7861"/>
      <c r="E7861" s="364"/>
      <c r="F7861"/>
    </row>
    <row r="7862" spans="1:6" x14ac:dyDescent="0.25">
      <c r="A7862" s="364"/>
      <c r="B7862"/>
      <c r="C7862"/>
      <c r="D7862"/>
      <c r="E7862" s="364"/>
      <c r="F7862"/>
    </row>
    <row r="7863" spans="1:6" x14ac:dyDescent="0.25">
      <c r="A7863" s="364"/>
      <c r="B7863"/>
      <c r="C7863"/>
      <c r="D7863"/>
      <c r="E7863" s="364"/>
      <c r="F7863"/>
    </row>
    <row r="7864" spans="1:6" x14ac:dyDescent="0.25">
      <c r="A7864" s="364"/>
      <c r="B7864"/>
      <c r="C7864"/>
      <c r="D7864"/>
      <c r="E7864" s="364"/>
      <c r="F7864"/>
    </row>
    <row r="7865" spans="1:6" x14ac:dyDescent="0.25">
      <c r="A7865" s="364"/>
      <c r="B7865"/>
      <c r="C7865"/>
      <c r="D7865"/>
      <c r="E7865" s="364"/>
      <c r="F7865"/>
    </row>
    <row r="7866" spans="1:6" x14ac:dyDescent="0.25">
      <c r="A7866" s="364"/>
      <c r="B7866"/>
      <c r="C7866"/>
      <c r="D7866"/>
      <c r="E7866" s="364"/>
      <c r="F7866"/>
    </row>
    <row r="7867" spans="1:6" x14ac:dyDescent="0.25">
      <c r="A7867" s="364"/>
      <c r="B7867"/>
      <c r="C7867"/>
      <c r="D7867"/>
      <c r="E7867" s="364"/>
      <c r="F7867"/>
    </row>
    <row r="7868" spans="1:6" x14ac:dyDescent="0.25">
      <c r="A7868" s="364"/>
      <c r="B7868"/>
      <c r="C7868"/>
      <c r="D7868"/>
      <c r="E7868" s="364"/>
      <c r="F7868"/>
    </row>
    <row r="7869" spans="1:6" x14ac:dyDescent="0.25">
      <c r="A7869" s="364"/>
      <c r="B7869"/>
      <c r="C7869"/>
      <c r="D7869"/>
      <c r="E7869" s="364"/>
      <c r="F7869"/>
    </row>
    <row r="7870" spans="1:6" x14ac:dyDescent="0.25">
      <c r="A7870" s="364"/>
      <c r="B7870"/>
      <c r="C7870"/>
      <c r="D7870"/>
      <c r="E7870" s="364"/>
      <c r="F7870"/>
    </row>
    <row r="7871" spans="1:6" x14ac:dyDescent="0.25">
      <c r="A7871" s="364"/>
      <c r="B7871"/>
      <c r="C7871"/>
      <c r="D7871"/>
      <c r="E7871" s="364"/>
      <c r="F7871"/>
    </row>
    <row r="7872" spans="1:6" x14ac:dyDescent="0.25">
      <c r="A7872" s="364"/>
      <c r="B7872"/>
      <c r="C7872"/>
      <c r="D7872"/>
      <c r="E7872" s="364"/>
      <c r="F7872"/>
    </row>
    <row r="7873" spans="1:6" x14ac:dyDescent="0.25">
      <c r="A7873" s="364"/>
      <c r="B7873"/>
      <c r="C7873"/>
      <c r="D7873"/>
      <c r="E7873" s="364"/>
      <c r="F7873"/>
    </row>
    <row r="7874" spans="1:6" x14ac:dyDescent="0.25">
      <c r="A7874" s="364"/>
      <c r="B7874"/>
      <c r="C7874"/>
      <c r="D7874"/>
      <c r="E7874" s="364"/>
      <c r="F7874"/>
    </row>
    <row r="7875" spans="1:6" x14ac:dyDescent="0.25">
      <c r="A7875" s="364"/>
      <c r="B7875"/>
      <c r="C7875"/>
      <c r="D7875"/>
      <c r="E7875" s="364"/>
      <c r="F7875"/>
    </row>
    <row r="7876" spans="1:6" x14ac:dyDescent="0.25">
      <c r="A7876" s="364"/>
      <c r="B7876"/>
      <c r="C7876"/>
      <c r="D7876"/>
      <c r="E7876" s="364"/>
      <c r="F7876"/>
    </row>
    <row r="7877" spans="1:6" x14ac:dyDescent="0.25">
      <c r="A7877" s="364"/>
      <c r="B7877"/>
      <c r="C7877"/>
      <c r="D7877"/>
      <c r="E7877" s="364"/>
      <c r="F7877"/>
    </row>
    <row r="7878" spans="1:6" x14ac:dyDescent="0.25">
      <c r="A7878" s="364"/>
      <c r="B7878"/>
      <c r="C7878"/>
      <c r="D7878"/>
      <c r="E7878" s="364"/>
      <c r="F7878"/>
    </row>
    <row r="7879" spans="1:6" x14ac:dyDescent="0.25">
      <c r="A7879" s="364"/>
      <c r="B7879"/>
      <c r="C7879"/>
      <c r="D7879"/>
      <c r="E7879" s="364"/>
      <c r="F7879"/>
    </row>
    <row r="7880" spans="1:6" x14ac:dyDescent="0.25">
      <c r="A7880" s="364"/>
      <c r="B7880"/>
      <c r="C7880"/>
      <c r="D7880"/>
      <c r="E7880" s="364"/>
      <c r="F7880"/>
    </row>
    <row r="7881" spans="1:6" x14ac:dyDescent="0.25">
      <c r="A7881" s="364"/>
      <c r="B7881"/>
      <c r="C7881"/>
      <c r="D7881"/>
      <c r="E7881" s="364"/>
      <c r="F7881"/>
    </row>
    <row r="7882" spans="1:6" x14ac:dyDescent="0.25">
      <c r="A7882" s="364"/>
      <c r="B7882"/>
      <c r="C7882"/>
      <c r="D7882"/>
      <c r="E7882" s="364"/>
      <c r="F7882"/>
    </row>
    <row r="7883" spans="1:6" x14ac:dyDescent="0.25">
      <c r="A7883" s="364"/>
      <c r="B7883"/>
      <c r="C7883"/>
      <c r="D7883"/>
      <c r="E7883" s="364"/>
      <c r="F7883"/>
    </row>
    <row r="7884" spans="1:6" x14ac:dyDescent="0.25">
      <c r="A7884" s="364"/>
      <c r="B7884"/>
      <c r="C7884"/>
      <c r="D7884"/>
      <c r="E7884" s="364"/>
      <c r="F7884"/>
    </row>
    <row r="7885" spans="1:6" x14ac:dyDescent="0.25">
      <c r="A7885" s="364"/>
      <c r="B7885"/>
      <c r="C7885"/>
      <c r="D7885"/>
      <c r="E7885" s="364"/>
      <c r="F7885"/>
    </row>
    <row r="7886" spans="1:6" x14ac:dyDescent="0.25">
      <c r="A7886" s="364"/>
      <c r="B7886"/>
      <c r="C7886"/>
      <c r="D7886"/>
      <c r="E7886" s="364"/>
      <c r="F7886"/>
    </row>
    <row r="7887" spans="1:6" x14ac:dyDescent="0.25">
      <c r="A7887" s="364"/>
      <c r="B7887"/>
      <c r="C7887"/>
      <c r="D7887"/>
      <c r="E7887" s="364"/>
      <c r="F7887"/>
    </row>
    <row r="7888" spans="1:6" x14ac:dyDescent="0.25">
      <c r="A7888" s="364"/>
      <c r="B7888"/>
      <c r="C7888"/>
      <c r="D7888"/>
      <c r="E7888" s="364"/>
      <c r="F7888"/>
    </row>
    <row r="7889" spans="1:6" x14ac:dyDescent="0.25">
      <c r="A7889" s="364"/>
      <c r="B7889"/>
      <c r="C7889"/>
      <c r="D7889"/>
      <c r="E7889" s="364"/>
      <c r="F7889"/>
    </row>
    <row r="7890" spans="1:6" x14ac:dyDescent="0.25">
      <c r="A7890" s="364"/>
      <c r="B7890"/>
      <c r="C7890"/>
      <c r="D7890"/>
      <c r="E7890" s="364"/>
      <c r="F7890"/>
    </row>
    <row r="7891" spans="1:6" x14ac:dyDescent="0.25">
      <c r="A7891" s="364"/>
      <c r="B7891"/>
      <c r="C7891"/>
      <c r="D7891"/>
      <c r="E7891" s="364"/>
      <c r="F7891"/>
    </row>
    <row r="7892" spans="1:6" x14ac:dyDescent="0.25">
      <c r="A7892" s="364"/>
      <c r="B7892"/>
      <c r="C7892"/>
      <c r="D7892"/>
      <c r="E7892" s="364"/>
      <c r="F7892"/>
    </row>
    <row r="7893" spans="1:6" x14ac:dyDescent="0.25">
      <c r="A7893" s="364"/>
      <c r="B7893"/>
      <c r="C7893"/>
      <c r="D7893"/>
      <c r="E7893" s="364"/>
      <c r="F7893"/>
    </row>
    <row r="7894" spans="1:6" x14ac:dyDescent="0.25">
      <c r="A7894" s="364"/>
      <c r="B7894"/>
      <c r="C7894"/>
      <c r="D7894"/>
      <c r="E7894" s="364"/>
      <c r="F7894"/>
    </row>
    <row r="7895" spans="1:6" x14ac:dyDescent="0.25">
      <c r="A7895" s="364"/>
      <c r="B7895"/>
      <c r="C7895"/>
      <c r="D7895"/>
      <c r="E7895" s="364"/>
      <c r="F7895"/>
    </row>
    <row r="7896" spans="1:6" x14ac:dyDescent="0.25">
      <c r="A7896" s="364"/>
      <c r="B7896"/>
      <c r="C7896"/>
      <c r="D7896"/>
      <c r="E7896" s="364"/>
      <c r="F7896"/>
    </row>
    <row r="7897" spans="1:6" x14ac:dyDescent="0.25">
      <c r="A7897" s="364"/>
      <c r="B7897"/>
      <c r="C7897"/>
      <c r="D7897"/>
      <c r="E7897" s="364"/>
      <c r="F7897"/>
    </row>
    <row r="7898" spans="1:6" x14ac:dyDescent="0.25">
      <c r="A7898" s="364"/>
      <c r="B7898"/>
      <c r="C7898"/>
      <c r="D7898"/>
      <c r="E7898" s="364"/>
      <c r="F7898"/>
    </row>
    <row r="7899" spans="1:6" x14ac:dyDescent="0.25">
      <c r="A7899" s="364"/>
      <c r="B7899"/>
      <c r="C7899"/>
      <c r="D7899"/>
      <c r="E7899" s="364"/>
      <c r="F7899"/>
    </row>
    <row r="7900" spans="1:6" x14ac:dyDescent="0.25">
      <c r="A7900" s="364"/>
      <c r="B7900"/>
      <c r="C7900"/>
      <c r="D7900"/>
      <c r="E7900" s="364"/>
      <c r="F7900"/>
    </row>
    <row r="7901" spans="1:6" x14ac:dyDescent="0.25">
      <c r="A7901" s="364"/>
      <c r="B7901"/>
      <c r="C7901"/>
      <c r="D7901"/>
      <c r="E7901" s="364"/>
      <c r="F7901"/>
    </row>
    <row r="7902" spans="1:6" x14ac:dyDescent="0.25">
      <c r="A7902" s="364"/>
      <c r="B7902"/>
      <c r="C7902"/>
      <c r="D7902"/>
      <c r="E7902" s="364"/>
      <c r="F7902"/>
    </row>
    <row r="7903" spans="1:6" x14ac:dyDescent="0.25">
      <c r="A7903" s="364"/>
      <c r="B7903"/>
      <c r="C7903"/>
      <c r="D7903"/>
      <c r="E7903" s="364"/>
      <c r="F7903"/>
    </row>
    <row r="7904" spans="1:6" x14ac:dyDescent="0.25">
      <c r="A7904" s="364"/>
      <c r="B7904"/>
      <c r="C7904"/>
      <c r="D7904"/>
      <c r="E7904" s="364"/>
      <c r="F7904"/>
    </row>
    <row r="7905" spans="1:6" x14ac:dyDescent="0.25">
      <c r="A7905" s="364"/>
      <c r="B7905"/>
      <c r="C7905"/>
      <c r="D7905"/>
      <c r="E7905" s="364"/>
      <c r="F7905"/>
    </row>
    <row r="7906" spans="1:6" x14ac:dyDescent="0.25">
      <c r="A7906" s="364"/>
      <c r="B7906"/>
      <c r="C7906"/>
      <c r="D7906"/>
      <c r="E7906" s="364"/>
      <c r="F7906"/>
    </row>
    <row r="7907" spans="1:6" x14ac:dyDescent="0.25">
      <c r="A7907" s="364"/>
      <c r="B7907"/>
      <c r="C7907"/>
      <c r="D7907"/>
      <c r="E7907" s="364"/>
      <c r="F7907"/>
    </row>
    <row r="7908" spans="1:6" x14ac:dyDescent="0.25">
      <c r="A7908" s="364"/>
      <c r="B7908"/>
      <c r="C7908"/>
      <c r="D7908"/>
      <c r="E7908" s="364"/>
      <c r="F7908"/>
    </row>
    <row r="7909" spans="1:6" x14ac:dyDescent="0.25">
      <c r="A7909" s="364"/>
      <c r="B7909"/>
      <c r="C7909"/>
      <c r="D7909"/>
      <c r="E7909" s="364"/>
      <c r="F7909"/>
    </row>
    <row r="7910" spans="1:6" x14ac:dyDescent="0.25">
      <c r="A7910" s="364"/>
      <c r="B7910"/>
      <c r="C7910"/>
      <c r="D7910"/>
      <c r="E7910" s="364"/>
      <c r="F7910"/>
    </row>
    <row r="7911" spans="1:6" x14ac:dyDescent="0.25">
      <c r="A7911" s="364"/>
      <c r="B7911"/>
      <c r="C7911"/>
      <c r="D7911"/>
      <c r="E7911" s="364"/>
      <c r="F7911"/>
    </row>
    <row r="7912" spans="1:6" x14ac:dyDescent="0.25">
      <c r="A7912" s="364"/>
      <c r="B7912"/>
      <c r="C7912"/>
      <c r="D7912"/>
      <c r="E7912" s="364"/>
      <c r="F7912"/>
    </row>
    <row r="7913" spans="1:6" x14ac:dyDescent="0.25">
      <c r="A7913" s="364"/>
      <c r="B7913"/>
      <c r="C7913"/>
      <c r="D7913"/>
      <c r="E7913" s="364"/>
      <c r="F7913"/>
    </row>
    <row r="7914" spans="1:6" x14ac:dyDescent="0.25">
      <c r="A7914" s="364"/>
      <c r="B7914"/>
      <c r="C7914"/>
      <c r="D7914"/>
      <c r="E7914" s="364"/>
      <c r="F7914"/>
    </row>
    <row r="7915" spans="1:6" x14ac:dyDescent="0.25">
      <c r="A7915" s="364"/>
      <c r="B7915"/>
      <c r="C7915"/>
      <c r="D7915"/>
      <c r="E7915" s="364"/>
      <c r="F7915"/>
    </row>
    <row r="7916" spans="1:6" x14ac:dyDescent="0.25">
      <c r="A7916" s="364"/>
      <c r="B7916"/>
      <c r="C7916"/>
      <c r="D7916"/>
      <c r="E7916" s="364"/>
      <c r="F7916"/>
    </row>
    <row r="7917" spans="1:6" x14ac:dyDescent="0.25">
      <c r="A7917" s="364"/>
      <c r="B7917"/>
      <c r="C7917"/>
      <c r="D7917"/>
      <c r="E7917" s="364"/>
      <c r="F7917"/>
    </row>
    <row r="7918" spans="1:6" x14ac:dyDescent="0.25">
      <c r="A7918" s="364"/>
      <c r="B7918"/>
      <c r="C7918"/>
      <c r="D7918"/>
      <c r="E7918" s="364"/>
      <c r="F7918"/>
    </row>
    <row r="7919" spans="1:6" x14ac:dyDescent="0.25">
      <c r="A7919" s="364"/>
      <c r="B7919"/>
      <c r="C7919"/>
      <c r="D7919"/>
      <c r="E7919" s="364"/>
      <c r="F7919"/>
    </row>
    <row r="7920" spans="1:6" x14ac:dyDescent="0.25">
      <c r="A7920" s="364"/>
      <c r="B7920"/>
      <c r="C7920"/>
      <c r="D7920"/>
      <c r="E7920" s="364"/>
      <c r="F7920"/>
    </row>
    <row r="7921" spans="1:6" x14ac:dyDescent="0.25">
      <c r="A7921" s="364"/>
      <c r="B7921"/>
      <c r="C7921"/>
      <c r="D7921"/>
      <c r="E7921" s="364"/>
      <c r="F7921"/>
    </row>
    <row r="7922" spans="1:6" x14ac:dyDescent="0.25">
      <c r="A7922" s="364"/>
      <c r="B7922"/>
      <c r="C7922"/>
      <c r="D7922"/>
      <c r="E7922" s="364"/>
      <c r="F7922"/>
    </row>
    <row r="7923" spans="1:6" x14ac:dyDescent="0.25">
      <c r="A7923" s="364"/>
      <c r="B7923"/>
      <c r="C7923"/>
      <c r="D7923"/>
      <c r="E7923" s="364"/>
      <c r="F7923"/>
    </row>
    <row r="7924" spans="1:6" x14ac:dyDescent="0.25">
      <c r="A7924" s="364"/>
      <c r="B7924"/>
      <c r="C7924"/>
      <c r="D7924"/>
      <c r="E7924" s="364"/>
      <c r="F7924"/>
    </row>
    <row r="7925" spans="1:6" x14ac:dyDescent="0.25">
      <c r="A7925" s="364"/>
      <c r="B7925"/>
      <c r="C7925"/>
      <c r="D7925"/>
      <c r="E7925" s="364"/>
      <c r="F7925"/>
    </row>
    <row r="7926" spans="1:6" x14ac:dyDescent="0.25">
      <c r="A7926" s="364"/>
      <c r="B7926"/>
      <c r="C7926"/>
      <c r="D7926"/>
      <c r="E7926" s="364"/>
      <c r="F7926"/>
    </row>
    <row r="7927" spans="1:6" x14ac:dyDescent="0.25">
      <c r="A7927" s="364"/>
      <c r="B7927"/>
      <c r="C7927"/>
      <c r="D7927"/>
      <c r="E7927" s="364"/>
      <c r="F7927"/>
    </row>
    <row r="7928" spans="1:6" x14ac:dyDescent="0.25">
      <c r="A7928" s="364"/>
      <c r="B7928"/>
      <c r="C7928"/>
      <c r="D7928"/>
      <c r="E7928" s="364"/>
      <c r="F7928"/>
    </row>
    <row r="7929" spans="1:6" x14ac:dyDescent="0.25">
      <c r="A7929" s="364"/>
      <c r="B7929"/>
      <c r="C7929"/>
      <c r="D7929"/>
      <c r="E7929" s="364"/>
      <c r="F7929"/>
    </row>
    <row r="7930" spans="1:6" x14ac:dyDescent="0.25">
      <c r="A7930" s="364"/>
      <c r="B7930"/>
      <c r="C7930"/>
      <c r="D7930"/>
      <c r="E7930" s="364"/>
      <c r="F7930"/>
    </row>
    <row r="7931" spans="1:6" x14ac:dyDescent="0.25">
      <c r="A7931" s="364"/>
      <c r="B7931"/>
      <c r="C7931"/>
      <c r="D7931"/>
      <c r="E7931" s="364"/>
      <c r="F7931"/>
    </row>
    <row r="7932" spans="1:6" x14ac:dyDescent="0.25">
      <c r="A7932" s="364"/>
      <c r="B7932"/>
      <c r="C7932"/>
      <c r="D7932"/>
      <c r="E7932" s="364"/>
      <c r="F7932"/>
    </row>
    <row r="7933" spans="1:6" x14ac:dyDescent="0.25">
      <c r="A7933" s="364"/>
      <c r="B7933"/>
      <c r="C7933"/>
      <c r="D7933"/>
      <c r="E7933" s="364"/>
      <c r="F7933"/>
    </row>
    <row r="7934" spans="1:6" x14ac:dyDescent="0.25">
      <c r="A7934" s="364"/>
      <c r="B7934"/>
      <c r="C7934"/>
      <c r="D7934"/>
      <c r="E7934" s="364"/>
      <c r="F7934"/>
    </row>
    <row r="7935" spans="1:6" x14ac:dyDescent="0.25">
      <c r="A7935" s="364"/>
      <c r="B7935"/>
      <c r="C7935"/>
      <c r="D7935"/>
      <c r="E7935" s="364"/>
      <c r="F7935"/>
    </row>
    <row r="7936" spans="1:6" x14ac:dyDescent="0.25">
      <c r="A7936" s="364"/>
      <c r="B7936"/>
      <c r="C7936"/>
      <c r="D7936"/>
      <c r="E7936" s="364"/>
      <c r="F7936"/>
    </row>
    <row r="7937" spans="1:6" x14ac:dyDescent="0.25">
      <c r="A7937" s="364"/>
      <c r="B7937"/>
      <c r="C7937"/>
      <c r="D7937"/>
      <c r="E7937" s="364"/>
      <c r="F7937"/>
    </row>
    <row r="7938" spans="1:6" x14ac:dyDescent="0.25">
      <c r="A7938" s="364"/>
      <c r="B7938"/>
      <c r="C7938"/>
      <c r="D7938"/>
      <c r="E7938" s="364"/>
      <c r="F7938"/>
    </row>
    <row r="7939" spans="1:6" x14ac:dyDescent="0.25">
      <c r="A7939" s="364"/>
      <c r="B7939"/>
      <c r="C7939"/>
      <c r="D7939"/>
      <c r="E7939" s="364"/>
      <c r="F7939"/>
    </row>
    <row r="7940" spans="1:6" x14ac:dyDescent="0.25">
      <c r="A7940" s="364"/>
      <c r="B7940"/>
      <c r="C7940"/>
      <c r="D7940"/>
      <c r="E7940" s="364"/>
      <c r="F7940"/>
    </row>
    <row r="7941" spans="1:6" x14ac:dyDescent="0.25">
      <c r="A7941" s="364"/>
      <c r="B7941"/>
      <c r="C7941"/>
      <c r="D7941"/>
      <c r="E7941" s="364"/>
      <c r="F7941"/>
    </row>
    <row r="7942" spans="1:6" x14ac:dyDescent="0.25">
      <c r="A7942" s="364"/>
      <c r="B7942"/>
      <c r="C7942"/>
      <c r="D7942"/>
      <c r="E7942" s="364"/>
      <c r="F7942"/>
    </row>
    <row r="7943" spans="1:6" x14ac:dyDescent="0.25">
      <c r="A7943" s="364"/>
      <c r="B7943"/>
      <c r="C7943"/>
      <c r="D7943"/>
      <c r="E7943" s="364"/>
      <c r="F7943"/>
    </row>
    <row r="7944" spans="1:6" x14ac:dyDescent="0.25">
      <c r="A7944" s="364"/>
      <c r="B7944"/>
      <c r="C7944"/>
      <c r="D7944"/>
      <c r="E7944" s="364"/>
      <c r="F7944"/>
    </row>
    <row r="7945" spans="1:6" x14ac:dyDescent="0.25">
      <c r="A7945" s="364"/>
      <c r="B7945"/>
      <c r="C7945"/>
      <c r="D7945"/>
      <c r="E7945" s="364"/>
      <c r="F7945"/>
    </row>
    <row r="7946" spans="1:6" x14ac:dyDescent="0.25">
      <c r="A7946" s="364"/>
      <c r="B7946"/>
      <c r="C7946"/>
      <c r="D7946"/>
      <c r="E7946" s="364"/>
      <c r="F7946"/>
    </row>
    <row r="7947" spans="1:6" x14ac:dyDescent="0.25">
      <c r="A7947" s="364"/>
      <c r="B7947"/>
      <c r="C7947"/>
      <c r="D7947"/>
      <c r="E7947" s="364"/>
      <c r="F7947"/>
    </row>
    <row r="7948" spans="1:6" x14ac:dyDescent="0.25">
      <c r="A7948" s="364"/>
      <c r="B7948"/>
      <c r="C7948"/>
      <c r="D7948"/>
      <c r="E7948" s="364"/>
      <c r="F7948"/>
    </row>
    <row r="7949" spans="1:6" x14ac:dyDescent="0.25">
      <c r="A7949" s="364"/>
      <c r="B7949"/>
      <c r="C7949"/>
      <c r="D7949"/>
      <c r="E7949" s="364"/>
      <c r="F7949"/>
    </row>
    <row r="7950" spans="1:6" x14ac:dyDescent="0.25">
      <c r="A7950" s="364"/>
      <c r="B7950"/>
      <c r="C7950"/>
      <c r="D7950"/>
      <c r="E7950" s="364"/>
      <c r="F7950"/>
    </row>
    <row r="7951" spans="1:6" x14ac:dyDescent="0.25">
      <c r="A7951" s="364"/>
      <c r="B7951"/>
      <c r="C7951"/>
      <c r="D7951"/>
      <c r="E7951" s="364"/>
      <c r="F7951"/>
    </row>
    <row r="7952" spans="1:6" x14ac:dyDescent="0.25">
      <c r="A7952" s="364"/>
      <c r="B7952"/>
      <c r="C7952"/>
      <c r="D7952"/>
      <c r="E7952" s="364"/>
      <c r="F7952"/>
    </row>
    <row r="7953" spans="1:6" x14ac:dyDescent="0.25">
      <c r="A7953" s="364"/>
      <c r="B7953"/>
      <c r="C7953"/>
      <c r="D7953"/>
      <c r="E7953" s="364"/>
      <c r="F7953"/>
    </row>
    <row r="7954" spans="1:6" x14ac:dyDescent="0.25">
      <c r="A7954" s="364"/>
      <c r="B7954"/>
      <c r="C7954"/>
      <c r="D7954"/>
      <c r="E7954" s="364"/>
      <c r="F7954"/>
    </row>
    <row r="7955" spans="1:6" x14ac:dyDescent="0.25">
      <c r="A7955" s="364"/>
      <c r="B7955"/>
      <c r="C7955"/>
      <c r="D7955"/>
      <c r="E7955" s="364"/>
      <c r="F7955"/>
    </row>
    <row r="7956" spans="1:6" x14ac:dyDescent="0.25">
      <c r="A7956" s="364"/>
      <c r="B7956"/>
      <c r="C7956"/>
      <c r="D7956"/>
      <c r="E7956" s="364"/>
      <c r="F7956"/>
    </row>
    <row r="7957" spans="1:6" x14ac:dyDescent="0.25">
      <c r="A7957" s="364"/>
      <c r="B7957"/>
      <c r="C7957"/>
      <c r="D7957"/>
      <c r="E7957" s="364"/>
      <c r="F7957"/>
    </row>
    <row r="7958" spans="1:6" x14ac:dyDescent="0.25">
      <c r="A7958" s="364"/>
      <c r="B7958"/>
      <c r="C7958"/>
      <c r="D7958"/>
      <c r="E7958" s="364"/>
      <c r="F7958"/>
    </row>
    <row r="7959" spans="1:6" x14ac:dyDescent="0.25">
      <c r="A7959" s="364"/>
      <c r="B7959"/>
      <c r="C7959"/>
      <c r="D7959"/>
      <c r="E7959" s="364"/>
      <c r="F7959"/>
    </row>
    <row r="7960" spans="1:6" x14ac:dyDescent="0.25">
      <c r="A7960" s="364"/>
      <c r="B7960"/>
      <c r="C7960"/>
      <c r="D7960"/>
      <c r="E7960" s="364"/>
      <c r="F7960"/>
    </row>
    <row r="7961" spans="1:6" x14ac:dyDescent="0.25">
      <c r="A7961" s="364"/>
      <c r="B7961"/>
      <c r="C7961"/>
      <c r="D7961"/>
      <c r="E7961" s="364"/>
      <c r="F7961"/>
    </row>
    <row r="7962" spans="1:6" x14ac:dyDescent="0.25">
      <c r="A7962" s="364"/>
      <c r="B7962"/>
      <c r="C7962"/>
      <c r="D7962"/>
      <c r="E7962" s="364"/>
      <c r="F7962"/>
    </row>
    <row r="7963" spans="1:6" x14ac:dyDescent="0.25">
      <c r="A7963" s="364"/>
      <c r="B7963"/>
      <c r="C7963"/>
      <c r="D7963"/>
      <c r="E7963" s="364"/>
      <c r="F7963"/>
    </row>
    <row r="7964" spans="1:6" x14ac:dyDescent="0.25">
      <c r="A7964" s="364"/>
      <c r="B7964"/>
      <c r="C7964"/>
      <c r="D7964"/>
      <c r="E7964" s="364"/>
      <c r="F7964"/>
    </row>
    <row r="7965" spans="1:6" x14ac:dyDescent="0.25">
      <c r="A7965" s="364"/>
      <c r="B7965"/>
      <c r="C7965"/>
      <c r="D7965"/>
      <c r="E7965" s="364"/>
      <c r="F7965"/>
    </row>
    <row r="7966" spans="1:6" x14ac:dyDescent="0.25">
      <c r="A7966" s="364"/>
      <c r="B7966"/>
      <c r="C7966"/>
      <c r="D7966"/>
      <c r="E7966" s="364"/>
      <c r="F7966"/>
    </row>
    <row r="7967" spans="1:6" x14ac:dyDescent="0.25">
      <c r="A7967" s="364"/>
      <c r="B7967"/>
      <c r="C7967"/>
      <c r="D7967"/>
      <c r="E7967" s="364"/>
      <c r="F7967"/>
    </row>
    <row r="7968" spans="1:6" x14ac:dyDescent="0.25">
      <c r="A7968" s="364"/>
      <c r="B7968"/>
      <c r="C7968"/>
      <c r="D7968"/>
      <c r="E7968" s="364"/>
      <c r="F7968"/>
    </row>
    <row r="7969" spans="1:6" x14ac:dyDescent="0.25">
      <c r="A7969" s="364"/>
      <c r="B7969"/>
      <c r="C7969"/>
      <c r="D7969"/>
      <c r="E7969" s="364"/>
      <c r="F7969"/>
    </row>
    <row r="7970" spans="1:6" x14ac:dyDescent="0.25">
      <c r="A7970" s="364"/>
      <c r="B7970"/>
      <c r="C7970"/>
      <c r="D7970"/>
      <c r="E7970" s="364"/>
      <c r="F7970"/>
    </row>
    <row r="7971" spans="1:6" x14ac:dyDescent="0.25">
      <c r="A7971" s="364"/>
      <c r="B7971"/>
      <c r="C7971"/>
      <c r="D7971"/>
      <c r="E7971" s="364"/>
      <c r="F7971"/>
    </row>
    <row r="7972" spans="1:6" x14ac:dyDescent="0.25">
      <c r="A7972" s="364"/>
      <c r="B7972"/>
      <c r="C7972"/>
      <c r="D7972"/>
      <c r="E7972" s="364"/>
      <c r="F7972"/>
    </row>
    <row r="7973" spans="1:6" x14ac:dyDescent="0.25">
      <c r="A7973" s="364"/>
      <c r="B7973"/>
      <c r="C7973"/>
      <c r="D7973"/>
      <c r="E7973" s="364"/>
      <c r="F7973"/>
    </row>
    <row r="7974" spans="1:6" x14ac:dyDescent="0.25">
      <c r="A7974" s="364"/>
      <c r="B7974"/>
      <c r="C7974"/>
      <c r="D7974"/>
      <c r="E7974" s="364"/>
      <c r="F7974"/>
    </row>
    <row r="7975" spans="1:6" x14ac:dyDescent="0.25">
      <c r="A7975" s="364"/>
      <c r="B7975"/>
      <c r="C7975"/>
      <c r="D7975"/>
      <c r="E7975" s="364"/>
      <c r="F7975"/>
    </row>
    <row r="7976" spans="1:6" x14ac:dyDescent="0.25">
      <c r="A7976" s="364"/>
      <c r="B7976"/>
      <c r="C7976"/>
      <c r="D7976"/>
      <c r="E7976" s="364"/>
      <c r="F7976"/>
    </row>
    <row r="7977" spans="1:6" x14ac:dyDescent="0.25">
      <c r="A7977" s="364"/>
      <c r="B7977"/>
      <c r="C7977"/>
      <c r="D7977"/>
      <c r="E7977" s="364"/>
      <c r="F7977"/>
    </row>
    <row r="7978" spans="1:6" x14ac:dyDescent="0.25">
      <c r="A7978" s="364"/>
      <c r="B7978"/>
      <c r="C7978"/>
      <c r="D7978"/>
      <c r="E7978" s="364"/>
      <c r="F7978"/>
    </row>
    <row r="7979" spans="1:6" x14ac:dyDescent="0.25">
      <c r="A7979" s="364"/>
      <c r="B7979"/>
      <c r="C7979"/>
      <c r="D7979"/>
      <c r="E7979" s="364"/>
      <c r="F7979"/>
    </row>
    <row r="7980" spans="1:6" x14ac:dyDescent="0.25">
      <c r="A7980" s="364"/>
      <c r="B7980"/>
      <c r="C7980"/>
      <c r="D7980"/>
      <c r="E7980" s="364"/>
      <c r="F7980"/>
    </row>
    <row r="7981" spans="1:6" x14ac:dyDescent="0.25">
      <c r="A7981" s="364"/>
      <c r="B7981"/>
      <c r="C7981"/>
      <c r="D7981"/>
      <c r="E7981" s="364"/>
      <c r="F7981"/>
    </row>
    <row r="7982" spans="1:6" x14ac:dyDescent="0.25">
      <c r="A7982" s="364"/>
      <c r="B7982"/>
      <c r="C7982"/>
      <c r="D7982"/>
      <c r="E7982" s="364"/>
      <c r="F7982"/>
    </row>
    <row r="7983" spans="1:6" x14ac:dyDescent="0.25">
      <c r="A7983" s="364"/>
      <c r="B7983"/>
      <c r="C7983"/>
      <c r="D7983"/>
      <c r="E7983" s="364"/>
      <c r="F7983"/>
    </row>
    <row r="7984" spans="1:6" x14ac:dyDescent="0.25">
      <c r="A7984" s="364"/>
      <c r="B7984"/>
      <c r="C7984"/>
      <c r="D7984"/>
      <c r="E7984" s="364"/>
      <c r="F7984"/>
    </row>
    <row r="7985" spans="1:6" x14ac:dyDescent="0.25">
      <c r="A7985" s="364"/>
      <c r="B7985"/>
      <c r="C7985"/>
      <c r="D7985"/>
      <c r="E7985" s="364"/>
      <c r="F7985"/>
    </row>
    <row r="7986" spans="1:6" x14ac:dyDescent="0.25">
      <c r="A7986" s="364"/>
      <c r="B7986"/>
      <c r="C7986"/>
      <c r="D7986"/>
      <c r="E7986" s="364"/>
      <c r="F7986"/>
    </row>
    <row r="7987" spans="1:6" x14ac:dyDescent="0.25">
      <c r="A7987" s="364"/>
      <c r="B7987"/>
      <c r="C7987"/>
      <c r="D7987"/>
      <c r="E7987" s="364"/>
      <c r="F7987"/>
    </row>
    <row r="7988" spans="1:6" x14ac:dyDescent="0.25">
      <c r="A7988" s="364"/>
      <c r="B7988"/>
      <c r="C7988"/>
      <c r="D7988"/>
      <c r="E7988" s="364"/>
      <c r="F7988"/>
    </row>
    <row r="7989" spans="1:6" x14ac:dyDescent="0.25">
      <c r="A7989" s="364"/>
      <c r="B7989"/>
      <c r="C7989"/>
      <c r="D7989"/>
      <c r="E7989" s="364"/>
      <c r="F7989"/>
    </row>
    <row r="7990" spans="1:6" x14ac:dyDescent="0.25">
      <c r="A7990" s="364"/>
      <c r="B7990"/>
      <c r="C7990"/>
      <c r="D7990"/>
      <c r="E7990" s="364"/>
      <c r="F7990"/>
    </row>
    <row r="7991" spans="1:6" x14ac:dyDescent="0.25">
      <c r="A7991" s="364"/>
      <c r="B7991"/>
      <c r="C7991"/>
      <c r="D7991"/>
      <c r="E7991" s="364"/>
      <c r="F7991"/>
    </row>
    <row r="7992" spans="1:6" x14ac:dyDescent="0.25">
      <c r="A7992" s="364"/>
      <c r="B7992"/>
      <c r="C7992"/>
      <c r="D7992"/>
      <c r="E7992" s="364"/>
      <c r="F7992"/>
    </row>
    <row r="7993" spans="1:6" x14ac:dyDescent="0.25">
      <c r="A7993" s="364"/>
      <c r="B7993"/>
      <c r="C7993"/>
      <c r="D7993"/>
      <c r="E7993" s="364"/>
      <c r="F7993"/>
    </row>
    <row r="7994" spans="1:6" x14ac:dyDescent="0.25">
      <c r="A7994" s="364"/>
      <c r="B7994"/>
      <c r="C7994"/>
      <c r="D7994"/>
      <c r="E7994" s="364"/>
      <c r="F7994"/>
    </row>
    <row r="7995" spans="1:6" x14ac:dyDescent="0.25">
      <c r="A7995" s="364"/>
      <c r="B7995"/>
      <c r="C7995"/>
      <c r="D7995"/>
      <c r="E7995" s="364"/>
      <c r="F7995"/>
    </row>
    <row r="7996" spans="1:6" x14ac:dyDescent="0.25">
      <c r="A7996" s="364"/>
      <c r="B7996"/>
      <c r="C7996"/>
      <c r="D7996"/>
      <c r="E7996" s="364"/>
      <c r="F7996"/>
    </row>
    <row r="7997" spans="1:6" x14ac:dyDescent="0.25">
      <c r="A7997" s="364"/>
      <c r="B7997"/>
      <c r="C7997"/>
      <c r="D7997"/>
      <c r="E7997" s="364"/>
      <c r="F7997"/>
    </row>
    <row r="7998" spans="1:6" x14ac:dyDescent="0.25">
      <c r="A7998" s="364"/>
      <c r="B7998"/>
      <c r="C7998"/>
      <c r="D7998"/>
      <c r="E7998" s="364"/>
      <c r="F7998"/>
    </row>
    <row r="7999" spans="1:6" x14ac:dyDescent="0.25">
      <c r="A7999" s="364"/>
      <c r="B7999"/>
      <c r="C7999"/>
      <c r="D7999"/>
      <c r="E7999" s="364"/>
      <c r="F7999"/>
    </row>
    <row r="8000" spans="1:6" x14ac:dyDescent="0.25">
      <c r="A8000" s="364"/>
      <c r="B8000"/>
      <c r="C8000"/>
      <c r="D8000"/>
      <c r="E8000" s="364"/>
      <c r="F8000"/>
    </row>
    <row r="8001" spans="1:6" x14ac:dyDescent="0.25">
      <c r="A8001" s="364"/>
      <c r="B8001"/>
      <c r="C8001"/>
      <c r="D8001"/>
      <c r="E8001" s="364"/>
      <c r="F8001"/>
    </row>
    <row r="8002" spans="1:6" x14ac:dyDescent="0.25">
      <c r="A8002" s="364"/>
      <c r="B8002"/>
      <c r="C8002"/>
      <c r="D8002"/>
      <c r="E8002" s="364"/>
      <c r="F8002"/>
    </row>
    <row r="8003" spans="1:6" x14ac:dyDescent="0.25">
      <c r="A8003" s="364"/>
      <c r="B8003"/>
      <c r="C8003"/>
      <c r="D8003"/>
      <c r="E8003" s="364"/>
      <c r="F8003"/>
    </row>
    <row r="8004" spans="1:6" x14ac:dyDescent="0.25">
      <c r="A8004" s="364"/>
      <c r="B8004"/>
      <c r="C8004"/>
      <c r="D8004"/>
      <c r="E8004" s="364"/>
      <c r="F8004"/>
    </row>
    <row r="8005" spans="1:6" x14ac:dyDescent="0.25">
      <c r="A8005" s="364"/>
      <c r="B8005"/>
      <c r="C8005"/>
      <c r="D8005"/>
      <c r="E8005" s="364"/>
      <c r="F8005"/>
    </row>
    <row r="8006" spans="1:6" x14ac:dyDescent="0.25">
      <c r="A8006" s="364"/>
      <c r="B8006"/>
      <c r="C8006"/>
      <c r="D8006"/>
      <c r="E8006" s="364"/>
      <c r="F8006"/>
    </row>
    <row r="8007" spans="1:6" x14ac:dyDescent="0.25">
      <c r="A8007" s="364"/>
      <c r="B8007"/>
      <c r="C8007"/>
      <c r="D8007"/>
      <c r="E8007" s="364"/>
      <c r="F8007"/>
    </row>
    <row r="8008" spans="1:6" x14ac:dyDescent="0.25">
      <c r="A8008" s="364"/>
      <c r="B8008"/>
      <c r="C8008"/>
      <c r="D8008"/>
      <c r="E8008" s="364"/>
      <c r="F8008"/>
    </row>
    <row r="8009" spans="1:6" x14ac:dyDescent="0.25">
      <c r="A8009" s="364"/>
      <c r="B8009"/>
      <c r="C8009"/>
      <c r="D8009"/>
      <c r="E8009" s="364"/>
      <c r="F8009"/>
    </row>
    <row r="8010" spans="1:6" x14ac:dyDescent="0.25">
      <c r="A8010" s="364"/>
      <c r="B8010"/>
      <c r="C8010"/>
      <c r="D8010"/>
      <c r="E8010" s="364"/>
      <c r="F8010"/>
    </row>
    <row r="8011" spans="1:6" x14ac:dyDescent="0.25">
      <c r="A8011" s="364"/>
      <c r="B8011"/>
      <c r="C8011"/>
      <c r="D8011"/>
      <c r="E8011" s="364"/>
      <c r="F8011"/>
    </row>
    <row r="8012" spans="1:6" x14ac:dyDescent="0.25">
      <c r="A8012" s="364"/>
      <c r="B8012"/>
      <c r="C8012"/>
      <c r="D8012"/>
      <c r="E8012" s="364"/>
      <c r="F8012"/>
    </row>
    <row r="8013" spans="1:6" x14ac:dyDescent="0.25">
      <c r="A8013" s="364"/>
      <c r="B8013"/>
      <c r="C8013"/>
      <c r="D8013"/>
      <c r="E8013" s="364"/>
      <c r="F8013"/>
    </row>
    <row r="8014" spans="1:6" x14ac:dyDescent="0.25">
      <c r="A8014" s="364"/>
      <c r="B8014"/>
      <c r="C8014"/>
      <c r="D8014"/>
      <c r="E8014" s="364"/>
      <c r="F8014"/>
    </row>
    <row r="8015" spans="1:6" x14ac:dyDescent="0.25">
      <c r="A8015" s="364"/>
      <c r="B8015"/>
      <c r="C8015"/>
      <c r="D8015"/>
      <c r="E8015" s="364"/>
      <c r="F8015"/>
    </row>
    <row r="8016" spans="1:6" x14ac:dyDescent="0.25">
      <c r="A8016" s="364"/>
      <c r="B8016"/>
      <c r="C8016"/>
      <c r="D8016"/>
      <c r="E8016" s="364"/>
      <c r="F8016"/>
    </row>
    <row r="8017" spans="1:6" x14ac:dyDescent="0.25">
      <c r="A8017" s="364"/>
      <c r="B8017"/>
      <c r="C8017"/>
      <c r="D8017"/>
      <c r="E8017" s="364"/>
      <c r="F8017"/>
    </row>
    <row r="8018" spans="1:6" x14ac:dyDescent="0.25">
      <c r="A8018" s="364"/>
      <c r="B8018"/>
      <c r="C8018"/>
      <c r="D8018"/>
      <c r="E8018" s="364"/>
      <c r="F8018"/>
    </row>
    <row r="8019" spans="1:6" x14ac:dyDescent="0.25">
      <c r="A8019" s="364"/>
      <c r="B8019"/>
      <c r="C8019"/>
      <c r="D8019"/>
      <c r="E8019" s="364"/>
      <c r="F8019"/>
    </row>
    <row r="8020" spans="1:6" x14ac:dyDescent="0.25">
      <c r="A8020" s="364"/>
      <c r="B8020"/>
      <c r="C8020"/>
      <c r="D8020"/>
      <c r="E8020" s="364"/>
      <c r="F8020"/>
    </row>
    <row r="8021" spans="1:6" x14ac:dyDescent="0.25">
      <c r="A8021" s="364"/>
      <c r="B8021"/>
      <c r="C8021"/>
      <c r="D8021"/>
      <c r="E8021" s="364"/>
      <c r="F8021"/>
    </row>
    <row r="8022" spans="1:6" x14ac:dyDescent="0.25">
      <c r="A8022" s="364"/>
      <c r="B8022"/>
      <c r="C8022"/>
      <c r="D8022"/>
      <c r="E8022" s="364"/>
      <c r="F8022"/>
    </row>
    <row r="8023" spans="1:6" x14ac:dyDescent="0.25">
      <c r="A8023" s="364"/>
      <c r="B8023"/>
      <c r="C8023"/>
      <c r="D8023"/>
      <c r="E8023" s="364"/>
      <c r="F8023"/>
    </row>
    <row r="8024" spans="1:6" x14ac:dyDescent="0.25">
      <c r="A8024" s="364"/>
      <c r="B8024"/>
      <c r="C8024"/>
      <c r="D8024"/>
      <c r="E8024" s="364"/>
      <c r="F8024"/>
    </row>
    <row r="8025" spans="1:6" x14ac:dyDescent="0.25">
      <c r="A8025" s="364"/>
      <c r="B8025"/>
      <c r="C8025"/>
      <c r="D8025"/>
      <c r="E8025" s="364"/>
      <c r="F8025"/>
    </row>
    <row r="8026" spans="1:6" x14ac:dyDescent="0.25">
      <c r="A8026" s="364"/>
      <c r="B8026"/>
      <c r="C8026"/>
      <c r="D8026"/>
      <c r="E8026" s="364"/>
      <c r="F8026"/>
    </row>
    <row r="8027" spans="1:6" x14ac:dyDescent="0.25">
      <c r="A8027" s="364"/>
      <c r="B8027"/>
      <c r="C8027"/>
      <c r="D8027"/>
      <c r="E8027" s="364"/>
      <c r="F8027"/>
    </row>
    <row r="8028" spans="1:6" x14ac:dyDescent="0.25">
      <c r="A8028" s="364"/>
      <c r="B8028"/>
      <c r="C8028"/>
      <c r="D8028"/>
      <c r="E8028" s="364"/>
      <c r="F8028"/>
    </row>
    <row r="8029" spans="1:6" x14ac:dyDescent="0.25">
      <c r="A8029" s="364"/>
      <c r="B8029"/>
      <c r="C8029"/>
      <c r="D8029"/>
      <c r="E8029" s="364"/>
      <c r="F8029"/>
    </row>
    <row r="8030" spans="1:6" x14ac:dyDescent="0.25">
      <c r="A8030" s="364"/>
      <c r="B8030"/>
      <c r="C8030"/>
      <c r="D8030"/>
      <c r="E8030" s="364"/>
      <c r="F8030"/>
    </row>
    <row r="8031" spans="1:6" x14ac:dyDescent="0.25">
      <c r="A8031" s="364"/>
      <c r="B8031"/>
      <c r="C8031"/>
      <c r="D8031"/>
      <c r="E8031" s="364"/>
      <c r="F8031"/>
    </row>
    <row r="8032" spans="1:6" x14ac:dyDescent="0.25">
      <c r="A8032" s="364"/>
      <c r="B8032"/>
      <c r="C8032"/>
      <c r="D8032"/>
      <c r="E8032" s="364"/>
      <c r="F8032"/>
    </row>
    <row r="8033" spans="1:6" x14ac:dyDescent="0.25">
      <c r="A8033" s="364"/>
      <c r="B8033"/>
      <c r="C8033"/>
      <c r="D8033"/>
      <c r="E8033" s="364"/>
      <c r="F8033"/>
    </row>
    <row r="8034" spans="1:6" x14ac:dyDescent="0.25">
      <c r="A8034" s="364"/>
      <c r="B8034"/>
      <c r="C8034"/>
      <c r="D8034"/>
      <c r="E8034" s="364"/>
      <c r="F8034"/>
    </row>
    <row r="8035" spans="1:6" x14ac:dyDescent="0.25">
      <c r="A8035" s="364"/>
      <c r="B8035"/>
      <c r="C8035"/>
      <c r="D8035"/>
      <c r="E8035" s="364"/>
      <c r="F8035"/>
    </row>
    <row r="8036" spans="1:6" x14ac:dyDescent="0.25">
      <c r="A8036" s="364"/>
      <c r="B8036"/>
      <c r="C8036"/>
      <c r="D8036"/>
      <c r="E8036" s="364"/>
      <c r="F8036"/>
    </row>
    <row r="8037" spans="1:6" x14ac:dyDescent="0.25">
      <c r="A8037" s="364"/>
      <c r="B8037"/>
      <c r="C8037"/>
      <c r="D8037"/>
      <c r="E8037" s="364"/>
      <c r="F8037"/>
    </row>
    <row r="8038" spans="1:6" x14ac:dyDescent="0.25">
      <c r="A8038" s="364"/>
      <c r="B8038"/>
      <c r="C8038"/>
      <c r="D8038"/>
      <c r="E8038" s="364"/>
      <c r="F8038"/>
    </row>
    <row r="8039" spans="1:6" x14ac:dyDescent="0.25">
      <c r="A8039" s="364"/>
      <c r="B8039"/>
      <c r="C8039"/>
      <c r="D8039"/>
      <c r="E8039" s="364"/>
      <c r="F8039"/>
    </row>
    <row r="8040" spans="1:6" x14ac:dyDescent="0.25">
      <c r="A8040" s="364"/>
      <c r="B8040"/>
      <c r="C8040"/>
      <c r="D8040"/>
      <c r="E8040" s="364"/>
      <c r="F8040"/>
    </row>
    <row r="8041" spans="1:6" x14ac:dyDescent="0.25">
      <c r="A8041" s="364"/>
      <c r="B8041"/>
      <c r="C8041"/>
      <c r="D8041"/>
      <c r="E8041" s="364"/>
      <c r="F8041"/>
    </row>
    <row r="8042" spans="1:6" x14ac:dyDescent="0.25">
      <c r="A8042" s="364"/>
      <c r="B8042"/>
      <c r="C8042"/>
      <c r="D8042"/>
      <c r="E8042" s="364"/>
      <c r="F8042"/>
    </row>
    <row r="8043" spans="1:6" x14ac:dyDescent="0.25">
      <c r="A8043" s="364"/>
      <c r="B8043"/>
      <c r="C8043"/>
      <c r="D8043"/>
      <c r="E8043" s="364"/>
      <c r="F8043"/>
    </row>
    <row r="8044" spans="1:6" x14ac:dyDescent="0.25">
      <c r="A8044" s="364"/>
      <c r="B8044"/>
      <c r="C8044"/>
      <c r="D8044"/>
      <c r="E8044" s="364"/>
      <c r="F8044"/>
    </row>
    <row r="8045" spans="1:6" x14ac:dyDescent="0.25">
      <c r="A8045" s="364"/>
      <c r="B8045"/>
      <c r="C8045"/>
      <c r="D8045"/>
      <c r="E8045" s="364"/>
      <c r="F8045"/>
    </row>
    <row r="8046" spans="1:6" x14ac:dyDescent="0.25">
      <c r="A8046" s="364"/>
      <c r="B8046"/>
      <c r="C8046"/>
      <c r="D8046"/>
      <c r="E8046" s="364"/>
      <c r="F8046"/>
    </row>
    <row r="8047" spans="1:6" x14ac:dyDescent="0.25">
      <c r="A8047" s="364"/>
      <c r="B8047"/>
      <c r="C8047"/>
      <c r="D8047"/>
      <c r="E8047" s="364"/>
      <c r="F8047"/>
    </row>
    <row r="8048" spans="1:6" x14ac:dyDescent="0.25">
      <c r="A8048" s="364"/>
      <c r="B8048"/>
      <c r="C8048"/>
      <c r="D8048"/>
      <c r="E8048" s="364"/>
      <c r="F8048"/>
    </row>
    <row r="8049" spans="1:6" x14ac:dyDescent="0.25">
      <c r="A8049" s="364"/>
      <c r="B8049"/>
      <c r="C8049"/>
      <c r="D8049"/>
      <c r="E8049" s="364"/>
      <c r="F8049"/>
    </row>
    <row r="8050" spans="1:6" x14ac:dyDescent="0.25">
      <c r="A8050" s="364"/>
      <c r="B8050"/>
      <c r="C8050"/>
      <c r="D8050"/>
      <c r="E8050" s="364"/>
      <c r="F8050"/>
    </row>
    <row r="8051" spans="1:6" x14ac:dyDescent="0.25">
      <c r="A8051" s="364"/>
      <c r="B8051"/>
      <c r="C8051"/>
      <c r="D8051"/>
      <c r="E8051" s="364"/>
      <c r="F8051"/>
    </row>
    <row r="8052" spans="1:6" x14ac:dyDescent="0.25">
      <c r="A8052" s="364"/>
      <c r="B8052"/>
      <c r="C8052"/>
      <c r="D8052"/>
      <c r="E8052" s="364"/>
      <c r="F8052"/>
    </row>
    <row r="8053" spans="1:6" x14ac:dyDescent="0.25">
      <c r="A8053" s="364"/>
      <c r="B8053"/>
      <c r="C8053"/>
      <c r="D8053"/>
      <c r="E8053" s="364"/>
      <c r="F8053"/>
    </row>
    <row r="8054" spans="1:6" x14ac:dyDescent="0.25">
      <c r="A8054" s="364"/>
      <c r="B8054"/>
      <c r="C8054"/>
      <c r="D8054"/>
      <c r="E8054" s="364"/>
      <c r="F8054"/>
    </row>
    <row r="8055" spans="1:6" x14ac:dyDescent="0.25">
      <c r="A8055" s="364"/>
      <c r="B8055"/>
      <c r="C8055"/>
      <c r="D8055"/>
      <c r="E8055" s="364"/>
      <c r="F8055"/>
    </row>
    <row r="8056" spans="1:6" x14ac:dyDescent="0.25">
      <c r="A8056" s="364"/>
      <c r="B8056"/>
      <c r="C8056"/>
      <c r="D8056"/>
      <c r="E8056" s="364"/>
      <c r="F8056"/>
    </row>
    <row r="8057" spans="1:6" x14ac:dyDescent="0.25">
      <c r="A8057" s="364"/>
      <c r="B8057"/>
      <c r="C8057"/>
      <c r="D8057"/>
      <c r="E8057" s="364"/>
      <c r="F8057"/>
    </row>
    <row r="8058" spans="1:6" x14ac:dyDescent="0.25">
      <c r="A8058" s="364"/>
      <c r="B8058"/>
      <c r="C8058"/>
      <c r="D8058"/>
      <c r="E8058" s="364"/>
      <c r="F8058"/>
    </row>
    <row r="8059" spans="1:6" x14ac:dyDescent="0.25">
      <c r="A8059" s="364"/>
      <c r="B8059"/>
      <c r="C8059"/>
      <c r="D8059"/>
      <c r="E8059" s="364"/>
      <c r="F8059"/>
    </row>
    <row r="8060" spans="1:6" x14ac:dyDescent="0.25">
      <c r="A8060" s="364"/>
      <c r="B8060"/>
      <c r="C8060"/>
      <c r="D8060"/>
      <c r="E8060" s="364"/>
      <c r="F8060"/>
    </row>
    <row r="8061" spans="1:6" x14ac:dyDescent="0.25">
      <c r="A8061" s="364"/>
      <c r="B8061"/>
      <c r="C8061"/>
      <c r="D8061"/>
      <c r="E8061" s="364"/>
      <c r="F8061"/>
    </row>
    <row r="8062" spans="1:6" x14ac:dyDescent="0.25">
      <c r="A8062" s="364"/>
      <c r="B8062"/>
      <c r="C8062"/>
      <c r="D8062"/>
      <c r="E8062" s="364"/>
      <c r="F8062"/>
    </row>
    <row r="8063" spans="1:6" x14ac:dyDescent="0.25">
      <c r="A8063" s="364"/>
      <c r="B8063"/>
      <c r="C8063"/>
      <c r="D8063"/>
      <c r="E8063" s="364"/>
      <c r="F8063"/>
    </row>
    <row r="8064" spans="1:6" x14ac:dyDescent="0.25">
      <c r="A8064" s="364"/>
      <c r="B8064"/>
      <c r="C8064"/>
      <c r="D8064"/>
      <c r="E8064" s="364"/>
      <c r="F8064"/>
    </row>
    <row r="8065" spans="1:6" x14ac:dyDescent="0.25">
      <c r="A8065" s="364"/>
      <c r="B8065"/>
      <c r="C8065"/>
      <c r="D8065"/>
      <c r="E8065" s="364"/>
      <c r="F8065"/>
    </row>
    <row r="8066" spans="1:6" x14ac:dyDescent="0.25">
      <c r="A8066" s="364"/>
      <c r="B8066"/>
      <c r="C8066"/>
      <c r="D8066"/>
      <c r="E8066" s="364"/>
      <c r="F8066"/>
    </row>
    <row r="8067" spans="1:6" x14ac:dyDescent="0.25">
      <c r="A8067" s="364"/>
      <c r="B8067"/>
      <c r="C8067"/>
      <c r="D8067"/>
      <c r="E8067" s="364"/>
      <c r="F8067"/>
    </row>
    <row r="8068" spans="1:6" x14ac:dyDescent="0.25">
      <c r="A8068" s="364"/>
      <c r="B8068"/>
      <c r="C8068"/>
      <c r="D8068"/>
      <c r="E8068" s="364"/>
      <c r="F8068"/>
    </row>
    <row r="8069" spans="1:6" x14ac:dyDescent="0.25">
      <c r="A8069" s="364"/>
      <c r="B8069"/>
      <c r="C8069"/>
      <c r="D8069"/>
      <c r="E8069" s="364"/>
      <c r="F8069"/>
    </row>
    <row r="8070" spans="1:6" x14ac:dyDescent="0.25">
      <c r="A8070" s="364"/>
      <c r="B8070"/>
      <c r="C8070"/>
      <c r="D8070"/>
      <c r="E8070" s="364"/>
      <c r="F8070"/>
    </row>
    <row r="8071" spans="1:6" x14ac:dyDescent="0.25">
      <c r="A8071" s="364"/>
      <c r="B8071"/>
      <c r="C8071"/>
      <c r="D8071"/>
      <c r="E8071" s="364"/>
      <c r="F8071"/>
    </row>
    <row r="8072" spans="1:6" x14ac:dyDescent="0.25">
      <c r="A8072" s="364"/>
      <c r="B8072"/>
      <c r="C8072"/>
      <c r="D8072"/>
      <c r="E8072" s="364"/>
      <c r="F8072"/>
    </row>
    <row r="8073" spans="1:6" x14ac:dyDescent="0.25">
      <c r="A8073" s="364"/>
      <c r="B8073"/>
      <c r="C8073"/>
      <c r="D8073"/>
      <c r="E8073" s="364"/>
      <c r="F8073"/>
    </row>
    <row r="8074" spans="1:6" x14ac:dyDescent="0.25">
      <c r="A8074" s="364"/>
      <c r="B8074"/>
      <c r="C8074"/>
      <c r="D8074"/>
      <c r="E8074" s="364"/>
      <c r="F8074"/>
    </row>
    <row r="8075" spans="1:6" x14ac:dyDescent="0.25">
      <c r="A8075" s="364"/>
      <c r="B8075"/>
      <c r="C8075"/>
      <c r="D8075"/>
      <c r="E8075" s="364"/>
      <c r="F8075"/>
    </row>
    <row r="8076" spans="1:6" x14ac:dyDescent="0.25">
      <c r="A8076" s="364"/>
      <c r="B8076"/>
      <c r="C8076"/>
      <c r="D8076"/>
      <c r="E8076" s="364"/>
      <c r="F8076"/>
    </row>
    <row r="8077" spans="1:6" x14ac:dyDescent="0.25">
      <c r="A8077" s="364"/>
      <c r="B8077"/>
      <c r="C8077"/>
      <c r="D8077"/>
      <c r="E8077" s="364"/>
      <c r="F8077"/>
    </row>
    <row r="8078" spans="1:6" x14ac:dyDescent="0.25">
      <c r="A8078" s="364"/>
      <c r="B8078"/>
      <c r="C8078"/>
      <c r="D8078"/>
      <c r="E8078" s="364"/>
      <c r="F8078"/>
    </row>
    <row r="8079" spans="1:6" x14ac:dyDescent="0.25">
      <c r="A8079" s="364"/>
      <c r="B8079"/>
      <c r="C8079"/>
      <c r="D8079"/>
      <c r="E8079" s="364"/>
      <c r="F8079"/>
    </row>
    <row r="8080" spans="1:6" x14ac:dyDescent="0.25">
      <c r="A8080" s="364"/>
      <c r="B8080"/>
      <c r="C8080"/>
      <c r="D8080"/>
      <c r="E8080" s="364"/>
      <c r="F8080"/>
    </row>
    <row r="8081" spans="1:6" x14ac:dyDescent="0.25">
      <c r="A8081" s="364"/>
      <c r="B8081"/>
      <c r="C8081"/>
      <c r="D8081"/>
      <c r="E8081" s="364"/>
      <c r="F8081"/>
    </row>
    <row r="8082" spans="1:6" x14ac:dyDescent="0.25">
      <c r="A8082" s="364"/>
      <c r="B8082"/>
      <c r="C8082"/>
      <c r="D8082"/>
      <c r="E8082" s="364"/>
      <c r="F8082"/>
    </row>
    <row r="8083" spans="1:6" x14ac:dyDescent="0.25">
      <c r="A8083" s="364"/>
      <c r="B8083"/>
      <c r="C8083"/>
      <c r="D8083"/>
      <c r="E8083" s="364"/>
      <c r="F8083"/>
    </row>
    <row r="8084" spans="1:6" x14ac:dyDescent="0.25">
      <c r="A8084" s="364"/>
      <c r="B8084"/>
      <c r="C8084"/>
      <c r="D8084"/>
      <c r="E8084" s="364"/>
      <c r="F8084"/>
    </row>
    <row r="8085" spans="1:6" x14ac:dyDescent="0.25">
      <c r="A8085" s="364"/>
      <c r="B8085"/>
      <c r="C8085"/>
      <c r="D8085"/>
      <c r="E8085" s="364"/>
      <c r="F8085"/>
    </row>
    <row r="8086" spans="1:6" x14ac:dyDescent="0.25">
      <c r="A8086" s="364"/>
      <c r="B8086"/>
      <c r="C8086"/>
      <c r="D8086"/>
      <c r="E8086" s="364"/>
      <c r="F8086"/>
    </row>
    <row r="8087" spans="1:6" x14ac:dyDescent="0.25">
      <c r="A8087" s="364"/>
      <c r="B8087"/>
      <c r="C8087"/>
      <c r="D8087"/>
      <c r="E8087" s="364"/>
      <c r="F8087"/>
    </row>
    <row r="8088" spans="1:6" x14ac:dyDescent="0.25">
      <c r="A8088" s="364"/>
      <c r="B8088"/>
      <c r="C8088"/>
      <c r="D8088"/>
      <c r="E8088" s="364"/>
      <c r="F8088"/>
    </row>
    <row r="8089" spans="1:6" x14ac:dyDescent="0.25">
      <c r="A8089" s="364"/>
      <c r="B8089"/>
      <c r="C8089"/>
      <c r="D8089"/>
      <c r="E8089" s="364"/>
      <c r="F8089"/>
    </row>
    <row r="8090" spans="1:6" x14ac:dyDescent="0.25">
      <c r="A8090" s="364"/>
      <c r="B8090"/>
      <c r="C8090"/>
      <c r="D8090"/>
      <c r="E8090" s="364"/>
      <c r="F8090"/>
    </row>
    <row r="8091" spans="1:6" x14ac:dyDescent="0.25">
      <c r="A8091" s="364"/>
      <c r="B8091"/>
      <c r="C8091"/>
      <c r="D8091"/>
      <c r="E8091" s="364"/>
      <c r="F8091"/>
    </row>
    <row r="8092" spans="1:6" x14ac:dyDescent="0.25">
      <c r="A8092" s="364"/>
      <c r="B8092"/>
      <c r="C8092"/>
      <c r="D8092"/>
      <c r="E8092" s="364"/>
      <c r="F8092"/>
    </row>
    <row r="8093" spans="1:6" x14ac:dyDescent="0.25">
      <c r="A8093" s="364"/>
      <c r="B8093"/>
      <c r="C8093"/>
      <c r="D8093"/>
      <c r="E8093" s="364"/>
      <c r="F8093"/>
    </row>
    <row r="8094" spans="1:6" x14ac:dyDescent="0.25">
      <c r="A8094" s="364"/>
      <c r="B8094"/>
      <c r="C8094"/>
      <c r="D8094"/>
      <c r="E8094" s="364"/>
      <c r="F8094"/>
    </row>
    <row r="8095" spans="1:6" x14ac:dyDescent="0.25">
      <c r="A8095" s="364"/>
      <c r="B8095"/>
      <c r="C8095"/>
      <c r="D8095"/>
      <c r="E8095" s="364"/>
      <c r="F8095"/>
    </row>
    <row r="8096" spans="1:6" x14ac:dyDescent="0.25">
      <c r="A8096" s="364"/>
      <c r="B8096"/>
      <c r="C8096"/>
      <c r="D8096"/>
      <c r="E8096" s="364"/>
      <c r="F8096"/>
    </row>
    <row r="8097" spans="1:6" x14ac:dyDescent="0.25">
      <c r="A8097" s="364"/>
      <c r="B8097"/>
      <c r="C8097"/>
      <c r="D8097"/>
      <c r="E8097" s="364"/>
      <c r="F8097"/>
    </row>
    <row r="8098" spans="1:6" x14ac:dyDescent="0.25">
      <c r="A8098" s="364"/>
      <c r="B8098"/>
      <c r="C8098"/>
      <c r="D8098"/>
      <c r="E8098" s="364"/>
      <c r="F8098"/>
    </row>
    <row r="8099" spans="1:6" x14ac:dyDescent="0.25">
      <c r="A8099" s="364"/>
      <c r="B8099"/>
      <c r="C8099"/>
      <c r="D8099"/>
      <c r="E8099" s="364"/>
      <c r="F8099"/>
    </row>
    <row r="8100" spans="1:6" x14ac:dyDescent="0.25">
      <c r="A8100" s="364"/>
      <c r="B8100"/>
      <c r="C8100"/>
      <c r="D8100"/>
      <c r="E8100" s="364"/>
      <c r="F8100"/>
    </row>
    <row r="8101" spans="1:6" x14ac:dyDescent="0.25">
      <c r="A8101" s="364"/>
      <c r="B8101"/>
      <c r="C8101"/>
      <c r="D8101"/>
      <c r="E8101" s="364"/>
      <c r="F8101"/>
    </row>
    <row r="8102" spans="1:6" x14ac:dyDescent="0.25">
      <c r="A8102" s="364"/>
      <c r="B8102"/>
      <c r="C8102"/>
      <c r="D8102"/>
      <c r="E8102" s="364"/>
      <c r="F8102"/>
    </row>
    <row r="8103" spans="1:6" x14ac:dyDescent="0.25">
      <c r="A8103" s="364"/>
      <c r="B8103"/>
      <c r="C8103"/>
      <c r="D8103"/>
      <c r="E8103" s="364"/>
      <c r="F8103"/>
    </row>
    <row r="8104" spans="1:6" x14ac:dyDescent="0.25">
      <c r="A8104" s="364"/>
      <c r="B8104"/>
      <c r="C8104"/>
      <c r="D8104"/>
      <c r="E8104" s="364"/>
      <c r="F8104"/>
    </row>
    <row r="8105" spans="1:6" x14ac:dyDescent="0.25">
      <c r="A8105" s="364"/>
      <c r="B8105"/>
      <c r="C8105"/>
      <c r="D8105"/>
      <c r="E8105" s="364"/>
      <c r="F8105"/>
    </row>
    <row r="8106" spans="1:6" x14ac:dyDescent="0.25">
      <c r="A8106" s="364"/>
      <c r="B8106"/>
      <c r="C8106"/>
      <c r="D8106"/>
      <c r="E8106" s="364"/>
      <c r="F8106"/>
    </row>
    <row r="8107" spans="1:6" x14ac:dyDescent="0.25">
      <c r="A8107" s="364"/>
      <c r="B8107"/>
      <c r="C8107"/>
      <c r="D8107"/>
      <c r="E8107" s="364"/>
      <c r="F8107"/>
    </row>
    <row r="8108" spans="1:6" x14ac:dyDescent="0.25">
      <c r="A8108" s="364"/>
      <c r="B8108"/>
      <c r="C8108"/>
      <c r="D8108"/>
      <c r="E8108" s="364"/>
      <c r="F8108"/>
    </row>
    <row r="8109" spans="1:6" x14ac:dyDescent="0.25">
      <c r="A8109" s="364"/>
      <c r="B8109"/>
      <c r="C8109"/>
      <c r="D8109"/>
      <c r="E8109" s="364"/>
      <c r="F8109"/>
    </row>
    <row r="8110" spans="1:6" x14ac:dyDescent="0.25">
      <c r="A8110" s="364"/>
      <c r="B8110"/>
      <c r="C8110"/>
      <c r="D8110"/>
      <c r="E8110" s="364"/>
      <c r="F8110"/>
    </row>
    <row r="8111" spans="1:6" x14ac:dyDescent="0.25">
      <c r="A8111" s="364"/>
      <c r="B8111"/>
      <c r="C8111"/>
      <c r="D8111"/>
      <c r="E8111" s="364"/>
      <c r="F8111"/>
    </row>
    <row r="8112" spans="1:6" x14ac:dyDescent="0.25">
      <c r="A8112" s="364"/>
      <c r="B8112"/>
      <c r="C8112"/>
      <c r="D8112"/>
      <c r="E8112" s="364"/>
      <c r="F8112"/>
    </row>
    <row r="8113" spans="1:6" x14ac:dyDescent="0.25">
      <c r="A8113" s="364"/>
      <c r="B8113"/>
      <c r="C8113"/>
      <c r="D8113"/>
      <c r="E8113" s="364"/>
      <c r="F8113"/>
    </row>
    <row r="8114" spans="1:6" x14ac:dyDescent="0.25">
      <c r="A8114" s="364"/>
      <c r="B8114"/>
      <c r="C8114"/>
      <c r="D8114"/>
      <c r="E8114" s="364"/>
      <c r="F8114"/>
    </row>
    <row r="8115" spans="1:6" x14ac:dyDescent="0.25">
      <c r="A8115" s="364"/>
      <c r="B8115"/>
      <c r="C8115"/>
      <c r="D8115"/>
      <c r="E8115" s="364"/>
      <c r="F8115"/>
    </row>
    <row r="8116" spans="1:6" x14ac:dyDescent="0.25">
      <c r="A8116" s="364"/>
      <c r="B8116"/>
      <c r="C8116"/>
      <c r="D8116"/>
      <c r="E8116" s="364"/>
      <c r="F8116"/>
    </row>
    <row r="8117" spans="1:6" x14ac:dyDescent="0.25">
      <c r="A8117" s="364"/>
      <c r="B8117"/>
      <c r="C8117"/>
      <c r="D8117"/>
      <c r="E8117" s="364"/>
      <c r="F8117"/>
    </row>
    <row r="8118" spans="1:6" x14ac:dyDescent="0.25">
      <c r="A8118" s="364"/>
      <c r="B8118"/>
      <c r="C8118"/>
      <c r="D8118"/>
      <c r="E8118" s="364"/>
      <c r="F8118"/>
    </row>
    <row r="8119" spans="1:6" x14ac:dyDescent="0.25">
      <c r="A8119" s="364"/>
      <c r="B8119"/>
      <c r="C8119"/>
      <c r="D8119"/>
      <c r="E8119" s="364"/>
      <c r="F8119"/>
    </row>
    <row r="8120" spans="1:6" x14ac:dyDescent="0.25">
      <c r="A8120" s="364"/>
      <c r="B8120"/>
      <c r="C8120"/>
      <c r="D8120"/>
      <c r="E8120" s="364"/>
      <c r="F8120"/>
    </row>
    <row r="8121" spans="1:6" x14ac:dyDescent="0.25">
      <c r="A8121" s="364"/>
      <c r="B8121"/>
      <c r="C8121"/>
      <c r="D8121"/>
      <c r="E8121" s="364"/>
      <c r="F8121"/>
    </row>
    <row r="8122" spans="1:6" x14ac:dyDescent="0.25">
      <c r="A8122" s="364"/>
      <c r="B8122"/>
      <c r="C8122"/>
      <c r="D8122"/>
      <c r="E8122" s="364"/>
      <c r="F8122"/>
    </row>
    <row r="8123" spans="1:6" x14ac:dyDescent="0.25">
      <c r="A8123" s="364"/>
      <c r="B8123"/>
      <c r="C8123"/>
      <c r="D8123"/>
      <c r="E8123" s="364"/>
      <c r="F8123"/>
    </row>
    <row r="8124" spans="1:6" x14ac:dyDescent="0.25">
      <c r="A8124" s="364"/>
      <c r="B8124"/>
      <c r="C8124"/>
      <c r="D8124"/>
      <c r="E8124" s="364"/>
      <c r="F8124"/>
    </row>
    <row r="8125" spans="1:6" x14ac:dyDescent="0.25">
      <c r="A8125" s="364"/>
      <c r="B8125"/>
      <c r="C8125"/>
      <c r="D8125"/>
      <c r="E8125" s="364"/>
      <c r="F8125"/>
    </row>
    <row r="8126" spans="1:6" x14ac:dyDescent="0.25">
      <c r="A8126" s="364"/>
      <c r="B8126"/>
      <c r="C8126"/>
      <c r="D8126"/>
      <c r="E8126" s="364"/>
      <c r="F8126"/>
    </row>
    <row r="8127" spans="1:6" x14ac:dyDescent="0.25">
      <c r="A8127" s="364"/>
      <c r="B8127"/>
      <c r="C8127"/>
      <c r="D8127"/>
      <c r="E8127" s="364"/>
      <c r="F8127"/>
    </row>
    <row r="8128" spans="1:6" x14ac:dyDescent="0.25">
      <c r="A8128" s="364"/>
      <c r="B8128"/>
      <c r="C8128"/>
      <c r="D8128"/>
      <c r="E8128" s="364"/>
      <c r="F8128"/>
    </row>
    <row r="8129" spans="1:6" x14ac:dyDescent="0.25">
      <c r="A8129" s="364"/>
      <c r="B8129"/>
      <c r="C8129"/>
      <c r="D8129"/>
      <c r="E8129" s="364"/>
      <c r="F8129"/>
    </row>
    <row r="8130" spans="1:6" x14ac:dyDescent="0.25">
      <c r="A8130" s="364"/>
      <c r="B8130"/>
      <c r="C8130"/>
      <c r="D8130"/>
      <c r="E8130" s="364"/>
      <c r="F8130"/>
    </row>
    <row r="8131" spans="1:6" x14ac:dyDescent="0.25">
      <c r="A8131" s="364"/>
      <c r="B8131"/>
      <c r="C8131"/>
      <c r="D8131"/>
      <c r="E8131" s="364"/>
      <c r="F8131"/>
    </row>
    <row r="8132" spans="1:6" x14ac:dyDescent="0.25">
      <c r="A8132" s="364"/>
      <c r="B8132"/>
      <c r="C8132"/>
      <c r="D8132"/>
      <c r="E8132" s="364"/>
      <c r="F8132"/>
    </row>
    <row r="8133" spans="1:6" x14ac:dyDescent="0.25">
      <c r="A8133" s="364"/>
      <c r="B8133"/>
      <c r="C8133"/>
      <c r="D8133"/>
      <c r="E8133" s="364"/>
      <c r="F8133"/>
    </row>
    <row r="8134" spans="1:6" x14ac:dyDescent="0.25">
      <c r="A8134" s="364"/>
      <c r="B8134"/>
      <c r="C8134"/>
      <c r="D8134"/>
      <c r="E8134" s="364"/>
      <c r="F8134"/>
    </row>
    <row r="8135" spans="1:6" x14ac:dyDescent="0.25">
      <c r="A8135" s="364"/>
      <c r="B8135"/>
      <c r="C8135"/>
      <c r="D8135"/>
      <c r="E8135" s="364"/>
      <c r="F8135"/>
    </row>
    <row r="8136" spans="1:6" x14ac:dyDescent="0.25">
      <c r="A8136" s="364"/>
      <c r="B8136"/>
      <c r="C8136"/>
      <c r="D8136"/>
      <c r="E8136" s="364"/>
      <c r="F8136"/>
    </row>
    <row r="8137" spans="1:6" x14ac:dyDescent="0.25">
      <c r="A8137" s="364"/>
      <c r="B8137"/>
      <c r="C8137"/>
      <c r="D8137"/>
      <c r="E8137" s="364"/>
      <c r="F8137"/>
    </row>
    <row r="8138" spans="1:6" x14ac:dyDescent="0.25">
      <c r="A8138" s="364"/>
      <c r="B8138"/>
      <c r="C8138"/>
      <c r="D8138"/>
      <c r="E8138" s="364"/>
      <c r="F8138"/>
    </row>
    <row r="8139" spans="1:6" x14ac:dyDescent="0.25">
      <c r="A8139" s="364"/>
      <c r="B8139"/>
      <c r="C8139"/>
      <c r="D8139"/>
      <c r="E8139" s="364"/>
      <c r="F8139"/>
    </row>
    <row r="8140" spans="1:6" x14ac:dyDescent="0.25">
      <c r="A8140" s="364"/>
      <c r="B8140"/>
      <c r="C8140"/>
      <c r="D8140"/>
      <c r="E8140" s="364"/>
      <c r="F8140"/>
    </row>
    <row r="8141" spans="1:6" x14ac:dyDescent="0.25">
      <c r="A8141" s="364"/>
      <c r="B8141"/>
      <c r="C8141"/>
      <c r="D8141"/>
      <c r="E8141" s="364"/>
      <c r="F8141"/>
    </row>
    <row r="8142" spans="1:6" x14ac:dyDescent="0.25">
      <c r="A8142" s="364"/>
      <c r="B8142"/>
      <c r="C8142"/>
      <c r="D8142"/>
      <c r="E8142" s="364"/>
      <c r="F8142"/>
    </row>
    <row r="8143" spans="1:6" x14ac:dyDescent="0.25">
      <c r="A8143" s="364"/>
      <c r="B8143"/>
      <c r="C8143"/>
      <c r="D8143"/>
      <c r="E8143" s="364"/>
      <c r="F8143"/>
    </row>
    <row r="8144" spans="1:6" x14ac:dyDescent="0.25">
      <c r="A8144" s="364"/>
      <c r="B8144"/>
      <c r="C8144"/>
      <c r="D8144"/>
      <c r="E8144" s="364"/>
      <c r="F8144"/>
    </row>
    <row r="8145" spans="1:6" x14ac:dyDescent="0.25">
      <c r="A8145" s="364"/>
      <c r="B8145"/>
      <c r="C8145"/>
      <c r="D8145"/>
      <c r="E8145" s="364"/>
      <c r="F8145"/>
    </row>
    <row r="8146" spans="1:6" x14ac:dyDescent="0.25">
      <c r="A8146" s="364"/>
      <c r="B8146"/>
      <c r="C8146"/>
      <c r="D8146"/>
      <c r="E8146" s="364"/>
      <c r="F8146"/>
    </row>
    <row r="8147" spans="1:6" x14ac:dyDescent="0.25">
      <c r="A8147" s="364"/>
      <c r="B8147"/>
      <c r="C8147"/>
      <c r="D8147"/>
      <c r="E8147" s="364"/>
      <c r="F8147"/>
    </row>
    <row r="8148" spans="1:6" x14ac:dyDescent="0.25">
      <c r="A8148" s="364"/>
      <c r="B8148"/>
      <c r="C8148"/>
      <c r="D8148"/>
      <c r="E8148" s="364"/>
      <c r="F8148"/>
    </row>
    <row r="8149" spans="1:6" x14ac:dyDescent="0.25">
      <c r="A8149" s="364"/>
      <c r="B8149"/>
      <c r="C8149"/>
      <c r="D8149"/>
      <c r="E8149" s="364"/>
      <c r="F8149"/>
    </row>
    <row r="8150" spans="1:6" x14ac:dyDescent="0.25">
      <c r="A8150" s="364"/>
      <c r="B8150"/>
      <c r="C8150"/>
      <c r="D8150"/>
      <c r="E8150" s="364"/>
      <c r="F8150"/>
    </row>
    <row r="8151" spans="1:6" x14ac:dyDescent="0.25">
      <c r="A8151" s="364"/>
      <c r="B8151"/>
      <c r="C8151"/>
      <c r="D8151"/>
      <c r="E8151" s="364"/>
      <c r="F8151"/>
    </row>
    <row r="8152" spans="1:6" x14ac:dyDescent="0.25">
      <c r="A8152" s="364"/>
      <c r="B8152"/>
      <c r="C8152"/>
      <c r="D8152"/>
      <c r="E8152" s="364"/>
      <c r="F8152"/>
    </row>
    <row r="8153" spans="1:6" x14ac:dyDescent="0.25">
      <c r="A8153" s="364"/>
      <c r="B8153"/>
      <c r="C8153"/>
      <c r="D8153"/>
      <c r="E8153" s="364"/>
      <c r="F8153"/>
    </row>
    <row r="8154" spans="1:6" x14ac:dyDescent="0.25">
      <c r="A8154" s="364"/>
      <c r="B8154"/>
      <c r="C8154"/>
      <c r="D8154"/>
      <c r="E8154" s="364"/>
      <c r="F8154"/>
    </row>
    <row r="8155" spans="1:6" x14ac:dyDescent="0.25">
      <c r="A8155" s="364"/>
      <c r="B8155"/>
      <c r="C8155"/>
      <c r="D8155"/>
      <c r="E8155" s="364"/>
      <c r="F8155"/>
    </row>
    <row r="8156" spans="1:6" x14ac:dyDescent="0.25">
      <c r="A8156" s="364"/>
      <c r="B8156"/>
      <c r="C8156"/>
      <c r="D8156"/>
      <c r="E8156" s="364"/>
      <c r="F8156"/>
    </row>
    <row r="8157" spans="1:6" x14ac:dyDescent="0.25">
      <c r="A8157" s="364"/>
      <c r="B8157"/>
      <c r="C8157"/>
      <c r="D8157"/>
      <c r="E8157" s="364"/>
      <c r="F8157"/>
    </row>
    <row r="8158" spans="1:6" x14ac:dyDescent="0.25">
      <c r="A8158" s="364"/>
      <c r="B8158"/>
      <c r="C8158"/>
      <c r="D8158"/>
      <c r="E8158" s="364"/>
      <c r="F8158"/>
    </row>
    <row r="8159" spans="1:6" x14ac:dyDescent="0.25">
      <c r="A8159" s="364"/>
      <c r="B8159"/>
      <c r="C8159"/>
      <c r="D8159"/>
      <c r="E8159" s="364"/>
      <c r="F8159"/>
    </row>
    <row r="8160" spans="1:6" x14ac:dyDescent="0.25">
      <c r="A8160" s="364"/>
      <c r="B8160"/>
      <c r="C8160"/>
      <c r="D8160"/>
      <c r="E8160" s="364"/>
      <c r="F8160"/>
    </row>
    <row r="8161" spans="1:6" x14ac:dyDescent="0.25">
      <c r="A8161" s="364"/>
      <c r="B8161"/>
      <c r="C8161"/>
      <c r="D8161"/>
      <c r="E8161" s="364"/>
      <c r="F8161"/>
    </row>
    <row r="8162" spans="1:6" x14ac:dyDescent="0.25">
      <c r="A8162" s="364"/>
      <c r="B8162"/>
      <c r="C8162"/>
      <c r="D8162"/>
      <c r="E8162" s="364"/>
      <c r="F8162"/>
    </row>
    <row r="8163" spans="1:6" x14ac:dyDescent="0.25">
      <c r="A8163" s="364"/>
      <c r="B8163"/>
      <c r="C8163"/>
      <c r="D8163"/>
      <c r="E8163" s="364"/>
      <c r="F8163"/>
    </row>
    <row r="8164" spans="1:6" x14ac:dyDescent="0.25">
      <c r="A8164" s="364"/>
      <c r="B8164"/>
      <c r="C8164"/>
      <c r="D8164"/>
      <c r="E8164" s="364"/>
      <c r="F8164"/>
    </row>
    <row r="8165" spans="1:6" x14ac:dyDescent="0.25">
      <c r="A8165" s="364"/>
      <c r="B8165"/>
      <c r="C8165"/>
      <c r="D8165"/>
      <c r="E8165" s="364"/>
      <c r="F8165"/>
    </row>
    <row r="8166" spans="1:6" x14ac:dyDescent="0.25">
      <c r="A8166" s="364"/>
      <c r="B8166"/>
      <c r="C8166"/>
      <c r="D8166"/>
      <c r="E8166" s="364"/>
      <c r="F8166"/>
    </row>
    <row r="8167" spans="1:6" x14ac:dyDescent="0.25">
      <c r="A8167" s="364"/>
      <c r="B8167"/>
      <c r="C8167"/>
      <c r="D8167"/>
      <c r="E8167" s="364"/>
      <c r="F8167"/>
    </row>
    <row r="8168" spans="1:6" x14ac:dyDescent="0.25">
      <c r="A8168" s="364"/>
      <c r="B8168"/>
      <c r="C8168"/>
      <c r="D8168"/>
      <c r="E8168" s="364"/>
      <c r="F8168"/>
    </row>
    <row r="8169" spans="1:6" x14ac:dyDescent="0.25">
      <c r="A8169" s="364"/>
      <c r="B8169"/>
      <c r="C8169"/>
      <c r="D8169"/>
      <c r="E8169" s="364"/>
      <c r="F8169"/>
    </row>
    <row r="8170" spans="1:6" x14ac:dyDescent="0.25">
      <c r="A8170" s="364"/>
      <c r="B8170"/>
      <c r="C8170"/>
      <c r="D8170"/>
      <c r="E8170" s="364"/>
      <c r="F8170"/>
    </row>
    <row r="8171" spans="1:6" x14ac:dyDescent="0.25">
      <c r="A8171" s="364"/>
      <c r="B8171"/>
      <c r="C8171"/>
      <c r="D8171"/>
      <c r="E8171" s="364"/>
      <c r="F8171"/>
    </row>
    <row r="8172" spans="1:6" x14ac:dyDescent="0.25">
      <c r="A8172" s="364"/>
      <c r="B8172"/>
      <c r="C8172"/>
      <c r="D8172"/>
      <c r="E8172" s="364"/>
      <c r="F8172"/>
    </row>
    <row r="8173" spans="1:6" x14ac:dyDescent="0.25">
      <c r="A8173" s="364"/>
      <c r="B8173"/>
      <c r="C8173"/>
      <c r="D8173"/>
      <c r="E8173" s="364"/>
      <c r="F8173"/>
    </row>
    <row r="8174" spans="1:6" x14ac:dyDescent="0.25">
      <c r="A8174" s="364"/>
      <c r="B8174"/>
      <c r="C8174"/>
      <c r="D8174"/>
      <c r="E8174" s="364"/>
      <c r="F8174"/>
    </row>
    <row r="8175" spans="1:6" x14ac:dyDescent="0.25">
      <c r="A8175" s="364"/>
      <c r="B8175"/>
      <c r="C8175"/>
      <c r="D8175"/>
      <c r="E8175" s="364"/>
      <c r="F8175"/>
    </row>
    <row r="8176" spans="1:6" x14ac:dyDescent="0.25">
      <c r="A8176" s="364"/>
      <c r="B8176"/>
      <c r="C8176"/>
      <c r="D8176"/>
      <c r="E8176" s="364"/>
      <c r="F8176"/>
    </row>
    <row r="8177" spans="1:6" x14ac:dyDescent="0.25">
      <c r="A8177" s="364"/>
      <c r="B8177"/>
      <c r="C8177"/>
      <c r="D8177"/>
      <c r="E8177" s="364"/>
      <c r="F8177"/>
    </row>
    <row r="8178" spans="1:6" x14ac:dyDescent="0.25">
      <c r="A8178" s="364"/>
      <c r="B8178"/>
      <c r="C8178"/>
      <c r="D8178"/>
      <c r="E8178" s="364"/>
      <c r="F8178"/>
    </row>
    <row r="8179" spans="1:6" x14ac:dyDescent="0.25">
      <c r="A8179" s="364"/>
      <c r="B8179"/>
      <c r="C8179"/>
      <c r="D8179"/>
      <c r="E8179" s="364"/>
      <c r="F8179"/>
    </row>
    <row r="8180" spans="1:6" x14ac:dyDescent="0.25">
      <c r="A8180" s="364"/>
      <c r="B8180"/>
      <c r="C8180"/>
      <c r="D8180"/>
      <c r="E8180" s="364"/>
      <c r="F8180"/>
    </row>
    <row r="8181" spans="1:6" x14ac:dyDescent="0.25">
      <c r="A8181" s="364"/>
      <c r="B8181"/>
      <c r="C8181"/>
      <c r="D8181"/>
      <c r="E8181" s="364"/>
      <c r="F8181"/>
    </row>
    <row r="8182" spans="1:6" x14ac:dyDescent="0.25">
      <c r="A8182" s="364"/>
      <c r="B8182"/>
      <c r="C8182"/>
      <c r="D8182"/>
      <c r="E8182" s="364"/>
      <c r="F8182"/>
    </row>
    <row r="8183" spans="1:6" x14ac:dyDescent="0.25">
      <c r="A8183" s="364"/>
      <c r="B8183"/>
      <c r="C8183"/>
      <c r="D8183"/>
      <c r="E8183" s="364"/>
      <c r="F8183"/>
    </row>
    <row r="8184" spans="1:6" x14ac:dyDescent="0.25">
      <c r="A8184" s="364"/>
      <c r="B8184"/>
      <c r="C8184"/>
      <c r="D8184"/>
      <c r="E8184" s="364"/>
      <c r="F8184"/>
    </row>
    <row r="8185" spans="1:6" x14ac:dyDescent="0.25">
      <c r="A8185" s="364"/>
      <c r="B8185"/>
      <c r="C8185"/>
      <c r="D8185"/>
      <c r="E8185" s="364"/>
      <c r="F8185"/>
    </row>
    <row r="8186" spans="1:6" x14ac:dyDescent="0.25">
      <c r="A8186" s="364"/>
      <c r="B8186"/>
      <c r="C8186"/>
      <c r="D8186"/>
      <c r="E8186" s="364"/>
      <c r="F8186"/>
    </row>
    <row r="8187" spans="1:6" x14ac:dyDescent="0.25">
      <c r="A8187" s="364"/>
      <c r="B8187"/>
      <c r="C8187"/>
      <c r="D8187"/>
      <c r="E8187" s="364"/>
      <c r="F8187"/>
    </row>
    <row r="8188" spans="1:6" x14ac:dyDescent="0.25">
      <c r="A8188" s="364"/>
      <c r="B8188"/>
      <c r="C8188"/>
      <c r="D8188"/>
      <c r="E8188" s="364"/>
      <c r="F8188"/>
    </row>
    <row r="8189" spans="1:6" x14ac:dyDescent="0.25">
      <c r="A8189" s="364"/>
      <c r="B8189"/>
      <c r="C8189"/>
      <c r="D8189"/>
      <c r="E8189" s="364"/>
      <c r="F8189"/>
    </row>
    <row r="8190" spans="1:6" x14ac:dyDescent="0.25">
      <c r="A8190" s="364"/>
      <c r="B8190"/>
      <c r="C8190"/>
      <c r="D8190"/>
      <c r="E8190" s="364"/>
      <c r="F8190"/>
    </row>
    <row r="8191" spans="1:6" x14ac:dyDescent="0.25">
      <c r="A8191" s="364"/>
      <c r="B8191"/>
      <c r="C8191"/>
      <c r="D8191"/>
      <c r="E8191" s="364"/>
      <c r="F8191"/>
    </row>
    <row r="8192" spans="1:6" x14ac:dyDescent="0.25">
      <c r="A8192" s="364"/>
      <c r="B8192"/>
      <c r="C8192"/>
      <c r="D8192"/>
      <c r="E8192" s="364"/>
      <c r="F8192"/>
    </row>
    <row r="8193" spans="1:6" x14ac:dyDescent="0.25">
      <c r="A8193" s="364"/>
      <c r="B8193"/>
      <c r="C8193"/>
      <c r="D8193"/>
      <c r="E8193" s="364"/>
      <c r="F8193"/>
    </row>
    <row r="8194" spans="1:6" x14ac:dyDescent="0.25">
      <c r="A8194" s="364"/>
      <c r="B8194"/>
      <c r="C8194"/>
      <c r="D8194"/>
      <c r="E8194" s="364"/>
      <c r="F8194"/>
    </row>
    <row r="8195" spans="1:6" x14ac:dyDescent="0.25">
      <c r="A8195" s="364"/>
      <c r="B8195"/>
      <c r="C8195"/>
      <c r="D8195"/>
      <c r="E8195" s="364"/>
      <c r="F8195"/>
    </row>
    <row r="8196" spans="1:6" x14ac:dyDescent="0.25">
      <c r="A8196" s="364"/>
      <c r="B8196"/>
      <c r="C8196"/>
      <c r="D8196"/>
      <c r="E8196" s="364"/>
      <c r="F8196"/>
    </row>
    <row r="8197" spans="1:6" x14ac:dyDescent="0.25">
      <c r="A8197" s="364"/>
      <c r="B8197"/>
      <c r="C8197"/>
      <c r="D8197"/>
      <c r="E8197" s="364"/>
      <c r="F8197"/>
    </row>
    <row r="8198" spans="1:6" x14ac:dyDescent="0.25">
      <c r="A8198" s="364"/>
      <c r="B8198"/>
      <c r="C8198"/>
      <c r="D8198"/>
      <c r="E8198" s="364"/>
      <c r="F8198"/>
    </row>
    <row r="8199" spans="1:6" x14ac:dyDescent="0.25">
      <c r="A8199" s="364"/>
      <c r="B8199"/>
      <c r="C8199"/>
      <c r="D8199"/>
      <c r="E8199" s="364"/>
      <c r="F8199"/>
    </row>
    <row r="8200" spans="1:6" x14ac:dyDescent="0.25">
      <c r="A8200" s="364"/>
      <c r="B8200"/>
      <c r="C8200"/>
      <c r="D8200"/>
      <c r="E8200" s="364"/>
      <c r="F8200"/>
    </row>
    <row r="8201" spans="1:6" x14ac:dyDescent="0.25">
      <c r="A8201" s="364"/>
      <c r="B8201"/>
      <c r="C8201"/>
      <c r="D8201"/>
      <c r="E8201" s="364"/>
      <c r="F8201"/>
    </row>
    <row r="8202" spans="1:6" x14ac:dyDescent="0.25">
      <c r="A8202" s="364"/>
      <c r="B8202"/>
      <c r="C8202"/>
      <c r="D8202"/>
      <c r="E8202" s="364"/>
      <c r="F8202"/>
    </row>
    <row r="8203" spans="1:6" x14ac:dyDescent="0.25">
      <c r="A8203" s="364"/>
      <c r="B8203"/>
      <c r="C8203"/>
      <c r="D8203"/>
      <c r="E8203" s="364"/>
      <c r="F8203"/>
    </row>
    <row r="8204" spans="1:6" x14ac:dyDescent="0.25">
      <c r="A8204" s="364"/>
      <c r="B8204"/>
      <c r="C8204"/>
      <c r="D8204"/>
      <c r="E8204" s="364"/>
      <c r="F8204"/>
    </row>
    <row r="8205" spans="1:6" x14ac:dyDescent="0.25">
      <c r="A8205" s="364"/>
      <c r="B8205"/>
      <c r="C8205"/>
      <c r="D8205"/>
      <c r="E8205" s="364"/>
      <c r="F8205"/>
    </row>
    <row r="8206" spans="1:6" x14ac:dyDescent="0.25">
      <c r="A8206" s="364"/>
      <c r="B8206"/>
      <c r="C8206"/>
      <c r="D8206"/>
      <c r="E8206" s="364"/>
      <c r="F8206"/>
    </row>
    <row r="8207" spans="1:6" x14ac:dyDescent="0.25">
      <c r="A8207" s="364"/>
      <c r="B8207"/>
      <c r="C8207"/>
      <c r="D8207"/>
      <c r="E8207" s="364"/>
      <c r="F8207"/>
    </row>
    <row r="8208" spans="1:6" x14ac:dyDescent="0.25">
      <c r="A8208" s="364"/>
      <c r="B8208"/>
      <c r="C8208"/>
      <c r="D8208"/>
      <c r="E8208" s="364"/>
      <c r="F8208"/>
    </row>
    <row r="8209" spans="1:6" x14ac:dyDescent="0.25">
      <c r="A8209" s="364"/>
      <c r="B8209"/>
      <c r="C8209"/>
      <c r="D8209"/>
      <c r="E8209" s="364"/>
      <c r="F8209"/>
    </row>
    <row r="8210" spans="1:6" x14ac:dyDescent="0.25">
      <c r="A8210" s="364"/>
      <c r="B8210"/>
      <c r="C8210"/>
      <c r="D8210"/>
      <c r="E8210" s="364"/>
      <c r="F8210"/>
    </row>
    <row r="8211" spans="1:6" x14ac:dyDescent="0.25">
      <c r="A8211" s="364"/>
      <c r="B8211"/>
      <c r="C8211"/>
      <c r="D8211"/>
      <c r="E8211" s="364"/>
      <c r="F8211"/>
    </row>
    <row r="8212" spans="1:6" x14ac:dyDescent="0.25">
      <c r="A8212" s="364"/>
      <c r="B8212"/>
      <c r="C8212"/>
      <c r="D8212"/>
      <c r="E8212" s="364"/>
      <c r="F8212"/>
    </row>
    <row r="8213" spans="1:6" x14ac:dyDescent="0.25">
      <c r="A8213" s="364"/>
      <c r="B8213"/>
      <c r="C8213"/>
      <c r="D8213"/>
      <c r="E8213" s="364"/>
      <c r="F8213"/>
    </row>
    <row r="8214" spans="1:6" x14ac:dyDescent="0.25">
      <c r="A8214" s="364"/>
      <c r="B8214"/>
      <c r="C8214"/>
      <c r="D8214"/>
      <c r="E8214" s="364"/>
      <c r="F8214"/>
    </row>
    <row r="8215" spans="1:6" x14ac:dyDescent="0.25">
      <c r="A8215" s="364"/>
      <c r="B8215"/>
      <c r="C8215"/>
      <c r="D8215"/>
      <c r="E8215" s="364"/>
      <c r="F8215"/>
    </row>
    <row r="8216" spans="1:6" x14ac:dyDescent="0.25">
      <c r="A8216" s="364"/>
      <c r="B8216"/>
      <c r="C8216"/>
      <c r="D8216"/>
      <c r="E8216" s="364"/>
      <c r="F8216"/>
    </row>
    <row r="8217" spans="1:6" x14ac:dyDescent="0.25">
      <c r="A8217" s="364"/>
      <c r="B8217"/>
      <c r="C8217"/>
      <c r="D8217"/>
      <c r="E8217" s="364"/>
      <c r="F8217"/>
    </row>
    <row r="8218" spans="1:6" x14ac:dyDescent="0.25">
      <c r="A8218" s="364"/>
      <c r="B8218"/>
      <c r="C8218"/>
      <c r="D8218"/>
      <c r="E8218" s="364"/>
      <c r="F8218"/>
    </row>
    <row r="8219" spans="1:6" x14ac:dyDescent="0.25">
      <c r="A8219" s="364"/>
      <c r="B8219"/>
      <c r="C8219"/>
      <c r="D8219"/>
      <c r="E8219" s="364"/>
      <c r="F8219"/>
    </row>
    <row r="8220" spans="1:6" x14ac:dyDescent="0.25">
      <c r="A8220" s="364"/>
      <c r="B8220"/>
      <c r="C8220"/>
      <c r="D8220"/>
      <c r="E8220" s="364"/>
      <c r="F8220"/>
    </row>
    <row r="8221" spans="1:6" x14ac:dyDescent="0.25">
      <c r="A8221" s="364"/>
      <c r="B8221"/>
      <c r="C8221"/>
      <c r="D8221"/>
      <c r="E8221" s="364"/>
      <c r="F8221"/>
    </row>
    <row r="8222" spans="1:6" x14ac:dyDescent="0.25">
      <c r="A8222" s="364"/>
      <c r="B8222"/>
      <c r="C8222"/>
      <c r="D8222"/>
      <c r="E8222" s="364"/>
      <c r="F8222"/>
    </row>
    <row r="8223" spans="1:6" x14ac:dyDescent="0.25">
      <c r="A8223" s="364"/>
      <c r="B8223"/>
      <c r="C8223"/>
      <c r="D8223"/>
      <c r="E8223" s="364"/>
      <c r="F8223"/>
    </row>
    <row r="8224" spans="1:6" x14ac:dyDescent="0.25">
      <c r="A8224" s="364"/>
      <c r="B8224"/>
      <c r="C8224"/>
      <c r="D8224"/>
      <c r="E8224" s="364"/>
      <c r="F8224"/>
    </row>
    <row r="8225" spans="1:6" x14ac:dyDescent="0.25">
      <c r="A8225" s="364"/>
      <c r="B8225"/>
      <c r="C8225"/>
      <c r="D8225"/>
      <c r="E8225" s="364"/>
      <c r="F8225"/>
    </row>
    <row r="8226" spans="1:6" x14ac:dyDescent="0.25">
      <c r="A8226" s="364"/>
      <c r="B8226"/>
      <c r="C8226"/>
      <c r="D8226"/>
      <c r="E8226" s="364"/>
      <c r="F8226"/>
    </row>
    <row r="8227" spans="1:6" x14ac:dyDescent="0.25">
      <c r="A8227" s="364"/>
      <c r="B8227"/>
      <c r="C8227"/>
      <c r="D8227"/>
      <c r="E8227" s="364"/>
      <c r="F8227"/>
    </row>
    <row r="8228" spans="1:6" x14ac:dyDescent="0.25">
      <c r="A8228" s="364"/>
      <c r="B8228"/>
      <c r="C8228"/>
      <c r="D8228"/>
      <c r="E8228" s="364"/>
      <c r="F8228"/>
    </row>
    <row r="8229" spans="1:6" x14ac:dyDescent="0.25">
      <c r="A8229" s="364"/>
      <c r="B8229"/>
      <c r="C8229"/>
      <c r="D8229"/>
      <c r="E8229" s="364"/>
      <c r="F8229"/>
    </row>
    <row r="8230" spans="1:6" x14ac:dyDescent="0.25">
      <c r="A8230" s="364"/>
      <c r="B8230"/>
      <c r="C8230"/>
      <c r="D8230"/>
      <c r="E8230" s="364"/>
      <c r="F8230"/>
    </row>
    <row r="8231" spans="1:6" x14ac:dyDescent="0.25">
      <c r="A8231" s="364"/>
      <c r="B8231"/>
      <c r="C8231"/>
      <c r="D8231"/>
      <c r="E8231" s="364"/>
      <c r="F8231"/>
    </row>
    <row r="8232" spans="1:6" x14ac:dyDescent="0.25">
      <c r="A8232" s="364"/>
      <c r="B8232"/>
      <c r="C8232"/>
      <c r="D8232"/>
      <c r="E8232" s="364"/>
      <c r="F8232"/>
    </row>
    <row r="8233" spans="1:6" x14ac:dyDescent="0.25">
      <c r="A8233" s="364"/>
      <c r="B8233"/>
      <c r="C8233"/>
      <c r="D8233"/>
      <c r="E8233" s="364"/>
      <c r="F8233"/>
    </row>
    <row r="8234" spans="1:6" x14ac:dyDescent="0.25">
      <c r="A8234" s="364"/>
      <c r="B8234"/>
      <c r="C8234"/>
      <c r="D8234"/>
      <c r="E8234" s="364"/>
      <c r="F8234"/>
    </row>
    <row r="8235" spans="1:6" x14ac:dyDescent="0.25">
      <c r="A8235" s="364"/>
      <c r="B8235"/>
      <c r="C8235"/>
      <c r="D8235"/>
      <c r="E8235" s="364"/>
      <c r="F8235"/>
    </row>
    <row r="8236" spans="1:6" x14ac:dyDescent="0.25">
      <c r="A8236" s="364"/>
      <c r="B8236"/>
      <c r="C8236"/>
      <c r="D8236"/>
      <c r="E8236" s="364"/>
      <c r="F8236"/>
    </row>
    <row r="8237" spans="1:6" x14ac:dyDescent="0.25">
      <c r="A8237" s="364"/>
      <c r="B8237"/>
      <c r="C8237"/>
      <c r="D8237"/>
      <c r="E8237" s="364"/>
      <c r="F8237"/>
    </row>
    <row r="8238" spans="1:6" x14ac:dyDescent="0.25">
      <c r="A8238" s="364"/>
      <c r="B8238"/>
      <c r="C8238"/>
      <c r="D8238"/>
      <c r="E8238" s="364"/>
      <c r="F8238"/>
    </row>
    <row r="8239" spans="1:6" x14ac:dyDescent="0.25">
      <c r="A8239" s="364"/>
      <c r="B8239"/>
      <c r="C8239"/>
      <c r="D8239"/>
      <c r="E8239" s="364"/>
      <c r="F8239"/>
    </row>
    <row r="8240" spans="1:6" x14ac:dyDescent="0.25">
      <c r="A8240" s="364"/>
      <c r="B8240"/>
      <c r="C8240"/>
      <c r="D8240"/>
      <c r="E8240" s="364"/>
      <c r="F8240"/>
    </row>
    <row r="8241" spans="1:6" x14ac:dyDescent="0.25">
      <c r="A8241" s="364"/>
      <c r="B8241"/>
      <c r="C8241"/>
      <c r="D8241"/>
      <c r="E8241" s="364"/>
      <c r="F8241"/>
    </row>
    <row r="8242" spans="1:6" x14ac:dyDescent="0.25">
      <c r="A8242" s="364"/>
      <c r="B8242"/>
      <c r="C8242"/>
      <c r="D8242"/>
      <c r="E8242" s="364"/>
      <c r="F8242"/>
    </row>
    <row r="8243" spans="1:6" x14ac:dyDescent="0.25">
      <c r="A8243" s="364"/>
      <c r="B8243"/>
      <c r="C8243"/>
      <c r="D8243"/>
      <c r="E8243" s="364"/>
      <c r="F8243"/>
    </row>
    <row r="8244" spans="1:6" x14ac:dyDescent="0.25">
      <c r="A8244" s="364"/>
      <c r="B8244"/>
      <c r="C8244"/>
      <c r="D8244"/>
      <c r="E8244" s="364"/>
      <c r="F8244"/>
    </row>
    <row r="8245" spans="1:6" x14ac:dyDescent="0.25">
      <c r="A8245" s="364"/>
      <c r="B8245"/>
      <c r="C8245"/>
      <c r="D8245"/>
      <c r="E8245" s="364"/>
      <c r="F8245"/>
    </row>
    <row r="8246" spans="1:6" x14ac:dyDescent="0.25">
      <c r="A8246" s="364"/>
      <c r="B8246"/>
      <c r="C8246"/>
      <c r="D8246"/>
      <c r="E8246" s="364"/>
      <c r="F8246"/>
    </row>
    <row r="8247" spans="1:6" x14ac:dyDescent="0.25">
      <c r="A8247" s="364"/>
      <c r="B8247"/>
      <c r="C8247"/>
      <c r="D8247"/>
      <c r="E8247" s="364"/>
      <c r="F8247"/>
    </row>
    <row r="8248" spans="1:6" x14ac:dyDescent="0.25">
      <c r="A8248" s="364"/>
      <c r="B8248"/>
      <c r="C8248"/>
      <c r="D8248"/>
      <c r="E8248" s="364"/>
      <c r="F8248"/>
    </row>
    <row r="8249" spans="1:6" x14ac:dyDescent="0.25">
      <c r="A8249" s="364"/>
      <c r="B8249"/>
      <c r="C8249"/>
      <c r="D8249"/>
      <c r="E8249" s="364"/>
      <c r="F8249"/>
    </row>
    <row r="8250" spans="1:6" x14ac:dyDescent="0.25">
      <c r="A8250" s="364"/>
      <c r="B8250"/>
      <c r="C8250"/>
      <c r="D8250"/>
      <c r="E8250" s="364"/>
      <c r="F8250"/>
    </row>
    <row r="8251" spans="1:6" x14ac:dyDescent="0.25">
      <c r="A8251" s="364"/>
      <c r="B8251"/>
      <c r="C8251"/>
      <c r="D8251"/>
      <c r="E8251" s="364"/>
      <c r="F8251"/>
    </row>
    <row r="8252" spans="1:6" x14ac:dyDescent="0.25">
      <c r="A8252" s="364"/>
      <c r="B8252"/>
      <c r="C8252"/>
      <c r="D8252"/>
      <c r="E8252" s="364"/>
      <c r="F8252"/>
    </row>
    <row r="8253" spans="1:6" x14ac:dyDescent="0.25">
      <c r="A8253" s="364"/>
      <c r="B8253"/>
      <c r="C8253"/>
      <c r="D8253"/>
      <c r="E8253" s="364"/>
      <c r="F8253"/>
    </row>
    <row r="8254" spans="1:6" x14ac:dyDescent="0.25">
      <c r="A8254" s="364"/>
      <c r="B8254"/>
      <c r="C8254"/>
      <c r="D8254"/>
      <c r="E8254" s="364"/>
      <c r="F8254"/>
    </row>
    <row r="8255" spans="1:6" x14ac:dyDescent="0.25">
      <c r="A8255" s="364"/>
      <c r="B8255"/>
      <c r="C8255"/>
      <c r="D8255"/>
      <c r="E8255" s="364"/>
      <c r="F8255"/>
    </row>
    <row r="8256" spans="1:6" x14ac:dyDescent="0.25">
      <c r="A8256" s="364"/>
      <c r="B8256"/>
      <c r="C8256"/>
      <c r="D8256"/>
      <c r="E8256" s="364"/>
      <c r="F8256"/>
    </row>
    <row r="8257" spans="1:6" x14ac:dyDescent="0.25">
      <c r="A8257" s="364"/>
      <c r="B8257"/>
      <c r="C8257"/>
      <c r="D8257"/>
      <c r="E8257" s="364"/>
      <c r="F8257"/>
    </row>
    <row r="8258" spans="1:6" x14ac:dyDescent="0.25">
      <c r="A8258" s="364"/>
      <c r="B8258"/>
      <c r="C8258"/>
      <c r="D8258"/>
      <c r="E8258" s="364"/>
      <c r="F8258"/>
    </row>
    <row r="8259" spans="1:6" x14ac:dyDescent="0.25">
      <c r="A8259" s="364"/>
      <c r="B8259"/>
      <c r="C8259"/>
      <c r="D8259"/>
      <c r="E8259" s="364"/>
      <c r="F8259"/>
    </row>
    <row r="8260" spans="1:6" x14ac:dyDescent="0.25">
      <c r="A8260" s="364"/>
      <c r="B8260"/>
      <c r="C8260"/>
      <c r="D8260"/>
      <c r="E8260" s="364"/>
      <c r="F8260"/>
    </row>
    <row r="8261" spans="1:6" x14ac:dyDescent="0.25">
      <c r="A8261" s="364"/>
      <c r="B8261"/>
      <c r="C8261"/>
      <c r="D8261"/>
      <c r="E8261" s="364"/>
      <c r="F8261"/>
    </row>
    <row r="8262" spans="1:6" x14ac:dyDescent="0.25">
      <c r="A8262" s="364"/>
      <c r="B8262"/>
      <c r="C8262"/>
      <c r="D8262"/>
      <c r="E8262" s="364"/>
      <c r="F8262"/>
    </row>
    <row r="8263" spans="1:6" x14ac:dyDescent="0.25">
      <c r="A8263" s="364"/>
      <c r="B8263"/>
      <c r="C8263"/>
      <c r="D8263"/>
      <c r="E8263" s="364"/>
      <c r="F8263"/>
    </row>
    <row r="8264" spans="1:6" x14ac:dyDescent="0.25">
      <c r="A8264" s="364"/>
      <c r="B8264"/>
      <c r="C8264"/>
      <c r="D8264"/>
      <c r="E8264" s="364"/>
      <c r="F8264"/>
    </row>
    <row r="8265" spans="1:6" x14ac:dyDescent="0.25">
      <c r="A8265" s="364"/>
      <c r="B8265"/>
      <c r="C8265"/>
      <c r="D8265"/>
      <c r="E8265" s="364"/>
      <c r="F8265"/>
    </row>
    <row r="8266" spans="1:6" x14ac:dyDescent="0.25">
      <c r="A8266" s="364"/>
      <c r="B8266"/>
      <c r="C8266"/>
      <c r="D8266"/>
      <c r="E8266" s="364"/>
      <c r="F8266"/>
    </row>
    <row r="8267" spans="1:6" x14ac:dyDescent="0.25">
      <c r="A8267" s="364"/>
      <c r="B8267"/>
      <c r="C8267"/>
      <c r="D8267"/>
      <c r="E8267" s="364"/>
      <c r="F8267"/>
    </row>
    <row r="8268" spans="1:6" x14ac:dyDescent="0.25">
      <c r="A8268" s="364"/>
      <c r="B8268"/>
      <c r="C8268"/>
      <c r="D8268"/>
      <c r="E8268" s="364"/>
      <c r="F8268"/>
    </row>
    <row r="8269" spans="1:6" x14ac:dyDescent="0.25">
      <c r="A8269" s="364"/>
      <c r="B8269"/>
      <c r="C8269"/>
      <c r="D8269"/>
      <c r="E8269" s="364"/>
      <c r="F8269"/>
    </row>
    <row r="8270" spans="1:6" x14ac:dyDescent="0.25">
      <c r="A8270" s="364"/>
      <c r="B8270"/>
      <c r="C8270"/>
      <c r="D8270"/>
      <c r="E8270" s="364"/>
      <c r="F8270"/>
    </row>
    <row r="8271" spans="1:6" x14ac:dyDescent="0.25">
      <c r="A8271" s="364"/>
      <c r="B8271"/>
      <c r="C8271"/>
      <c r="D8271"/>
      <c r="E8271" s="364"/>
      <c r="F8271"/>
    </row>
    <row r="8272" spans="1:6" x14ac:dyDescent="0.25">
      <c r="A8272" s="364"/>
      <c r="B8272"/>
      <c r="C8272"/>
      <c r="D8272"/>
      <c r="E8272" s="364"/>
      <c r="F8272"/>
    </row>
    <row r="8273" spans="1:6" x14ac:dyDescent="0.25">
      <c r="A8273" s="364"/>
      <c r="B8273"/>
      <c r="C8273"/>
      <c r="D8273"/>
      <c r="E8273" s="364"/>
      <c r="F8273"/>
    </row>
    <row r="8274" spans="1:6" x14ac:dyDescent="0.25">
      <c r="A8274" s="364"/>
      <c r="B8274"/>
      <c r="C8274"/>
      <c r="D8274"/>
      <c r="E8274" s="364"/>
      <c r="F8274"/>
    </row>
    <row r="8275" spans="1:6" x14ac:dyDescent="0.25">
      <c r="A8275" s="364"/>
      <c r="B8275"/>
      <c r="C8275"/>
      <c r="D8275"/>
      <c r="E8275" s="364"/>
      <c r="F8275"/>
    </row>
    <row r="8276" spans="1:6" x14ac:dyDescent="0.25">
      <c r="A8276" s="364"/>
      <c r="B8276"/>
      <c r="C8276"/>
      <c r="D8276"/>
      <c r="E8276" s="364"/>
      <c r="F8276"/>
    </row>
    <row r="8277" spans="1:6" x14ac:dyDescent="0.25">
      <c r="A8277" s="364"/>
      <c r="B8277"/>
      <c r="C8277"/>
      <c r="D8277"/>
      <c r="E8277" s="364"/>
      <c r="F8277"/>
    </row>
    <row r="8278" spans="1:6" x14ac:dyDescent="0.25">
      <c r="A8278" s="364"/>
      <c r="B8278"/>
      <c r="C8278"/>
      <c r="D8278"/>
      <c r="E8278" s="364"/>
      <c r="F8278"/>
    </row>
    <row r="8279" spans="1:6" x14ac:dyDescent="0.25">
      <c r="A8279" s="364"/>
      <c r="B8279"/>
      <c r="C8279"/>
      <c r="D8279"/>
      <c r="E8279" s="364"/>
      <c r="F8279"/>
    </row>
    <row r="8280" spans="1:6" x14ac:dyDescent="0.25">
      <c r="A8280" s="364"/>
      <c r="B8280"/>
      <c r="C8280"/>
      <c r="D8280"/>
      <c r="E8280" s="364"/>
      <c r="F8280"/>
    </row>
    <row r="8281" spans="1:6" x14ac:dyDescent="0.25">
      <c r="A8281" s="364"/>
      <c r="B8281"/>
      <c r="C8281"/>
      <c r="D8281"/>
      <c r="E8281" s="364"/>
      <c r="F8281"/>
    </row>
    <row r="8282" spans="1:6" x14ac:dyDescent="0.25">
      <c r="A8282" s="364"/>
      <c r="B8282"/>
      <c r="C8282"/>
      <c r="D8282"/>
      <c r="E8282" s="364"/>
      <c r="F8282"/>
    </row>
    <row r="8283" spans="1:6" x14ac:dyDescent="0.25">
      <c r="A8283" s="364"/>
      <c r="B8283"/>
      <c r="C8283"/>
      <c r="D8283"/>
      <c r="E8283" s="364"/>
      <c r="F8283"/>
    </row>
    <row r="8284" spans="1:6" x14ac:dyDescent="0.25">
      <c r="A8284" s="364"/>
      <c r="B8284"/>
      <c r="C8284"/>
      <c r="D8284"/>
      <c r="E8284" s="364"/>
      <c r="F8284"/>
    </row>
    <row r="8285" spans="1:6" x14ac:dyDescent="0.25">
      <c r="A8285" s="364"/>
      <c r="B8285"/>
      <c r="C8285"/>
      <c r="D8285"/>
      <c r="E8285" s="364"/>
      <c r="F8285"/>
    </row>
    <row r="8286" spans="1:6" x14ac:dyDescent="0.25">
      <c r="A8286" s="364"/>
      <c r="B8286"/>
      <c r="C8286"/>
      <c r="D8286"/>
      <c r="E8286" s="364"/>
      <c r="F8286"/>
    </row>
    <row r="8287" spans="1:6" x14ac:dyDescent="0.25">
      <c r="A8287" s="364"/>
      <c r="B8287"/>
      <c r="C8287"/>
      <c r="D8287"/>
      <c r="E8287" s="364"/>
      <c r="F8287"/>
    </row>
    <row r="8288" spans="1:6" x14ac:dyDescent="0.25">
      <c r="A8288" s="364"/>
      <c r="B8288"/>
      <c r="C8288"/>
      <c r="D8288"/>
      <c r="E8288" s="364"/>
      <c r="F8288"/>
    </row>
    <row r="8289" spans="1:6" x14ac:dyDescent="0.25">
      <c r="A8289" s="364"/>
      <c r="B8289"/>
      <c r="C8289"/>
      <c r="D8289"/>
      <c r="E8289" s="364"/>
      <c r="F8289"/>
    </row>
    <row r="8290" spans="1:6" x14ac:dyDescent="0.25">
      <c r="A8290" s="364"/>
      <c r="B8290"/>
      <c r="C8290"/>
      <c r="D8290"/>
      <c r="E8290" s="364"/>
      <c r="F8290"/>
    </row>
    <row r="8291" spans="1:6" x14ac:dyDescent="0.25">
      <c r="A8291" s="364"/>
      <c r="B8291"/>
      <c r="C8291"/>
      <c r="D8291"/>
      <c r="E8291" s="364"/>
      <c r="F8291"/>
    </row>
    <row r="8292" spans="1:6" x14ac:dyDescent="0.25">
      <c r="A8292" s="364"/>
      <c r="B8292"/>
      <c r="C8292"/>
      <c r="D8292"/>
      <c r="E8292" s="364"/>
      <c r="F8292"/>
    </row>
    <row r="8293" spans="1:6" x14ac:dyDescent="0.25">
      <c r="A8293" s="364"/>
      <c r="B8293"/>
      <c r="C8293"/>
      <c r="D8293"/>
      <c r="E8293" s="364"/>
      <c r="F8293"/>
    </row>
    <row r="8294" spans="1:6" x14ac:dyDescent="0.25">
      <c r="A8294" s="364"/>
      <c r="B8294"/>
      <c r="C8294"/>
      <c r="D8294"/>
      <c r="E8294" s="364"/>
      <c r="F8294"/>
    </row>
    <row r="8295" spans="1:6" x14ac:dyDescent="0.25">
      <c r="A8295" s="364"/>
      <c r="B8295"/>
      <c r="C8295"/>
      <c r="D8295"/>
      <c r="E8295" s="364"/>
      <c r="F8295"/>
    </row>
    <row r="8296" spans="1:6" x14ac:dyDescent="0.25">
      <c r="A8296" s="364"/>
      <c r="B8296"/>
      <c r="C8296"/>
      <c r="D8296"/>
      <c r="E8296" s="364"/>
      <c r="F8296"/>
    </row>
    <row r="8297" spans="1:6" x14ac:dyDescent="0.25">
      <c r="A8297" s="364"/>
      <c r="B8297"/>
      <c r="C8297"/>
      <c r="D8297"/>
      <c r="E8297" s="364"/>
      <c r="F8297"/>
    </row>
    <row r="8298" spans="1:6" x14ac:dyDescent="0.25">
      <c r="A8298" s="364"/>
      <c r="B8298"/>
      <c r="C8298"/>
      <c r="D8298"/>
      <c r="E8298" s="364"/>
      <c r="F8298"/>
    </row>
    <row r="8299" spans="1:6" x14ac:dyDescent="0.25">
      <c r="A8299" s="364"/>
      <c r="B8299"/>
      <c r="C8299"/>
      <c r="D8299"/>
      <c r="E8299" s="364"/>
      <c r="F8299"/>
    </row>
    <row r="8300" spans="1:6" x14ac:dyDescent="0.25">
      <c r="A8300" s="364"/>
      <c r="B8300"/>
      <c r="C8300"/>
      <c r="D8300"/>
      <c r="E8300" s="364"/>
      <c r="F8300"/>
    </row>
    <row r="8301" spans="1:6" x14ac:dyDescent="0.25">
      <c r="A8301" s="364"/>
      <c r="B8301"/>
      <c r="C8301"/>
      <c r="D8301"/>
      <c r="E8301" s="364"/>
      <c r="F8301"/>
    </row>
    <row r="8302" spans="1:6" x14ac:dyDescent="0.25">
      <c r="A8302" s="364"/>
      <c r="B8302"/>
      <c r="C8302"/>
      <c r="D8302"/>
      <c r="E8302" s="364"/>
      <c r="F8302"/>
    </row>
    <row r="8303" spans="1:6" x14ac:dyDescent="0.25">
      <c r="A8303" s="364"/>
      <c r="B8303"/>
      <c r="C8303"/>
      <c r="D8303"/>
      <c r="E8303" s="364"/>
      <c r="F8303"/>
    </row>
    <row r="8304" spans="1:6" x14ac:dyDescent="0.25">
      <c r="A8304" s="364"/>
      <c r="B8304"/>
      <c r="C8304"/>
      <c r="D8304"/>
      <c r="E8304" s="364"/>
      <c r="F8304"/>
    </row>
    <row r="8305" spans="1:6" x14ac:dyDescent="0.25">
      <c r="A8305" s="364"/>
      <c r="B8305"/>
      <c r="C8305"/>
      <c r="D8305"/>
      <c r="E8305" s="364"/>
      <c r="F8305"/>
    </row>
    <row r="8306" spans="1:6" x14ac:dyDescent="0.25">
      <c r="A8306" s="364"/>
      <c r="B8306"/>
      <c r="C8306"/>
      <c r="D8306"/>
      <c r="E8306" s="364"/>
      <c r="F8306"/>
    </row>
    <row r="8307" spans="1:6" x14ac:dyDescent="0.25">
      <c r="A8307" s="364"/>
      <c r="B8307"/>
      <c r="C8307"/>
      <c r="D8307"/>
      <c r="E8307" s="364"/>
      <c r="F8307"/>
    </row>
    <row r="8308" spans="1:6" x14ac:dyDescent="0.25">
      <c r="A8308" s="364"/>
      <c r="B8308"/>
      <c r="C8308"/>
      <c r="D8308"/>
      <c r="E8308" s="364"/>
      <c r="F8308"/>
    </row>
    <row r="8309" spans="1:6" x14ac:dyDescent="0.25">
      <c r="A8309" s="364"/>
      <c r="B8309"/>
      <c r="C8309"/>
      <c r="D8309"/>
      <c r="E8309" s="364"/>
      <c r="F8309"/>
    </row>
    <row r="8310" spans="1:6" x14ac:dyDescent="0.25">
      <c r="A8310" s="364"/>
      <c r="B8310"/>
      <c r="C8310"/>
      <c r="D8310"/>
      <c r="E8310" s="364"/>
      <c r="F8310"/>
    </row>
    <row r="8311" spans="1:6" x14ac:dyDescent="0.25">
      <c r="A8311" s="364"/>
      <c r="B8311"/>
      <c r="C8311"/>
      <c r="D8311"/>
      <c r="E8311" s="364"/>
      <c r="F8311"/>
    </row>
    <row r="8312" spans="1:6" x14ac:dyDescent="0.25">
      <c r="A8312" s="364"/>
      <c r="B8312"/>
      <c r="C8312"/>
      <c r="D8312"/>
      <c r="E8312" s="364"/>
      <c r="F8312"/>
    </row>
    <row r="8313" spans="1:6" x14ac:dyDescent="0.25">
      <c r="A8313" s="364"/>
      <c r="B8313"/>
      <c r="C8313"/>
      <c r="D8313"/>
      <c r="E8313" s="364"/>
      <c r="F8313"/>
    </row>
    <row r="8314" spans="1:6" x14ac:dyDescent="0.25">
      <c r="A8314" s="364"/>
      <c r="B8314"/>
      <c r="C8314"/>
      <c r="D8314"/>
      <c r="E8314" s="364"/>
      <c r="F8314"/>
    </row>
    <row r="8315" spans="1:6" x14ac:dyDescent="0.25">
      <c r="A8315" s="364"/>
      <c r="B8315"/>
      <c r="C8315"/>
      <c r="D8315"/>
      <c r="E8315" s="364"/>
      <c r="F8315"/>
    </row>
    <row r="8316" spans="1:6" x14ac:dyDescent="0.25">
      <c r="A8316" s="364"/>
      <c r="B8316"/>
      <c r="C8316"/>
      <c r="D8316"/>
      <c r="E8316" s="364"/>
      <c r="F8316"/>
    </row>
    <row r="8317" spans="1:6" x14ac:dyDescent="0.25">
      <c r="A8317" s="364"/>
      <c r="B8317"/>
      <c r="C8317"/>
      <c r="D8317"/>
      <c r="E8317" s="364"/>
      <c r="F8317"/>
    </row>
    <row r="8318" spans="1:6" x14ac:dyDescent="0.25">
      <c r="A8318" s="364"/>
      <c r="B8318"/>
      <c r="C8318"/>
      <c r="D8318"/>
      <c r="E8318" s="364"/>
      <c r="F8318"/>
    </row>
    <row r="8319" spans="1:6" x14ac:dyDescent="0.25">
      <c r="A8319" s="364"/>
      <c r="B8319"/>
      <c r="C8319"/>
      <c r="D8319"/>
      <c r="E8319" s="364"/>
      <c r="F8319"/>
    </row>
    <row r="8320" spans="1:6" x14ac:dyDescent="0.25">
      <c r="A8320" s="364"/>
      <c r="B8320"/>
      <c r="C8320"/>
      <c r="D8320"/>
      <c r="E8320" s="364"/>
      <c r="F8320"/>
    </row>
    <row r="8321" spans="1:6" x14ac:dyDescent="0.25">
      <c r="A8321" s="364"/>
      <c r="B8321"/>
      <c r="C8321"/>
      <c r="D8321"/>
      <c r="E8321" s="364"/>
      <c r="F8321"/>
    </row>
    <row r="8322" spans="1:6" x14ac:dyDescent="0.25">
      <c r="A8322" s="364"/>
      <c r="B8322"/>
      <c r="C8322"/>
      <c r="D8322"/>
      <c r="E8322" s="364"/>
      <c r="F8322"/>
    </row>
    <row r="8323" spans="1:6" x14ac:dyDescent="0.25">
      <c r="A8323" s="364"/>
      <c r="B8323"/>
      <c r="C8323"/>
      <c r="D8323"/>
      <c r="E8323" s="364"/>
      <c r="F8323"/>
    </row>
    <row r="8324" spans="1:6" x14ac:dyDescent="0.25">
      <c r="A8324" s="364"/>
      <c r="B8324"/>
      <c r="C8324"/>
      <c r="D8324"/>
      <c r="E8324" s="364"/>
      <c r="F8324"/>
    </row>
    <row r="8325" spans="1:6" x14ac:dyDescent="0.25">
      <c r="A8325" s="364"/>
      <c r="B8325"/>
      <c r="C8325"/>
      <c r="D8325"/>
      <c r="E8325" s="364"/>
      <c r="F8325"/>
    </row>
    <row r="8326" spans="1:6" x14ac:dyDescent="0.25">
      <c r="A8326" s="364"/>
      <c r="B8326"/>
      <c r="C8326"/>
      <c r="D8326"/>
      <c r="E8326" s="364"/>
      <c r="F8326"/>
    </row>
    <row r="8327" spans="1:6" x14ac:dyDescent="0.25">
      <c r="A8327" s="364"/>
      <c r="B8327"/>
      <c r="C8327"/>
      <c r="D8327"/>
      <c r="E8327" s="364"/>
      <c r="F8327"/>
    </row>
    <row r="8328" spans="1:6" x14ac:dyDescent="0.25">
      <c r="A8328" s="364"/>
      <c r="B8328"/>
      <c r="C8328"/>
      <c r="D8328"/>
      <c r="E8328" s="364"/>
      <c r="F8328"/>
    </row>
    <row r="8329" spans="1:6" x14ac:dyDescent="0.25">
      <c r="A8329" s="364"/>
      <c r="B8329"/>
      <c r="C8329"/>
      <c r="D8329"/>
      <c r="E8329" s="364"/>
      <c r="F8329"/>
    </row>
    <row r="8330" spans="1:6" x14ac:dyDescent="0.25">
      <c r="A8330" s="364"/>
      <c r="B8330"/>
      <c r="C8330"/>
      <c r="D8330"/>
      <c r="E8330" s="364"/>
      <c r="F8330"/>
    </row>
    <row r="8331" spans="1:6" x14ac:dyDescent="0.25">
      <c r="A8331" s="364"/>
      <c r="B8331"/>
      <c r="C8331"/>
      <c r="D8331"/>
      <c r="E8331" s="364"/>
      <c r="F8331"/>
    </row>
    <row r="8332" spans="1:6" x14ac:dyDescent="0.25">
      <c r="A8332" s="364"/>
      <c r="B8332"/>
      <c r="C8332"/>
      <c r="D8332"/>
      <c r="E8332" s="364"/>
      <c r="F8332"/>
    </row>
    <row r="8333" spans="1:6" x14ac:dyDescent="0.25">
      <c r="A8333" s="364"/>
      <c r="B8333"/>
      <c r="C8333"/>
      <c r="D8333"/>
      <c r="E8333" s="364"/>
      <c r="F8333"/>
    </row>
    <row r="8334" spans="1:6" x14ac:dyDescent="0.25">
      <c r="A8334" s="364"/>
      <c r="B8334"/>
      <c r="C8334"/>
      <c r="D8334"/>
      <c r="E8334" s="364"/>
      <c r="F8334"/>
    </row>
    <row r="8335" spans="1:6" x14ac:dyDescent="0.25">
      <c r="A8335" s="364"/>
      <c r="B8335"/>
      <c r="C8335"/>
      <c r="D8335"/>
      <c r="E8335" s="364"/>
      <c r="F8335"/>
    </row>
    <row r="8336" spans="1:6" x14ac:dyDescent="0.25">
      <c r="A8336" s="364"/>
      <c r="B8336"/>
      <c r="C8336"/>
      <c r="D8336"/>
      <c r="E8336" s="364"/>
      <c r="F8336"/>
    </row>
    <row r="8337" spans="1:6" x14ac:dyDescent="0.25">
      <c r="A8337" s="364"/>
      <c r="B8337"/>
      <c r="C8337"/>
      <c r="D8337"/>
      <c r="E8337" s="364"/>
      <c r="F8337"/>
    </row>
    <row r="8338" spans="1:6" x14ac:dyDescent="0.25">
      <c r="A8338" s="364"/>
      <c r="B8338"/>
      <c r="C8338"/>
      <c r="D8338"/>
      <c r="E8338" s="364"/>
      <c r="F8338"/>
    </row>
    <row r="8339" spans="1:6" x14ac:dyDescent="0.25">
      <c r="A8339" s="364"/>
      <c r="B8339"/>
      <c r="C8339"/>
      <c r="D8339"/>
      <c r="E8339" s="364"/>
      <c r="F8339"/>
    </row>
    <row r="8340" spans="1:6" x14ac:dyDescent="0.25">
      <c r="A8340" s="364"/>
      <c r="B8340"/>
      <c r="C8340"/>
      <c r="D8340"/>
      <c r="E8340" s="364"/>
      <c r="F8340"/>
    </row>
    <row r="8341" spans="1:6" x14ac:dyDescent="0.25">
      <c r="A8341" s="364"/>
      <c r="B8341"/>
      <c r="C8341"/>
      <c r="D8341"/>
      <c r="E8341" s="364"/>
      <c r="F8341"/>
    </row>
    <row r="8342" spans="1:6" x14ac:dyDescent="0.25">
      <c r="A8342" s="364"/>
      <c r="B8342"/>
      <c r="C8342"/>
      <c r="D8342"/>
      <c r="E8342" s="364"/>
      <c r="F8342"/>
    </row>
    <row r="8343" spans="1:6" x14ac:dyDescent="0.25">
      <c r="A8343" s="364"/>
      <c r="B8343"/>
      <c r="C8343"/>
      <c r="D8343"/>
      <c r="E8343" s="364"/>
      <c r="F8343"/>
    </row>
    <row r="8344" spans="1:6" x14ac:dyDescent="0.25">
      <c r="A8344" s="364"/>
      <c r="B8344"/>
      <c r="C8344"/>
      <c r="D8344"/>
      <c r="E8344" s="364"/>
      <c r="F8344"/>
    </row>
    <row r="8345" spans="1:6" x14ac:dyDescent="0.25">
      <c r="A8345" s="364"/>
      <c r="B8345"/>
      <c r="C8345"/>
      <c r="D8345"/>
      <c r="E8345" s="364"/>
      <c r="F8345"/>
    </row>
    <row r="8346" spans="1:6" x14ac:dyDescent="0.25">
      <c r="A8346" s="364"/>
      <c r="B8346"/>
      <c r="C8346"/>
      <c r="D8346"/>
      <c r="E8346" s="364"/>
      <c r="F8346"/>
    </row>
    <row r="8347" spans="1:6" x14ac:dyDescent="0.25">
      <c r="A8347" s="364"/>
      <c r="B8347"/>
      <c r="C8347"/>
      <c r="D8347"/>
      <c r="E8347" s="364"/>
      <c r="F8347"/>
    </row>
    <row r="8348" spans="1:6" x14ac:dyDescent="0.25">
      <c r="A8348" s="364"/>
      <c r="B8348"/>
      <c r="C8348"/>
      <c r="D8348"/>
      <c r="E8348" s="364"/>
      <c r="F8348"/>
    </row>
    <row r="8349" spans="1:6" x14ac:dyDescent="0.25">
      <c r="A8349" s="364"/>
      <c r="B8349"/>
      <c r="C8349"/>
      <c r="D8349"/>
      <c r="E8349" s="364"/>
      <c r="F8349"/>
    </row>
    <row r="8350" spans="1:6" x14ac:dyDescent="0.25">
      <c r="A8350" s="364"/>
      <c r="B8350"/>
      <c r="C8350"/>
      <c r="D8350"/>
      <c r="E8350" s="364"/>
      <c r="F8350"/>
    </row>
    <row r="8351" spans="1:6" x14ac:dyDescent="0.25">
      <c r="A8351" s="364"/>
      <c r="B8351"/>
      <c r="C8351"/>
      <c r="D8351"/>
      <c r="E8351" s="364"/>
      <c r="F8351"/>
    </row>
    <row r="8352" spans="1:6" x14ac:dyDescent="0.25">
      <c r="A8352" s="364"/>
      <c r="B8352"/>
      <c r="C8352"/>
      <c r="D8352"/>
      <c r="E8352" s="364"/>
      <c r="F8352"/>
    </row>
    <row r="8353" spans="1:6" x14ac:dyDescent="0.25">
      <c r="A8353" s="364"/>
      <c r="B8353"/>
      <c r="C8353"/>
      <c r="D8353"/>
      <c r="E8353" s="364"/>
      <c r="F8353"/>
    </row>
    <row r="8354" spans="1:6" x14ac:dyDescent="0.25">
      <c r="A8354" s="364"/>
      <c r="B8354"/>
      <c r="C8354"/>
      <c r="D8354"/>
      <c r="E8354" s="364"/>
      <c r="F8354"/>
    </row>
    <row r="8355" spans="1:6" x14ac:dyDescent="0.25">
      <c r="A8355" s="364"/>
      <c r="B8355"/>
      <c r="C8355"/>
      <c r="D8355"/>
      <c r="E8355" s="364"/>
      <c r="F8355"/>
    </row>
    <row r="8356" spans="1:6" x14ac:dyDescent="0.25">
      <c r="A8356" s="364"/>
      <c r="B8356"/>
      <c r="C8356"/>
      <c r="D8356"/>
      <c r="E8356" s="364"/>
      <c r="F8356"/>
    </row>
    <row r="8357" spans="1:6" x14ac:dyDescent="0.25">
      <c r="A8357" s="364"/>
      <c r="B8357"/>
      <c r="C8357"/>
      <c r="D8357"/>
      <c r="E8357" s="364"/>
      <c r="F8357"/>
    </row>
    <row r="8358" spans="1:6" x14ac:dyDescent="0.25">
      <c r="A8358" s="364"/>
      <c r="B8358"/>
      <c r="C8358"/>
      <c r="D8358"/>
      <c r="E8358" s="364"/>
      <c r="F8358"/>
    </row>
    <row r="8359" spans="1:6" x14ac:dyDescent="0.25">
      <c r="A8359" s="364"/>
      <c r="B8359"/>
      <c r="C8359"/>
      <c r="D8359"/>
      <c r="E8359" s="364"/>
      <c r="F8359"/>
    </row>
    <row r="8360" spans="1:6" x14ac:dyDescent="0.25">
      <c r="A8360" s="364"/>
      <c r="B8360"/>
      <c r="C8360"/>
      <c r="D8360"/>
      <c r="E8360" s="364"/>
      <c r="F8360"/>
    </row>
    <row r="8361" spans="1:6" x14ac:dyDescent="0.25">
      <c r="A8361" s="364"/>
      <c r="B8361"/>
      <c r="C8361"/>
      <c r="D8361"/>
      <c r="E8361" s="364"/>
      <c r="F8361"/>
    </row>
    <row r="8362" spans="1:6" x14ac:dyDescent="0.25">
      <c r="A8362" s="364"/>
      <c r="B8362"/>
      <c r="C8362"/>
      <c r="D8362"/>
      <c r="E8362" s="364"/>
      <c r="F8362"/>
    </row>
    <row r="8363" spans="1:6" x14ac:dyDescent="0.25">
      <c r="A8363" s="364"/>
      <c r="B8363"/>
      <c r="C8363"/>
      <c r="D8363"/>
      <c r="E8363" s="364"/>
      <c r="F8363"/>
    </row>
    <row r="8364" spans="1:6" x14ac:dyDescent="0.25">
      <c r="A8364" s="364"/>
      <c r="B8364"/>
      <c r="C8364"/>
      <c r="D8364"/>
      <c r="E8364" s="364"/>
      <c r="F8364"/>
    </row>
    <row r="8365" spans="1:6" x14ac:dyDescent="0.25">
      <c r="A8365" s="364"/>
      <c r="B8365"/>
      <c r="C8365"/>
      <c r="D8365"/>
      <c r="E8365" s="364"/>
      <c r="F8365"/>
    </row>
    <row r="8366" spans="1:6" x14ac:dyDescent="0.25">
      <c r="A8366" s="364"/>
      <c r="B8366"/>
      <c r="C8366"/>
      <c r="D8366"/>
      <c r="E8366" s="364"/>
      <c r="F8366"/>
    </row>
    <row r="8367" spans="1:6" x14ac:dyDescent="0.25">
      <c r="A8367" s="364"/>
      <c r="B8367"/>
      <c r="C8367"/>
      <c r="D8367"/>
      <c r="E8367" s="364"/>
      <c r="F8367"/>
    </row>
    <row r="8368" spans="1:6" x14ac:dyDescent="0.25">
      <c r="A8368" s="364"/>
      <c r="B8368"/>
      <c r="C8368"/>
      <c r="D8368"/>
      <c r="E8368" s="364"/>
      <c r="F8368"/>
    </row>
    <row r="8369" spans="1:6" x14ac:dyDescent="0.25">
      <c r="A8369" s="364"/>
      <c r="B8369"/>
      <c r="C8369"/>
      <c r="D8369"/>
      <c r="E8369" s="364"/>
      <c r="F8369"/>
    </row>
    <row r="8370" spans="1:6" x14ac:dyDescent="0.25">
      <c r="A8370" s="364"/>
      <c r="B8370"/>
      <c r="C8370"/>
      <c r="D8370"/>
      <c r="E8370" s="364"/>
      <c r="F8370"/>
    </row>
    <row r="8371" spans="1:6" x14ac:dyDescent="0.25">
      <c r="A8371" s="364"/>
      <c r="B8371"/>
      <c r="C8371"/>
      <c r="D8371"/>
      <c r="E8371" s="364"/>
      <c r="F8371"/>
    </row>
    <row r="8372" spans="1:6" x14ac:dyDescent="0.25">
      <c r="A8372" s="364"/>
      <c r="B8372"/>
      <c r="C8372"/>
      <c r="D8372"/>
      <c r="E8372" s="364"/>
      <c r="F8372"/>
    </row>
    <row r="8373" spans="1:6" x14ac:dyDescent="0.25">
      <c r="A8373" s="364"/>
      <c r="B8373"/>
      <c r="C8373"/>
      <c r="D8373"/>
      <c r="E8373" s="364"/>
      <c r="F8373"/>
    </row>
    <row r="8374" spans="1:6" x14ac:dyDescent="0.25">
      <c r="A8374" s="364"/>
      <c r="B8374"/>
      <c r="C8374"/>
      <c r="D8374"/>
      <c r="E8374" s="364"/>
      <c r="F8374"/>
    </row>
    <row r="8375" spans="1:6" x14ac:dyDescent="0.25">
      <c r="A8375" s="364"/>
      <c r="B8375"/>
      <c r="C8375"/>
      <c r="D8375"/>
      <c r="E8375" s="364"/>
      <c r="F8375"/>
    </row>
    <row r="8376" spans="1:6" x14ac:dyDescent="0.25">
      <c r="A8376" s="364"/>
      <c r="B8376"/>
      <c r="C8376"/>
      <c r="D8376"/>
      <c r="E8376" s="364"/>
      <c r="F8376"/>
    </row>
    <row r="8377" spans="1:6" x14ac:dyDescent="0.25">
      <c r="A8377" s="364"/>
      <c r="B8377"/>
      <c r="C8377"/>
      <c r="D8377"/>
      <c r="E8377" s="364"/>
      <c r="F8377"/>
    </row>
    <row r="8378" spans="1:6" x14ac:dyDescent="0.25">
      <c r="A8378" s="364"/>
      <c r="B8378"/>
      <c r="C8378"/>
      <c r="D8378"/>
      <c r="E8378" s="364"/>
      <c r="F8378"/>
    </row>
    <row r="8379" spans="1:6" x14ac:dyDescent="0.25">
      <c r="A8379" s="364"/>
      <c r="B8379"/>
      <c r="C8379"/>
      <c r="D8379"/>
      <c r="E8379" s="364"/>
      <c r="F8379"/>
    </row>
    <row r="8380" spans="1:6" x14ac:dyDescent="0.25">
      <c r="A8380" s="364"/>
      <c r="B8380"/>
      <c r="C8380"/>
      <c r="D8380"/>
      <c r="E8380" s="364"/>
      <c r="F8380"/>
    </row>
    <row r="8381" spans="1:6" x14ac:dyDescent="0.25">
      <c r="A8381" s="364"/>
      <c r="B8381"/>
      <c r="C8381"/>
      <c r="D8381"/>
      <c r="E8381" s="364"/>
      <c r="F8381"/>
    </row>
    <row r="8382" spans="1:6" x14ac:dyDescent="0.25">
      <c r="A8382" s="364"/>
      <c r="B8382"/>
      <c r="C8382"/>
      <c r="D8382"/>
      <c r="E8382" s="364"/>
      <c r="F8382"/>
    </row>
    <row r="8383" spans="1:6" x14ac:dyDescent="0.25">
      <c r="A8383" s="364"/>
      <c r="B8383"/>
      <c r="C8383"/>
      <c r="D8383"/>
      <c r="E8383" s="364"/>
      <c r="F8383"/>
    </row>
    <row r="8384" spans="1:6" x14ac:dyDescent="0.25">
      <c r="A8384" s="364"/>
      <c r="B8384"/>
      <c r="C8384"/>
      <c r="D8384"/>
      <c r="E8384" s="364"/>
      <c r="F8384"/>
    </row>
    <row r="8385" spans="1:6" x14ac:dyDescent="0.25">
      <c r="A8385" s="364"/>
      <c r="B8385"/>
      <c r="C8385"/>
      <c r="D8385"/>
      <c r="E8385" s="364"/>
      <c r="F8385"/>
    </row>
    <row r="8386" spans="1:6" x14ac:dyDescent="0.25">
      <c r="A8386" s="364"/>
      <c r="B8386"/>
      <c r="C8386"/>
      <c r="D8386"/>
      <c r="E8386" s="364"/>
      <c r="F8386"/>
    </row>
    <row r="8387" spans="1:6" x14ac:dyDescent="0.25">
      <c r="A8387" s="364"/>
      <c r="B8387"/>
      <c r="C8387"/>
      <c r="D8387"/>
      <c r="E8387" s="364"/>
      <c r="F8387"/>
    </row>
    <row r="8388" spans="1:6" x14ac:dyDescent="0.25">
      <c r="A8388" s="364"/>
      <c r="B8388"/>
      <c r="C8388"/>
      <c r="D8388"/>
      <c r="E8388" s="364"/>
      <c r="F8388"/>
    </row>
    <row r="8389" spans="1:6" x14ac:dyDescent="0.25">
      <c r="A8389" s="364"/>
      <c r="B8389"/>
      <c r="C8389"/>
      <c r="D8389"/>
      <c r="E8389" s="364"/>
      <c r="F8389"/>
    </row>
    <row r="8390" spans="1:6" x14ac:dyDescent="0.25">
      <c r="A8390" s="364"/>
      <c r="B8390"/>
      <c r="C8390"/>
      <c r="D8390"/>
      <c r="E8390" s="364"/>
      <c r="F8390"/>
    </row>
    <row r="8391" spans="1:6" x14ac:dyDescent="0.25">
      <c r="A8391" s="364"/>
      <c r="B8391"/>
      <c r="C8391"/>
      <c r="D8391"/>
      <c r="E8391" s="364"/>
      <c r="F8391"/>
    </row>
    <row r="8392" spans="1:6" x14ac:dyDescent="0.25">
      <c r="A8392" s="364"/>
      <c r="B8392"/>
      <c r="C8392"/>
      <c r="D8392"/>
      <c r="E8392" s="364"/>
      <c r="F8392"/>
    </row>
    <row r="8393" spans="1:6" x14ac:dyDescent="0.25">
      <c r="A8393" s="364"/>
      <c r="B8393"/>
      <c r="C8393"/>
      <c r="D8393"/>
      <c r="E8393" s="364"/>
      <c r="F8393"/>
    </row>
    <row r="8394" spans="1:6" x14ac:dyDescent="0.25">
      <c r="A8394" s="364"/>
      <c r="B8394"/>
      <c r="C8394"/>
      <c r="D8394"/>
      <c r="E8394" s="364"/>
      <c r="F8394"/>
    </row>
    <row r="8395" spans="1:6" x14ac:dyDescent="0.25">
      <c r="A8395" s="364"/>
      <c r="B8395"/>
      <c r="C8395"/>
      <c r="D8395"/>
      <c r="E8395" s="364"/>
      <c r="F8395"/>
    </row>
    <row r="8396" spans="1:6" x14ac:dyDescent="0.25">
      <c r="A8396" s="364"/>
      <c r="B8396"/>
      <c r="C8396"/>
      <c r="D8396"/>
      <c r="E8396" s="364"/>
      <c r="F8396"/>
    </row>
    <row r="8397" spans="1:6" x14ac:dyDescent="0.25">
      <c r="A8397" s="364"/>
      <c r="B8397"/>
      <c r="C8397"/>
      <c r="D8397"/>
      <c r="E8397" s="364"/>
      <c r="F8397"/>
    </row>
    <row r="8398" spans="1:6" x14ac:dyDescent="0.25">
      <c r="A8398" s="364"/>
      <c r="B8398"/>
      <c r="C8398"/>
      <c r="D8398"/>
      <c r="E8398" s="364"/>
      <c r="F8398"/>
    </row>
    <row r="8399" spans="1:6" x14ac:dyDescent="0.25">
      <c r="A8399" s="364"/>
      <c r="B8399"/>
      <c r="C8399"/>
      <c r="D8399"/>
      <c r="E8399" s="364"/>
      <c r="F8399"/>
    </row>
    <row r="8400" spans="1:6" x14ac:dyDescent="0.25">
      <c r="A8400" s="364"/>
      <c r="B8400"/>
      <c r="C8400"/>
      <c r="D8400"/>
      <c r="E8400" s="364"/>
      <c r="F8400"/>
    </row>
    <row r="8401" spans="1:6" x14ac:dyDescent="0.25">
      <c r="A8401" s="364"/>
      <c r="B8401"/>
      <c r="C8401"/>
      <c r="D8401"/>
      <c r="E8401" s="364"/>
      <c r="F8401"/>
    </row>
    <row r="8402" spans="1:6" x14ac:dyDescent="0.25">
      <c r="A8402" s="364"/>
      <c r="B8402"/>
      <c r="C8402"/>
      <c r="D8402"/>
      <c r="E8402" s="364"/>
      <c r="F8402"/>
    </row>
    <row r="8403" spans="1:6" x14ac:dyDescent="0.25">
      <c r="A8403" s="364"/>
      <c r="B8403"/>
      <c r="C8403"/>
      <c r="D8403"/>
      <c r="E8403" s="364"/>
      <c r="F8403"/>
    </row>
    <row r="8404" spans="1:6" x14ac:dyDescent="0.25">
      <c r="A8404" s="364"/>
      <c r="B8404"/>
      <c r="C8404"/>
      <c r="D8404"/>
      <c r="E8404" s="364"/>
      <c r="F8404"/>
    </row>
    <row r="8405" spans="1:6" x14ac:dyDescent="0.25">
      <c r="A8405" s="364"/>
      <c r="B8405"/>
      <c r="C8405"/>
      <c r="D8405"/>
      <c r="E8405" s="364"/>
      <c r="F8405"/>
    </row>
    <row r="8406" spans="1:6" x14ac:dyDescent="0.25">
      <c r="A8406" s="364"/>
      <c r="B8406"/>
      <c r="C8406"/>
      <c r="D8406"/>
      <c r="E8406" s="364"/>
      <c r="F8406"/>
    </row>
    <row r="8407" spans="1:6" x14ac:dyDescent="0.25">
      <c r="A8407" s="364"/>
      <c r="B8407"/>
      <c r="C8407"/>
      <c r="D8407"/>
      <c r="E8407" s="364"/>
      <c r="F8407"/>
    </row>
    <row r="8408" spans="1:6" x14ac:dyDescent="0.25">
      <c r="A8408" s="364"/>
      <c r="B8408"/>
      <c r="C8408"/>
      <c r="D8408"/>
      <c r="E8408" s="364"/>
      <c r="F8408"/>
    </row>
    <row r="8409" spans="1:6" x14ac:dyDescent="0.25">
      <c r="A8409" s="364"/>
      <c r="B8409"/>
      <c r="C8409"/>
      <c r="D8409"/>
      <c r="E8409" s="364"/>
      <c r="F8409"/>
    </row>
    <row r="8410" spans="1:6" x14ac:dyDescent="0.25">
      <c r="A8410" s="364"/>
      <c r="B8410"/>
      <c r="C8410"/>
      <c r="D8410"/>
      <c r="E8410" s="364"/>
      <c r="F8410"/>
    </row>
    <row r="8411" spans="1:6" x14ac:dyDescent="0.25">
      <c r="A8411" s="364"/>
      <c r="B8411"/>
      <c r="C8411"/>
      <c r="D8411"/>
      <c r="E8411" s="364"/>
      <c r="F8411"/>
    </row>
    <row r="8412" spans="1:6" x14ac:dyDescent="0.25">
      <c r="A8412" s="364"/>
      <c r="B8412"/>
      <c r="C8412"/>
      <c r="D8412"/>
      <c r="E8412" s="364"/>
      <c r="F8412"/>
    </row>
    <row r="8413" spans="1:6" x14ac:dyDescent="0.25">
      <c r="A8413" s="364"/>
      <c r="B8413"/>
      <c r="C8413"/>
      <c r="D8413"/>
      <c r="E8413" s="364"/>
      <c r="F8413"/>
    </row>
    <row r="8414" spans="1:6" x14ac:dyDescent="0.25">
      <c r="A8414" s="364"/>
      <c r="B8414"/>
      <c r="C8414"/>
      <c r="D8414"/>
      <c r="E8414" s="364"/>
      <c r="F8414"/>
    </row>
    <row r="8415" spans="1:6" x14ac:dyDescent="0.25">
      <c r="A8415" s="364"/>
      <c r="B8415"/>
      <c r="C8415"/>
      <c r="D8415"/>
      <c r="E8415" s="364"/>
      <c r="F8415"/>
    </row>
    <row r="8416" spans="1:6" x14ac:dyDescent="0.25">
      <c r="A8416" s="364"/>
      <c r="B8416"/>
      <c r="C8416"/>
      <c r="D8416"/>
      <c r="E8416" s="364"/>
      <c r="F8416"/>
    </row>
    <row r="8417" spans="1:6" x14ac:dyDescent="0.25">
      <c r="A8417" s="364"/>
      <c r="B8417"/>
      <c r="C8417"/>
      <c r="D8417"/>
      <c r="E8417" s="364"/>
      <c r="F8417"/>
    </row>
    <row r="8418" spans="1:6" x14ac:dyDescent="0.25">
      <c r="A8418" s="364"/>
      <c r="B8418"/>
      <c r="C8418"/>
      <c r="D8418"/>
      <c r="E8418" s="364"/>
      <c r="F8418"/>
    </row>
    <row r="8419" spans="1:6" x14ac:dyDescent="0.25">
      <c r="A8419" s="364"/>
      <c r="B8419"/>
      <c r="C8419"/>
      <c r="D8419"/>
      <c r="E8419" s="364"/>
      <c r="F8419"/>
    </row>
    <row r="8420" spans="1:6" x14ac:dyDescent="0.25">
      <c r="A8420" s="364"/>
      <c r="B8420"/>
      <c r="C8420"/>
      <c r="D8420"/>
      <c r="E8420" s="364"/>
      <c r="F8420"/>
    </row>
    <row r="8421" spans="1:6" x14ac:dyDescent="0.25">
      <c r="A8421" s="364"/>
      <c r="B8421"/>
      <c r="C8421"/>
      <c r="D8421"/>
      <c r="E8421" s="364"/>
      <c r="F8421"/>
    </row>
    <row r="8422" spans="1:6" x14ac:dyDescent="0.25">
      <c r="A8422" s="364"/>
      <c r="B8422"/>
      <c r="C8422"/>
      <c r="D8422"/>
      <c r="E8422" s="364"/>
      <c r="F8422"/>
    </row>
    <row r="8423" spans="1:6" x14ac:dyDescent="0.25">
      <c r="A8423" s="364"/>
      <c r="B8423"/>
      <c r="C8423"/>
      <c r="D8423"/>
      <c r="E8423" s="364"/>
      <c r="F8423"/>
    </row>
    <row r="8424" spans="1:6" x14ac:dyDescent="0.25">
      <c r="A8424" s="364"/>
      <c r="B8424"/>
      <c r="C8424"/>
      <c r="D8424"/>
      <c r="E8424" s="364"/>
      <c r="F8424"/>
    </row>
    <row r="8425" spans="1:6" x14ac:dyDescent="0.25">
      <c r="A8425" s="364"/>
      <c r="B8425"/>
      <c r="C8425"/>
      <c r="D8425"/>
      <c r="E8425" s="364"/>
      <c r="F8425"/>
    </row>
    <row r="8426" spans="1:6" x14ac:dyDescent="0.25">
      <c r="A8426" s="364"/>
      <c r="B8426"/>
      <c r="C8426"/>
      <c r="D8426"/>
      <c r="E8426" s="364"/>
      <c r="F8426"/>
    </row>
    <row r="8427" spans="1:6" x14ac:dyDescent="0.25">
      <c r="A8427" s="364"/>
      <c r="B8427"/>
      <c r="C8427"/>
      <c r="D8427"/>
      <c r="E8427" s="364"/>
      <c r="F8427"/>
    </row>
    <row r="8428" spans="1:6" x14ac:dyDescent="0.25">
      <c r="A8428" s="364"/>
      <c r="B8428"/>
      <c r="C8428"/>
      <c r="D8428"/>
      <c r="E8428" s="364"/>
      <c r="F8428"/>
    </row>
    <row r="8429" spans="1:6" x14ac:dyDescent="0.25">
      <c r="A8429" s="364"/>
      <c r="B8429"/>
      <c r="C8429"/>
      <c r="D8429"/>
      <c r="E8429" s="364"/>
      <c r="F8429"/>
    </row>
    <row r="8430" spans="1:6" x14ac:dyDescent="0.25">
      <c r="A8430" s="364"/>
      <c r="B8430"/>
      <c r="C8430"/>
      <c r="D8430"/>
      <c r="E8430" s="364"/>
      <c r="F8430"/>
    </row>
    <row r="8431" spans="1:6" x14ac:dyDescent="0.25">
      <c r="A8431" s="364"/>
      <c r="B8431"/>
      <c r="C8431"/>
      <c r="D8431"/>
      <c r="E8431" s="364"/>
      <c r="F8431"/>
    </row>
    <row r="8432" spans="1:6" x14ac:dyDescent="0.25">
      <c r="A8432" s="364"/>
      <c r="B8432"/>
      <c r="C8432"/>
      <c r="D8432"/>
      <c r="E8432" s="364"/>
      <c r="F8432"/>
    </row>
    <row r="8433" spans="1:6" x14ac:dyDescent="0.25">
      <c r="A8433" s="364"/>
      <c r="B8433"/>
      <c r="C8433"/>
      <c r="D8433"/>
      <c r="E8433" s="364"/>
      <c r="F8433"/>
    </row>
    <row r="8434" spans="1:6" x14ac:dyDescent="0.25">
      <c r="A8434" s="364"/>
      <c r="B8434"/>
      <c r="C8434"/>
      <c r="D8434"/>
      <c r="E8434" s="364"/>
      <c r="F8434"/>
    </row>
    <row r="8435" spans="1:6" x14ac:dyDescent="0.25">
      <c r="A8435" s="364"/>
      <c r="B8435"/>
      <c r="C8435"/>
      <c r="D8435"/>
      <c r="E8435" s="364"/>
      <c r="F8435"/>
    </row>
    <row r="8436" spans="1:6" x14ac:dyDescent="0.25">
      <c r="A8436" s="364"/>
      <c r="B8436"/>
      <c r="C8436"/>
      <c r="D8436"/>
      <c r="E8436" s="364"/>
      <c r="F8436"/>
    </row>
    <row r="8437" spans="1:6" x14ac:dyDescent="0.25">
      <c r="A8437" s="364"/>
      <c r="B8437"/>
      <c r="C8437"/>
      <c r="D8437"/>
      <c r="E8437" s="364"/>
      <c r="F8437"/>
    </row>
    <row r="8438" spans="1:6" x14ac:dyDescent="0.25">
      <c r="A8438" s="364"/>
      <c r="B8438"/>
      <c r="C8438"/>
      <c r="D8438"/>
      <c r="E8438" s="364"/>
      <c r="F8438"/>
    </row>
    <row r="8439" spans="1:6" x14ac:dyDescent="0.25">
      <c r="A8439" s="364"/>
      <c r="B8439"/>
      <c r="C8439"/>
      <c r="D8439"/>
      <c r="E8439" s="364"/>
      <c r="F8439"/>
    </row>
    <row r="8440" spans="1:6" x14ac:dyDescent="0.25">
      <c r="A8440" s="364"/>
      <c r="B8440"/>
      <c r="C8440"/>
      <c r="D8440"/>
      <c r="E8440" s="364"/>
      <c r="F8440"/>
    </row>
    <row r="8441" spans="1:6" x14ac:dyDescent="0.25">
      <c r="A8441" s="364"/>
      <c r="B8441"/>
      <c r="C8441"/>
      <c r="D8441"/>
      <c r="E8441" s="364"/>
      <c r="F8441"/>
    </row>
    <row r="8442" spans="1:6" x14ac:dyDescent="0.25">
      <c r="A8442" s="364"/>
      <c r="B8442"/>
      <c r="C8442"/>
      <c r="D8442"/>
      <c r="E8442" s="364"/>
      <c r="F8442"/>
    </row>
    <row r="8443" spans="1:6" x14ac:dyDescent="0.25">
      <c r="A8443" s="364"/>
      <c r="B8443"/>
      <c r="C8443"/>
      <c r="D8443"/>
      <c r="E8443" s="364"/>
      <c r="F8443"/>
    </row>
    <row r="8444" spans="1:6" x14ac:dyDescent="0.25">
      <c r="A8444" s="364"/>
      <c r="B8444"/>
      <c r="C8444"/>
      <c r="D8444"/>
      <c r="E8444" s="364"/>
      <c r="F8444"/>
    </row>
    <row r="8445" spans="1:6" x14ac:dyDescent="0.25">
      <c r="A8445" s="364"/>
      <c r="B8445"/>
      <c r="C8445"/>
      <c r="D8445"/>
      <c r="E8445" s="364"/>
      <c r="F8445"/>
    </row>
    <row r="8446" spans="1:6" x14ac:dyDescent="0.25">
      <c r="A8446" s="364"/>
      <c r="B8446"/>
      <c r="C8446"/>
      <c r="D8446"/>
      <c r="E8446" s="364"/>
      <c r="F8446"/>
    </row>
    <row r="8447" spans="1:6" x14ac:dyDescent="0.25">
      <c r="A8447" s="364"/>
      <c r="B8447"/>
      <c r="C8447"/>
      <c r="D8447"/>
      <c r="E8447" s="364"/>
      <c r="F8447"/>
    </row>
    <row r="8448" spans="1:6" x14ac:dyDescent="0.25">
      <c r="A8448" s="364"/>
      <c r="B8448"/>
      <c r="C8448"/>
      <c r="D8448"/>
      <c r="E8448" s="364"/>
      <c r="F8448"/>
    </row>
    <row r="8449" spans="1:6" x14ac:dyDescent="0.25">
      <c r="A8449" s="364"/>
      <c r="B8449"/>
      <c r="C8449"/>
      <c r="D8449"/>
      <c r="E8449" s="364"/>
      <c r="F8449"/>
    </row>
    <row r="8450" spans="1:6" x14ac:dyDescent="0.25">
      <c r="A8450" s="364"/>
      <c r="B8450"/>
      <c r="C8450"/>
      <c r="D8450"/>
      <c r="E8450" s="364"/>
      <c r="F8450"/>
    </row>
    <row r="8451" spans="1:6" x14ac:dyDescent="0.25">
      <c r="A8451" s="364"/>
      <c r="B8451"/>
      <c r="C8451"/>
      <c r="D8451"/>
      <c r="E8451" s="364"/>
      <c r="F8451"/>
    </row>
    <row r="8452" spans="1:6" x14ac:dyDescent="0.25">
      <c r="A8452" s="364"/>
      <c r="B8452"/>
      <c r="C8452"/>
      <c r="D8452"/>
      <c r="E8452" s="364"/>
      <c r="F8452"/>
    </row>
    <row r="8453" spans="1:6" x14ac:dyDescent="0.25">
      <c r="A8453" s="364"/>
      <c r="B8453"/>
      <c r="C8453"/>
      <c r="D8453"/>
      <c r="E8453" s="364"/>
      <c r="F8453"/>
    </row>
    <row r="8454" spans="1:6" x14ac:dyDescent="0.25">
      <c r="A8454" s="364"/>
      <c r="B8454"/>
      <c r="C8454"/>
      <c r="D8454"/>
      <c r="E8454" s="364"/>
      <c r="F8454"/>
    </row>
    <row r="8455" spans="1:6" x14ac:dyDescent="0.25">
      <c r="A8455" s="364"/>
      <c r="B8455"/>
      <c r="C8455"/>
      <c r="D8455"/>
      <c r="E8455" s="364"/>
      <c r="F8455"/>
    </row>
    <row r="8456" spans="1:6" x14ac:dyDescent="0.25">
      <c r="A8456" s="364"/>
      <c r="B8456"/>
      <c r="C8456"/>
      <c r="D8456"/>
      <c r="E8456" s="364"/>
      <c r="F8456"/>
    </row>
    <row r="8457" spans="1:6" x14ac:dyDescent="0.25">
      <c r="A8457" s="364"/>
      <c r="B8457"/>
      <c r="C8457"/>
      <c r="D8457"/>
      <c r="E8457" s="364"/>
      <c r="F8457"/>
    </row>
    <row r="8458" spans="1:6" x14ac:dyDescent="0.25">
      <c r="A8458" s="364"/>
      <c r="B8458"/>
      <c r="C8458"/>
      <c r="D8458"/>
      <c r="E8458" s="364"/>
      <c r="F8458"/>
    </row>
    <row r="8459" spans="1:6" x14ac:dyDescent="0.25">
      <c r="A8459" s="364"/>
      <c r="B8459"/>
      <c r="C8459"/>
      <c r="D8459"/>
      <c r="E8459" s="364"/>
      <c r="F8459"/>
    </row>
    <row r="8460" spans="1:6" x14ac:dyDescent="0.25">
      <c r="A8460" s="364"/>
      <c r="B8460"/>
      <c r="C8460"/>
      <c r="D8460"/>
      <c r="E8460" s="364"/>
      <c r="F8460"/>
    </row>
    <row r="8461" spans="1:6" x14ac:dyDescent="0.25">
      <c r="A8461" s="364"/>
      <c r="B8461"/>
      <c r="C8461"/>
      <c r="D8461"/>
      <c r="E8461" s="364"/>
      <c r="F8461"/>
    </row>
    <row r="8462" spans="1:6" x14ac:dyDescent="0.25">
      <c r="A8462" s="364"/>
      <c r="B8462"/>
      <c r="C8462"/>
      <c r="D8462"/>
      <c r="E8462" s="364"/>
      <c r="F8462"/>
    </row>
    <row r="8463" spans="1:6" x14ac:dyDescent="0.25">
      <c r="A8463" s="364"/>
      <c r="B8463"/>
      <c r="C8463"/>
      <c r="D8463"/>
      <c r="E8463" s="364"/>
      <c r="F8463"/>
    </row>
    <row r="8464" spans="1:6" x14ac:dyDescent="0.25">
      <c r="A8464" s="364"/>
      <c r="B8464"/>
      <c r="C8464"/>
      <c r="D8464"/>
      <c r="E8464" s="364"/>
      <c r="F8464"/>
    </row>
    <row r="8465" spans="1:6" x14ac:dyDescent="0.25">
      <c r="A8465" s="364"/>
      <c r="B8465"/>
      <c r="C8465"/>
      <c r="D8465"/>
      <c r="E8465" s="364"/>
      <c r="F8465"/>
    </row>
    <row r="8466" spans="1:6" x14ac:dyDescent="0.25">
      <c r="A8466" s="364"/>
      <c r="B8466"/>
      <c r="C8466"/>
      <c r="D8466"/>
      <c r="E8466" s="364"/>
      <c r="F8466"/>
    </row>
    <row r="8467" spans="1:6" x14ac:dyDescent="0.25">
      <c r="A8467" s="364"/>
      <c r="B8467"/>
      <c r="C8467"/>
      <c r="D8467"/>
      <c r="E8467" s="364"/>
      <c r="F8467"/>
    </row>
    <row r="8468" spans="1:6" x14ac:dyDescent="0.25">
      <c r="A8468" s="364"/>
      <c r="B8468"/>
      <c r="C8468"/>
      <c r="D8468"/>
      <c r="E8468" s="364"/>
      <c r="F8468"/>
    </row>
    <row r="8469" spans="1:6" x14ac:dyDescent="0.25">
      <c r="A8469" s="364"/>
      <c r="B8469"/>
      <c r="C8469"/>
      <c r="D8469"/>
      <c r="E8469" s="364"/>
      <c r="F8469"/>
    </row>
    <row r="8470" spans="1:6" x14ac:dyDescent="0.25">
      <c r="A8470" s="364"/>
      <c r="B8470"/>
      <c r="C8470"/>
      <c r="D8470"/>
      <c r="E8470" s="364"/>
      <c r="F8470"/>
    </row>
    <row r="8471" spans="1:6" x14ac:dyDescent="0.25">
      <c r="A8471" s="364"/>
      <c r="B8471"/>
      <c r="C8471"/>
      <c r="D8471"/>
      <c r="E8471" s="364"/>
      <c r="F8471"/>
    </row>
    <row r="8472" spans="1:6" x14ac:dyDescent="0.25">
      <c r="A8472" s="364"/>
      <c r="B8472"/>
      <c r="C8472"/>
      <c r="D8472"/>
      <c r="E8472" s="364"/>
      <c r="F8472"/>
    </row>
    <row r="8473" spans="1:6" x14ac:dyDescent="0.25">
      <c r="A8473" s="364"/>
      <c r="B8473"/>
      <c r="C8473"/>
      <c r="D8473"/>
      <c r="E8473" s="364"/>
      <c r="F8473"/>
    </row>
    <row r="8474" spans="1:6" x14ac:dyDescent="0.25">
      <c r="A8474" s="364"/>
      <c r="B8474"/>
      <c r="C8474"/>
      <c r="D8474"/>
      <c r="E8474" s="364"/>
      <c r="F8474"/>
    </row>
    <row r="8475" spans="1:6" x14ac:dyDescent="0.25">
      <c r="A8475" s="364"/>
      <c r="B8475"/>
      <c r="C8475"/>
      <c r="D8475"/>
      <c r="E8475" s="364"/>
      <c r="F8475"/>
    </row>
    <row r="8476" spans="1:6" x14ac:dyDescent="0.25">
      <c r="A8476" s="364"/>
      <c r="B8476"/>
      <c r="C8476"/>
      <c r="D8476"/>
      <c r="E8476" s="364"/>
      <c r="F8476"/>
    </row>
    <row r="8477" spans="1:6" x14ac:dyDescent="0.25">
      <c r="A8477" s="364"/>
      <c r="B8477"/>
      <c r="C8477"/>
      <c r="D8477"/>
      <c r="E8477" s="364"/>
      <c r="F8477"/>
    </row>
    <row r="8478" spans="1:6" x14ac:dyDescent="0.25">
      <c r="A8478" s="364"/>
      <c r="B8478"/>
      <c r="C8478"/>
      <c r="D8478"/>
      <c r="E8478" s="364"/>
      <c r="F8478"/>
    </row>
    <row r="8479" spans="1:6" x14ac:dyDescent="0.25">
      <c r="A8479" s="364"/>
      <c r="B8479"/>
      <c r="C8479"/>
      <c r="D8479"/>
      <c r="E8479" s="364"/>
      <c r="F8479"/>
    </row>
    <row r="8480" spans="1:6" x14ac:dyDescent="0.25">
      <c r="A8480" s="364"/>
      <c r="B8480"/>
      <c r="C8480"/>
      <c r="D8480"/>
      <c r="E8480" s="364"/>
      <c r="F8480"/>
    </row>
    <row r="8481" spans="1:6" x14ac:dyDescent="0.25">
      <c r="A8481" s="364"/>
      <c r="B8481"/>
      <c r="C8481"/>
      <c r="D8481"/>
      <c r="E8481" s="364"/>
      <c r="F8481"/>
    </row>
    <row r="8482" spans="1:6" x14ac:dyDescent="0.25">
      <c r="A8482" s="364"/>
      <c r="B8482"/>
      <c r="C8482"/>
      <c r="D8482"/>
      <c r="E8482" s="364"/>
      <c r="F8482"/>
    </row>
    <row r="8483" spans="1:6" x14ac:dyDescent="0.25">
      <c r="A8483" s="364"/>
      <c r="B8483"/>
      <c r="C8483"/>
      <c r="D8483"/>
      <c r="E8483" s="364"/>
      <c r="F8483"/>
    </row>
    <row r="8484" spans="1:6" x14ac:dyDescent="0.25">
      <c r="A8484" s="364"/>
      <c r="B8484"/>
      <c r="C8484"/>
      <c r="D8484"/>
      <c r="E8484" s="364"/>
      <c r="F8484"/>
    </row>
    <row r="8485" spans="1:6" x14ac:dyDescent="0.25">
      <c r="A8485" s="364"/>
      <c r="B8485"/>
      <c r="C8485"/>
      <c r="D8485"/>
      <c r="E8485" s="364"/>
      <c r="F8485"/>
    </row>
    <row r="8486" spans="1:6" x14ac:dyDescent="0.25">
      <c r="A8486" s="364"/>
      <c r="B8486"/>
      <c r="C8486"/>
      <c r="D8486"/>
      <c r="E8486" s="364"/>
      <c r="F8486"/>
    </row>
    <row r="8487" spans="1:6" x14ac:dyDescent="0.25">
      <c r="A8487" s="364"/>
      <c r="B8487"/>
      <c r="C8487"/>
      <c r="D8487"/>
      <c r="E8487" s="364"/>
      <c r="F8487"/>
    </row>
    <row r="8488" spans="1:6" x14ac:dyDescent="0.25">
      <c r="A8488" s="364"/>
      <c r="B8488"/>
      <c r="C8488"/>
      <c r="D8488"/>
      <c r="E8488" s="364"/>
      <c r="F8488"/>
    </row>
    <row r="8489" spans="1:6" x14ac:dyDescent="0.25">
      <c r="A8489" s="364"/>
      <c r="B8489"/>
      <c r="C8489"/>
      <c r="D8489"/>
      <c r="E8489" s="364"/>
      <c r="F8489"/>
    </row>
    <row r="8490" spans="1:6" x14ac:dyDescent="0.25">
      <c r="A8490" s="364"/>
      <c r="B8490"/>
      <c r="C8490"/>
      <c r="D8490"/>
      <c r="E8490" s="364"/>
      <c r="F8490"/>
    </row>
    <row r="8491" spans="1:6" x14ac:dyDescent="0.25">
      <c r="A8491" s="364"/>
      <c r="B8491"/>
      <c r="C8491"/>
      <c r="D8491"/>
      <c r="E8491" s="364"/>
      <c r="F8491"/>
    </row>
    <row r="8492" spans="1:6" x14ac:dyDescent="0.25">
      <c r="A8492" s="364"/>
      <c r="B8492"/>
      <c r="C8492"/>
      <c r="D8492"/>
      <c r="E8492" s="364"/>
      <c r="F8492"/>
    </row>
    <row r="8493" spans="1:6" x14ac:dyDescent="0.25">
      <c r="A8493" s="364"/>
      <c r="B8493"/>
      <c r="C8493"/>
      <c r="D8493"/>
      <c r="E8493" s="364"/>
      <c r="F8493"/>
    </row>
    <row r="8494" spans="1:6" x14ac:dyDescent="0.25">
      <c r="A8494" s="364"/>
      <c r="B8494"/>
      <c r="C8494"/>
      <c r="D8494"/>
      <c r="E8494" s="364"/>
      <c r="F8494"/>
    </row>
    <row r="8495" spans="1:6" x14ac:dyDescent="0.25">
      <c r="A8495" s="364"/>
      <c r="B8495"/>
      <c r="C8495"/>
      <c r="D8495"/>
      <c r="E8495" s="364"/>
      <c r="F8495"/>
    </row>
    <row r="8496" spans="1:6" x14ac:dyDescent="0.25">
      <c r="A8496" s="364"/>
      <c r="B8496"/>
      <c r="C8496"/>
      <c r="D8496"/>
      <c r="E8496" s="364"/>
      <c r="F8496"/>
    </row>
    <row r="8497" spans="1:6" x14ac:dyDescent="0.25">
      <c r="A8497" s="364"/>
      <c r="B8497"/>
      <c r="C8497"/>
      <c r="D8497"/>
      <c r="E8497" s="364"/>
      <c r="F8497"/>
    </row>
    <row r="8498" spans="1:6" x14ac:dyDescent="0.25">
      <c r="A8498" s="364"/>
      <c r="B8498"/>
      <c r="C8498"/>
      <c r="D8498"/>
      <c r="E8498" s="364"/>
      <c r="F8498"/>
    </row>
    <row r="8499" spans="1:6" x14ac:dyDescent="0.25">
      <c r="A8499" s="364"/>
      <c r="B8499"/>
      <c r="C8499"/>
      <c r="D8499"/>
      <c r="E8499" s="364"/>
      <c r="F8499"/>
    </row>
    <row r="8500" spans="1:6" x14ac:dyDescent="0.25">
      <c r="A8500" s="364"/>
      <c r="B8500"/>
      <c r="C8500"/>
      <c r="D8500"/>
      <c r="E8500" s="364"/>
      <c r="F8500"/>
    </row>
    <row r="8501" spans="1:6" x14ac:dyDescent="0.25">
      <c r="A8501" s="364"/>
      <c r="B8501"/>
      <c r="C8501"/>
      <c r="D8501"/>
      <c r="E8501" s="364"/>
      <c r="F8501"/>
    </row>
    <row r="8502" spans="1:6" x14ac:dyDescent="0.25">
      <c r="A8502" s="364"/>
      <c r="B8502"/>
      <c r="C8502"/>
      <c r="D8502"/>
      <c r="E8502" s="364"/>
      <c r="F8502"/>
    </row>
    <row r="8503" spans="1:6" x14ac:dyDescent="0.25">
      <c r="A8503" s="364"/>
      <c r="B8503"/>
      <c r="C8503"/>
      <c r="D8503"/>
      <c r="E8503" s="364"/>
      <c r="F8503"/>
    </row>
    <row r="8504" spans="1:6" x14ac:dyDescent="0.25">
      <c r="A8504" s="364"/>
      <c r="B8504"/>
      <c r="C8504"/>
      <c r="D8504"/>
      <c r="E8504" s="364"/>
      <c r="F8504"/>
    </row>
    <row r="8505" spans="1:6" x14ac:dyDescent="0.25">
      <c r="A8505" s="364"/>
      <c r="B8505"/>
      <c r="C8505"/>
      <c r="D8505"/>
      <c r="E8505" s="364"/>
      <c r="F8505"/>
    </row>
    <row r="8506" spans="1:6" x14ac:dyDescent="0.25">
      <c r="A8506" s="364"/>
      <c r="B8506"/>
      <c r="C8506"/>
      <c r="D8506"/>
      <c r="E8506" s="364"/>
      <c r="F8506"/>
    </row>
    <row r="8507" spans="1:6" x14ac:dyDescent="0.25">
      <c r="A8507" s="364"/>
      <c r="B8507"/>
      <c r="C8507"/>
      <c r="D8507"/>
      <c r="E8507" s="364"/>
      <c r="F8507"/>
    </row>
    <row r="8508" spans="1:6" x14ac:dyDescent="0.25">
      <c r="A8508" s="364"/>
      <c r="B8508"/>
      <c r="C8508"/>
      <c r="D8508"/>
      <c r="E8508" s="364"/>
      <c r="F8508"/>
    </row>
    <row r="8509" spans="1:6" x14ac:dyDescent="0.25">
      <c r="A8509" s="364"/>
      <c r="B8509"/>
      <c r="C8509"/>
      <c r="D8509"/>
      <c r="E8509" s="364"/>
      <c r="F8509"/>
    </row>
    <row r="8510" spans="1:6" x14ac:dyDescent="0.25">
      <c r="A8510" s="364"/>
      <c r="B8510"/>
      <c r="C8510"/>
      <c r="D8510"/>
      <c r="E8510" s="364"/>
      <c r="F8510"/>
    </row>
    <row r="8511" spans="1:6" x14ac:dyDescent="0.25">
      <c r="A8511" s="364"/>
      <c r="B8511"/>
      <c r="C8511"/>
      <c r="D8511"/>
      <c r="E8511" s="364"/>
      <c r="F8511"/>
    </row>
    <row r="8512" spans="1:6" x14ac:dyDescent="0.25">
      <c r="A8512" s="364"/>
      <c r="B8512"/>
      <c r="C8512"/>
      <c r="D8512"/>
      <c r="E8512" s="364"/>
      <c r="F8512"/>
    </row>
    <row r="8513" spans="1:6" x14ac:dyDescent="0.25">
      <c r="A8513" s="364"/>
      <c r="B8513"/>
      <c r="C8513"/>
      <c r="D8513"/>
      <c r="E8513" s="364"/>
      <c r="F8513"/>
    </row>
    <row r="8514" spans="1:6" x14ac:dyDescent="0.25">
      <c r="A8514" s="364"/>
      <c r="B8514"/>
      <c r="C8514"/>
      <c r="D8514"/>
      <c r="E8514" s="364"/>
      <c r="F8514"/>
    </row>
    <row r="8515" spans="1:6" x14ac:dyDescent="0.25">
      <c r="A8515" s="364"/>
      <c r="B8515"/>
      <c r="C8515"/>
      <c r="D8515"/>
      <c r="E8515" s="364"/>
      <c r="F8515"/>
    </row>
    <row r="8516" spans="1:6" x14ac:dyDescent="0.25">
      <c r="A8516" s="364"/>
      <c r="B8516"/>
      <c r="C8516"/>
      <c r="D8516"/>
      <c r="E8516" s="364"/>
      <c r="F8516"/>
    </row>
    <row r="8517" spans="1:6" x14ac:dyDescent="0.25">
      <c r="A8517" s="364"/>
      <c r="B8517"/>
      <c r="C8517"/>
      <c r="D8517"/>
      <c r="E8517" s="364"/>
      <c r="F8517"/>
    </row>
    <row r="8518" spans="1:6" x14ac:dyDescent="0.25">
      <c r="A8518" s="364"/>
      <c r="B8518"/>
      <c r="C8518"/>
      <c r="D8518"/>
      <c r="E8518" s="364"/>
      <c r="F8518"/>
    </row>
    <row r="8519" spans="1:6" x14ac:dyDescent="0.25">
      <c r="A8519" s="364"/>
      <c r="B8519"/>
      <c r="C8519"/>
      <c r="D8519"/>
      <c r="E8519" s="364"/>
      <c r="F8519"/>
    </row>
    <row r="8520" spans="1:6" x14ac:dyDescent="0.25">
      <c r="A8520" s="364"/>
      <c r="B8520"/>
      <c r="C8520"/>
      <c r="D8520"/>
      <c r="E8520" s="364"/>
      <c r="F8520"/>
    </row>
    <row r="8521" spans="1:6" x14ac:dyDescent="0.25">
      <c r="A8521" s="364"/>
      <c r="B8521"/>
      <c r="C8521"/>
      <c r="D8521"/>
      <c r="E8521" s="364"/>
      <c r="F8521"/>
    </row>
    <row r="8522" spans="1:6" x14ac:dyDescent="0.25">
      <c r="A8522" s="364"/>
      <c r="B8522"/>
      <c r="C8522"/>
      <c r="D8522"/>
      <c r="E8522" s="364"/>
      <c r="F8522"/>
    </row>
    <row r="8523" spans="1:6" x14ac:dyDescent="0.25">
      <c r="A8523" s="364"/>
      <c r="B8523"/>
      <c r="C8523"/>
      <c r="D8523"/>
      <c r="E8523" s="364"/>
      <c r="F8523"/>
    </row>
    <row r="8524" spans="1:6" x14ac:dyDescent="0.25">
      <c r="A8524" s="364"/>
      <c r="B8524"/>
      <c r="C8524"/>
      <c r="D8524"/>
      <c r="E8524" s="364"/>
      <c r="F8524"/>
    </row>
    <row r="8525" spans="1:6" x14ac:dyDescent="0.25">
      <c r="A8525" s="364"/>
      <c r="B8525"/>
      <c r="C8525"/>
      <c r="D8525"/>
      <c r="E8525" s="364"/>
      <c r="F8525"/>
    </row>
    <row r="8526" spans="1:6" x14ac:dyDescent="0.25">
      <c r="A8526" s="364"/>
      <c r="B8526"/>
      <c r="C8526"/>
      <c r="D8526"/>
      <c r="E8526" s="364"/>
      <c r="F8526"/>
    </row>
    <row r="8527" spans="1:6" x14ac:dyDescent="0.25">
      <c r="A8527" s="364"/>
      <c r="B8527"/>
      <c r="C8527"/>
      <c r="D8527"/>
      <c r="E8527" s="364"/>
      <c r="F8527"/>
    </row>
    <row r="8528" spans="1:6" x14ac:dyDescent="0.25">
      <c r="A8528" s="364"/>
      <c r="B8528"/>
      <c r="C8528"/>
      <c r="D8528"/>
      <c r="E8528" s="364"/>
      <c r="F8528"/>
    </row>
    <row r="8529" spans="1:6" x14ac:dyDescent="0.25">
      <c r="A8529" s="364"/>
      <c r="B8529"/>
      <c r="C8529"/>
      <c r="D8529"/>
      <c r="E8529" s="364"/>
      <c r="F8529"/>
    </row>
    <row r="8530" spans="1:6" x14ac:dyDescent="0.25">
      <c r="A8530" s="364"/>
      <c r="B8530"/>
      <c r="C8530"/>
      <c r="D8530"/>
      <c r="E8530" s="364"/>
      <c r="F8530"/>
    </row>
    <row r="8531" spans="1:6" x14ac:dyDescent="0.25">
      <c r="A8531" s="364"/>
      <c r="B8531"/>
      <c r="C8531"/>
      <c r="D8531"/>
      <c r="E8531" s="364"/>
      <c r="F8531"/>
    </row>
    <row r="8532" spans="1:6" x14ac:dyDescent="0.25">
      <c r="A8532" s="364"/>
      <c r="B8532"/>
      <c r="C8532"/>
      <c r="D8532"/>
      <c r="E8532" s="364"/>
      <c r="F8532"/>
    </row>
    <row r="8533" spans="1:6" x14ac:dyDescent="0.25">
      <c r="A8533" s="364"/>
      <c r="B8533"/>
      <c r="C8533"/>
      <c r="D8533"/>
      <c r="E8533" s="364"/>
      <c r="F8533"/>
    </row>
    <row r="8534" spans="1:6" x14ac:dyDescent="0.25">
      <c r="A8534" s="364"/>
      <c r="B8534"/>
      <c r="C8534"/>
      <c r="D8534"/>
      <c r="E8534" s="364"/>
      <c r="F8534"/>
    </row>
    <row r="8535" spans="1:6" x14ac:dyDescent="0.25">
      <c r="A8535" s="364"/>
      <c r="B8535"/>
      <c r="C8535"/>
      <c r="D8535"/>
      <c r="E8535" s="364"/>
      <c r="F8535"/>
    </row>
    <row r="8536" spans="1:6" x14ac:dyDescent="0.25">
      <c r="A8536" s="364"/>
      <c r="B8536"/>
      <c r="C8536"/>
      <c r="D8536"/>
      <c r="E8536" s="364"/>
      <c r="F8536"/>
    </row>
    <row r="8537" spans="1:6" x14ac:dyDescent="0.25">
      <c r="A8537" s="364"/>
      <c r="B8537"/>
      <c r="C8537"/>
      <c r="D8537"/>
      <c r="E8537" s="364"/>
      <c r="F8537"/>
    </row>
    <row r="8538" spans="1:6" x14ac:dyDescent="0.25">
      <c r="A8538" s="364"/>
      <c r="B8538"/>
      <c r="C8538"/>
      <c r="D8538"/>
      <c r="E8538" s="364"/>
      <c r="F8538"/>
    </row>
    <row r="8539" spans="1:6" x14ac:dyDescent="0.25">
      <c r="A8539" s="364"/>
      <c r="B8539"/>
      <c r="C8539"/>
      <c r="D8539"/>
      <c r="E8539" s="364"/>
      <c r="F8539"/>
    </row>
    <row r="8540" spans="1:6" x14ac:dyDescent="0.25">
      <c r="A8540" s="364"/>
      <c r="B8540"/>
      <c r="C8540"/>
      <c r="D8540"/>
      <c r="E8540" s="364"/>
      <c r="F8540"/>
    </row>
    <row r="8541" spans="1:6" x14ac:dyDescent="0.25">
      <c r="A8541" s="364"/>
      <c r="B8541"/>
      <c r="C8541"/>
      <c r="D8541"/>
      <c r="E8541" s="364"/>
      <c r="F8541"/>
    </row>
    <row r="8542" spans="1:6" x14ac:dyDescent="0.25">
      <c r="A8542" s="364"/>
      <c r="B8542"/>
      <c r="C8542"/>
      <c r="D8542"/>
      <c r="E8542" s="364"/>
      <c r="F8542"/>
    </row>
    <row r="8543" spans="1:6" x14ac:dyDescent="0.25">
      <c r="A8543" s="364"/>
      <c r="B8543"/>
      <c r="C8543"/>
      <c r="D8543"/>
      <c r="E8543" s="364"/>
      <c r="F8543"/>
    </row>
    <row r="8544" spans="1:6" x14ac:dyDescent="0.25">
      <c r="A8544" s="364"/>
      <c r="B8544"/>
      <c r="C8544"/>
      <c r="D8544"/>
      <c r="E8544" s="364"/>
      <c r="F8544"/>
    </row>
    <row r="8545" spans="1:6" x14ac:dyDescent="0.25">
      <c r="A8545" s="364"/>
      <c r="B8545"/>
      <c r="C8545"/>
      <c r="D8545"/>
      <c r="E8545" s="364"/>
      <c r="F8545"/>
    </row>
    <row r="8546" spans="1:6" x14ac:dyDescent="0.25">
      <c r="A8546" s="364"/>
      <c r="B8546"/>
      <c r="C8546"/>
      <c r="D8546"/>
      <c r="E8546" s="364"/>
      <c r="F8546"/>
    </row>
    <row r="8547" spans="1:6" x14ac:dyDescent="0.25">
      <c r="A8547" s="364"/>
      <c r="B8547"/>
      <c r="C8547"/>
      <c r="D8547"/>
      <c r="E8547" s="364"/>
      <c r="F8547"/>
    </row>
    <row r="8548" spans="1:6" x14ac:dyDescent="0.25">
      <c r="A8548" s="364"/>
      <c r="B8548"/>
      <c r="C8548"/>
      <c r="D8548"/>
      <c r="E8548" s="364"/>
      <c r="F8548"/>
    </row>
    <row r="8549" spans="1:6" x14ac:dyDescent="0.25">
      <c r="A8549" s="364"/>
      <c r="B8549"/>
      <c r="C8549"/>
      <c r="D8549"/>
      <c r="E8549" s="364"/>
      <c r="F8549"/>
    </row>
    <row r="8550" spans="1:6" x14ac:dyDescent="0.25">
      <c r="A8550" s="364"/>
      <c r="B8550"/>
      <c r="C8550"/>
      <c r="D8550"/>
      <c r="E8550" s="364"/>
      <c r="F8550"/>
    </row>
    <row r="8551" spans="1:6" x14ac:dyDescent="0.25">
      <c r="A8551" s="364"/>
      <c r="B8551"/>
      <c r="C8551"/>
      <c r="D8551"/>
      <c r="E8551" s="364"/>
      <c r="F8551"/>
    </row>
    <row r="8552" spans="1:6" x14ac:dyDescent="0.25">
      <c r="A8552" s="364"/>
      <c r="B8552"/>
      <c r="C8552"/>
      <c r="D8552"/>
      <c r="E8552" s="364"/>
      <c r="F8552"/>
    </row>
    <row r="8553" spans="1:6" x14ac:dyDescent="0.25">
      <c r="A8553" s="364"/>
      <c r="B8553"/>
      <c r="C8553"/>
      <c r="D8553"/>
      <c r="E8553" s="364"/>
      <c r="F8553"/>
    </row>
    <row r="8554" spans="1:6" x14ac:dyDescent="0.25">
      <c r="A8554" s="364"/>
      <c r="B8554"/>
      <c r="C8554"/>
      <c r="D8554"/>
      <c r="E8554" s="364"/>
      <c r="F8554"/>
    </row>
    <row r="8555" spans="1:6" x14ac:dyDescent="0.25">
      <c r="A8555" s="364"/>
      <c r="B8555"/>
      <c r="C8555"/>
      <c r="D8555"/>
      <c r="E8555" s="364"/>
      <c r="F8555"/>
    </row>
    <row r="8556" spans="1:6" x14ac:dyDescent="0.25">
      <c r="A8556" s="364"/>
      <c r="B8556"/>
      <c r="C8556"/>
      <c r="D8556"/>
      <c r="E8556" s="364"/>
      <c r="F8556"/>
    </row>
    <row r="8557" spans="1:6" x14ac:dyDescent="0.25">
      <c r="A8557" s="364"/>
      <c r="B8557"/>
      <c r="C8557"/>
      <c r="D8557"/>
      <c r="E8557" s="364"/>
      <c r="F8557"/>
    </row>
    <row r="8558" spans="1:6" x14ac:dyDescent="0.25">
      <c r="A8558" s="364"/>
      <c r="B8558"/>
      <c r="C8558"/>
      <c r="D8558"/>
      <c r="E8558" s="364"/>
      <c r="F8558"/>
    </row>
    <row r="8559" spans="1:6" x14ac:dyDescent="0.25">
      <c r="A8559" s="364"/>
      <c r="B8559"/>
      <c r="C8559"/>
      <c r="D8559"/>
      <c r="E8559" s="364"/>
      <c r="F8559"/>
    </row>
    <row r="8560" spans="1:6" x14ac:dyDescent="0.25">
      <c r="A8560" s="364"/>
      <c r="B8560"/>
      <c r="C8560"/>
      <c r="D8560"/>
      <c r="E8560" s="364"/>
      <c r="F8560"/>
    </row>
    <row r="8561" spans="1:6" x14ac:dyDescent="0.25">
      <c r="A8561" s="364"/>
      <c r="B8561"/>
      <c r="C8561"/>
      <c r="D8561"/>
      <c r="E8561" s="364"/>
      <c r="F8561"/>
    </row>
    <row r="8562" spans="1:6" x14ac:dyDescent="0.25">
      <c r="A8562" s="364"/>
      <c r="B8562"/>
      <c r="C8562"/>
      <c r="D8562"/>
      <c r="E8562" s="364"/>
      <c r="F8562"/>
    </row>
    <row r="8563" spans="1:6" x14ac:dyDescent="0.25">
      <c r="A8563" s="364"/>
      <c r="B8563"/>
      <c r="C8563"/>
      <c r="D8563"/>
      <c r="E8563" s="364"/>
      <c r="F8563"/>
    </row>
    <row r="8564" spans="1:6" x14ac:dyDescent="0.25">
      <c r="A8564" s="364"/>
      <c r="B8564"/>
      <c r="C8564"/>
      <c r="D8564"/>
      <c r="E8564" s="364"/>
      <c r="F8564"/>
    </row>
    <row r="8565" spans="1:6" x14ac:dyDescent="0.25">
      <c r="A8565" s="364"/>
      <c r="B8565"/>
      <c r="C8565"/>
      <c r="D8565"/>
      <c r="E8565" s="364"/>
      <c r="F8565"/>
    </row>
    <row r="8566" spans="1:6" x14ac:dyDescent="0.25">
      <c r="A8566" s="364"/>
      <c r="B8566"/>
      <c r="C8566"/>
      <c r="D8566"/>
      <c r="E8566" s="364"/>
      <c r="F8566"/>
    </row>
    <row r="8567" spans="1:6" x14ac:dyDescent="0.25">
      <c r="A8567" s="364"/>
      <c r="B8567"/>
      <c r="C8567"/>
      <c r="D8567"/>
      <c r="E8567" s="364"/>
      <c r="F8567"/>
    </row>
    <row r="8568" spans="1:6" x14ac:dyDescent="0.25">
      <c r="A8568" s="364"/>
      <c r="B8568"/>
      <c r="C8568"/>
      <c r="D8568"/>
      <c r="E8568" s="364"/>
      <c r="F8568"/>
    </row>
    <row r="8569" spans="1:6" x14ac:dyDescent="0.25">
      <c r="A8569" s="364"/>
      <c r="B8569"/>
      <c r="C8569"/>
      <c r="D8569"/>
      <c r="E8569" s="364"/>
      <c r="F8569"/>
    </row>
    <row r="8570" spans="1:6" x14ac:dyDescent="0.25">
      <c r="A8570" s="364"/>
      <c r="B8570"/>
      <c r="C8570"/>
      <c r="D8570"/>
      <c r="E8570" s="364"/>
      <c r="F8570"/>
    </row>
    <row r="8571" spans="1:6" x14ac:dyDescent="0.25">
      <c r="A8571" s="364"/>
      <c r="B8571"/>
      <c r="C8571"/>
      <c r="D8571"/>
      <c r="E8571" s="364"/>
      <c r="F8571"/>
    </row>
    <row r="8572" spans="1:6" x14ac:dyDescent="0.25">
      <c r="A8572" s="364"/>
      <c r="B8572"/>
      <c r="C8572"/>
      <c r="D8572"/>
      <c r="E8572" s="364"/>
      <c r="F8572"/>
    </row>
    <row r="8573" spans="1:6" x14ac:dyDescent="0.25">
      <c r="A8573" s="364"/>
      <c r="B8573"/>
      <c r="C8573"/>
      <c r="D8573"/>
      <c r="E8573" s="364"/>
      <c r="F8573"/>
    </row>
    <row r="8574" spans="1:6" x14ac:dyDescent="0.25">
      <c r="A8574" s="364"/>
      <c r="B8574"/>
      <c r="C8574"/>
      <c r="D8574"/>
      <c r="E8574" s="364"/>
      <c r="F8574"/>
    </row>
    <row r="8575" spans="1:6" x14ac:dyDescent="0.25">
      <c r="A8575" s="364"/>
      <c r="B8575"/>
      <c r="C8575"/>
      <c r="D8575"/>
      <c r="E8575" s="364"/>
      <c r="F8575"/>
    </row>
    <row r="8576" spans="1:6" x14ac:dyDescent="0.25">
      <c r="A8576" s="364"/>
      <c r="B8576"/>
      <c r="C8576"/>
      <c r="D8576"/>
      <c r="E8576" s="364"/>
      <c r="F8576"/>
    </row>
    <row r="8577" spans="1:6" x14ac:dyDescent="0.25">
      <c r="A8577" s="364"/>
      <c r="B8577"/>
      <c r="C8577"/>
      <c r="D8577"/>
      <c r="E8577" s="364"/>
      <c r="F8577"/>
    </row>
    <row r="8578" spans="1:6" x14ac:dyDescent="0.25">
      <c r="A8578" s="364"/>
      <c r="B8578"/>
      <c r="C8578"/>
      <c r="D8578"/>
      <c r="E8578" s="364"/>
      <c r="F8578"/>
    </row>
    <row r="8579" spans="1:6" x14ac:dyDescent="0.25">
      <c r="A8579" s="364"/>
      <c r="B8579"/>
      <c r="C8579"/>
      <c r="D8579"/>
      <c r="E8579" s="364"/>
      <c r="F8579"/>
    </row>
    <row r="8580" spans="1:6" x14ac:dyDescent="0.25">
      <c r="A8580" s="364"/>
      <c r="B8580"/>
      <c r="C8580"/>
      <c r="D8580"/>
      <c r="E8580" s="364"/>
      <c r="F8580"/>
    </row>
    <row r="8581" spans="1:6" x14ac:dyDescent="0.25">
      <c r="A8581" s="364"/>
      <c r="B8581"/>
      <c r="C8581"/>
      <c r="D8581"/>
      <c r="E8581" s="364"/>
      <c r="F8581"/>
    </row>
    <row r="8582" spans="1:6" x14ac:dyDescent="0.25">
      <c r="A8582" s="364"/>
      <c r="B8582"/>
      <c r="C8582"/>
      <c r="D8582"/>
      <c r="E8582" s="364"/>
      <c r="F8582"/>
    </row>
    <row r="8583" spans="1:6" x14ac:dyDescent="0.25">
      <c r="A8583" s="364"/>
      <c r="B8583"/>
      <c r="C8583"/>
      <c r="D8583"/>
      <c r="E8583" s="364"/>
      <c r="F8583"/>
    </row>
    <row r="8584" spans="1:6" x14ac:dyDescent="0.25">
      <c r="A8584" s="364"/>
      <c r="B8584"/>
      <c r="C8584"/>
      <c r="D8584"/>
      <c r="E8584" s="364"/>
      <c r="F8584"/>
    </row>
    <row r="8585" spans="1:6" x14ac:dyDescent="0.25">
      <c r="A8585" s="364"/>
      <c r="B8585"/>
      <c r="C8585"/>
      <c r="D8585"/>
      <c r="E8585" s="364"/>
      <c r="F8585"/>
    </row>
    <row r="8586" spans="1:6" x14ac:dyDescent="0.25">
      <c r="A8586" s="364"/>
      <c r="B8586"/>
      <c r="C8586"/>
      <c r="D8586"/>
      <c r="E8586" s="364"/>
      <c r="F8586"/>
    </row>
    <row r="8587" spans="1:6" x14ac:dyDescent="0.25">
      <c r="A8587" s="364"/>
      <c r="B8587"/>
      <c r="C8587"/>
      <c r="D8587"/>
      <c r="E8587" s="364"/>
      <c r="F8587"/>
    </row>
    <row r="8588" spans="1:6" x14ac:dyDescent="0.25">
      <c r="A8588" s="364"/>
      <c r="B8588"/>
      <c r="C8588"/>
      <c r="D8588"/>
      <c r="E8588" s="364"/>
      <c r="F8588"/>
    </row>
    <row r="8589" spans="1:6" x14ac:dyDescent="0.25">
      <c r="A8589" s="364"/>
      <c r="B8589"/>
      <c r="C8589"/>
      <c r="D8589"/>
      <c r="E8589" s="364"/>
      <c r="F8589"/>
    </row>
    <row r="8590" spans="1:6" x14ac:dyDescent="0.25">
      <c r="A8590" s="364"/>
      <c r="B8590"/>
      <c r="C8590"/>
      <c r="D8590"/>
      <c r="E8590" s="364"/>
      <c r="F8590"/>
    </row>
    <row r="8591" spans="1:6" x14ac:dyDescent="0.25">
      <c r="A8591" s="364"/>
      <c r="B8591"/>
      <c r="C8591"/>
      <c r="D8591"/>
      <c r="E8591" s="364"/>
      <c r="F8591"/>
    </row>
    <row r="8592" spans="1:6" x14ac:dyDescent="0.25">
      <c r="A8592" s="364"/>
      <c r="B8592"/>
      <c r="C8592"/>
      <c r="D8592"/>
      <c r="E8592" s="364"/>
      <c r="F8592"/>
    </row>
    <row r="8593" spans="1:6" x14ac:dyDescent="0.25">
      <c r="A8593" s="364"/>
      <c r="B8593"/>
      <c r="C8593"/>
      <c r="D8593"/>
      <c r="E8593" s="364"/>
      <c r="F8593"/>
    </row>
    <row r="8594" spans="1:6" x14ac:dyDescent="0.25">
      <c r="A8594" s="364"/>
      <c r="B8594"/>
      <c r="C8594"/>
      <c r="D8594"/>
      <c r="E8594" s="364"/>
      <c r="F8594"/>
    </row>
    <row r="8595" spans="1:6" x14ac:dyDescent="0.25">
      <c r="A8595" s="364"/>
      <c r="B8595"/>
      <c r="C8595"/>
      <c r="D8595"/>
      <c r="E8595" s="364"/>
      <c r="F8595"/>
    </row>
    <row r="8596" spans="1:6" x14ac:dyDescent="0.25">
      <c r="A8596" s="364"/>
      <c r="B8596"/>
      <c r="C8596"/>
      <c r="D8596"/>
      <c r="E8596" s="364"/>
      <c r="F8596"/>
    </row>
    <row r="8597" spans="1:6" x14ac:dyDescent="0.25">
      <c r="A8597" s="364"/>
      <c r="B8597"/>
      <c r="C8597"/>
      <c r="D8597"/>
      <c r="E8597" s="364"/>
      <c r="F8597"/>
    </row>
    <row r="8598" spans="1:6" x14ac:dyDescent="0.25">
      <c r="A8598" s="364"/>
      <c r="B8598"/>
      <c r="C8598"/>
      <c r="D8598"/>
      <c r="E8598" s="364"/>
      <c r="F8598"/>
    </row>
    <row r="8599" spans="1:6" x14ac:dyDescent="0.25">
      <c r="A8599" s="364"/>
      <c r="B8599"/>
      <c r="C8599"/>
      <c r="D8599"/>
      <c r="E8599" s="364"/>
      <c r="F8599"/>
    </row>
    <row r="8600" spans="1:6" x14ac:dyDescent="0.25">
      <c r="A8600" s="364"/>
      <c r="B8600"/>
      <c r="C8600"/>
      <c r="D8600"/>
      <c r="E8600" s="364"/>
      <c r="F8600"/>
    </row>
    <row r="8601" spans="1:6" x14ac:dyDescent="0.25">
      <c r="A8601" s="364"/>
      <c r="B8601"/>
      <c r="C8601"/>
      <c r="D8601"/>
      <c r="E8601" s="364"/>
      <c r="F8601"/>
    </row>
    <row r="8602" spans="1:6" x14ac:dyDescent="0.25">
      <c r="A8602" s="364"/>
      <c r="B8602"/>
      <c r="C8602"/>
      <c r="D8602"/>
      <c r="E8602" s="364"/>
      <c r="F8602"/>
    </row>
    <row r="8603" spans="1:6" x14ac:dyDescent="0.25">
      <c r="A8603" s="364"/>
      <c r="B8603"/>
      <c r="C8603"/>
      <c r="D8603"/>
      <c r="E8603" s="364"/>
      <c r="F8603"/>
    </row>
    <row r="8604" spans="1:6" x14ac:dyDescent="0.25">
      <c r="A8604" s="364"/>
      <c r="B8604"/>
      <c r="C8604"/>
      <c r="D8604"/>
      <c r="E8604" s="364"/>
      <c r="F8604"/>
    </row>
    <row r="8605" spans="1:6" x14ac:dyDescent="0.25">
      <c r="A8605" s="364"/>
      <c r="B8605"/>
      <c r="C8605"/>
      <c r="D8605"/>
      <c r="E8605" s="364"/>
      <c r="F8605"/>
    </row>
    <row r="8606" spans="1:6" x14ac:dyDescent="0.25">
      <c r="A8606" s="364"/>
      <c r="B8606"/>
      <c r="C8606"/>
      <c r="D8606"/>
      <c r="E8606" s="364"/>
      <c r="F8606"/>
    </row>
    <row r="8607" spans="1:6" x14ac:dyDescent="0.25">
      <c r="A8607" s="364"/>
      <c r="B8607"/>
      <c r="C8607"/>
      <c r="D8607"/>
      <c r="E8607" s="364"/>
      <c r="F8607"/>
    </row>
    <row r="8608" spans="1:6" x14ac:dyDescent="0.25">
      <c r="A8608" s="364"/>
      <c r="B8608"/>
      <c r="C8608"/>
      <c r="D8608"/>
      <c r="E8608" s="364"/>
      <c r="F8608"/>
    </row>
    <row r="8609" spans="1:6" x14ac:dyDescent="0.25">
      <c r="A8609" s="364"/>
      <c r="B8609"/>
      <c r="C8609"/>
      <c r="D8609"/>
      <c r="E8609" s="364"/>
      <c r="F8609"/>
    </row>
    <row r="8610" spans="1:6" x14ac:dyDescent="0.25">
      <c r="A8610" s="364"/>
      <c r="B8610"/>
      <c r="C8610"/>
      <c r="D8610"/>
      <c r="E8610" s="364"/>
      <c r="F8610"/>
    </row>
    <row r="8611" spans="1:6" x14ac:dyDescent="0.25">
      <c r="A8611" s="364"/>
      <c r="B8611"/>
      <c r="C8611"/>
      <c r="D8611"/>
      <c r="E8611" s="364"/>
      <c r="F8611"/>
    </row>
    <row r="8612" spans="1:6" x14ac:dyDescent="0.25">
      <c r="A8612" s="364"/>
      <c r="B8612"/>
      <c r="C8612"/>
      <c r="D8612"/>
      <c r="E8612" s="364"/>
      <c r="F8612"/>
    </row>
    <row r="8613" spans="1:6" x14ac:dyDescent="0.25">
      <c r="A8613" s="364"/>
      <c r="B8613"/>
      <c r="C8613"/>
      <c r="D8613"/>
      <c r="E8613" s="364"/>
      <c r="F8613"/>
    </row>
    <row r="8614" spans="1:6" x14ac:dyDescent="0.25">
      <c r="A8614" s="364"/>
      <c r="B8614"/>
      <c r="C8614"/>
      <c r="D8614"/>
      <c r="E8614" s="364"/>
      <c r="F8614"/>
    </row>
    <row r="8615" spans="1:6" x14ac:dyDescent="0.25">
      <c r="A8615" s="364"/>
      <c r="B8615"/>
      <c r="C8615"/>
      <c r="D8615"/>
      <c r="E8615" s="364"/>
      <c r="F8615"/>
    </row>
    <row r="8616" spans="1:6" x14ac:dyDescent="0.25">
      <c r="A8616" s="364"/>
      <c r="B8616"/>
      <c r="C8616"/>
      <c r="D8616"/>
      <c r="E8616" s="364"/>
      <c r="F8616"/>
    </row>
    <row r="8617" spans="1:6" x14ac:dyDescent="0.25">
      <c r="A8617" s="364"/>
      <c r="B8617"/>
      <c r="C8617"/>
      <c r="D8617"/>
      <c r="E8617" s="364"/>
      <c r="F8617"/>
    </row>
    <row r="8618" spans="1:6" x14ac:dyDescent="0.25">
      <c r="A8618" s="364"/>
      <c r="B8618"/>
      <c r="C8618"/>
      <c r="D8618"/>
      <c r="E8618" s="364"/>
      <c r="F8618"/>
    </row>
    <row r="8619" spans="1:6" x14ac:dyDescent="0.25">
      <c r="A8619" s="364"/>
      <c r="B8619"/>
      <c r="C8619"/>
      <c r="D8619"/>
      <c r="E8619" s="364"/>
      <c r="F8619"/>
    </row>
    <row r="8620" spans="1:6" x14ac:dyDescent="0.25">
      <c r="A8620" s="364"/>
      <c r="B8620"/>
      <c r="C8620"/>
      <c r="D8620"/>
      <c r="E8620" s="364"/>
      <c r="F8620"/>
    </row>
    <row r="8621" spans="1:6" x14ac:dyDescent="0.25">
      <c r="A8621" s="364"/>
      <c r="B8621"/>
      <c r="C8621"/>
      <c r="D8621"/>
      <c r="E8621" s="364"/>
      <c r="F8621"/>
    </row>
    <row r="8622" spans="1:6" x14ac:dyDescent="0.25">
      <c r="A8622" s="364"/>
      <c r="B8622"/>
      <c r="C8622"/>
      <c r="D8622"/>
      <c r="E8622" s="364"/>
      <c r="F8622"/>
    </row>
    <row r="8623" spans="1:6" x14ac:dyDescent="0.25">
      <c r="A8623" s="364"/>
      <c r="B8623"/>
      <c r="C8623"/>
      <c r="D8623"/>
      <c r="E8623" s="364"/>
      <c r="F8623"/>
    </row>
    <row r="8624" spans="1:6" x14ac:dyDescent="0.25">
      <c r="A8624" s="364"/>
      <c r="B8624"/>
      <c r="C8624"/>
      <c r="D8624"/>
      <c r="E8624" s="364"/>
      <c r="F8624"/>
    </row>
    <row r="8625" spans="1:6" x14ac:dyDescent="0.25">
      <c r="A8625" s="364"/>
      <c r="B8625"/>
      <c r="C8625"/>
      <c r="D8625"/>
      <c r="E8625" s="364"/>
      <c r="F8625"/>
    </row>
    <row r="8626" spans="1:6" x14ac:dyDescent="0.25">
      <c r="A8626" s="364"/>
      <c r="B8626"/>
      <c r="C8626"/>
      <c r="D8626"/>
      <c r="E8626" s="364"/>
      <c r="F8626"/>
    </row>
    <row r="8627" spans="1:6" x14ac:dyDescent="0.25">
      <c r="A8627" s="364"/>
      <c r="B8627"/>
      <c r="C8627"/>
      <c r="D8627"/>
      <c r="E8627" s="364"/>
      <c r="F8627"/>
    </row>
    <row r="8628" spans="1:6" x14ac:dyDescent="0.25">
      <c r="A8628" s="364"/>
      <c r="B8628"/>
      <c r="C8628"/>
      <c r="D8628"/>
      <c r="E8628" s="364"/>
      <c r="F8628"/>
    </row>
    <row r="8629" spans="1:6" x14ac:dyDescent="0.25">
      <c r="A8629" s="364"/>
      <c r="B8629"/>
      <c r="C8629"/>
      <c r="D8629"/>
      <c r="E8629" s="364"/>
      <c r="F8629"/>
    </row>
    <row r="8630" spans="1:6" x14ac:dyDescent="0.25">
      <c r="A8630" s="364"/>
      <c r="B8630"/>
      <c r="C8630"/>
      <c r="D8630"/>
      <c r="E8630" s="364"/>
      <c r="F8630"/>
    </row>
    <row r="8631" spans="1:6" x14ac:dyDescent="0.25">
      <c r="A8631" s="364"/>
      <c r="B8631"/>
      <c r="C8631"/>
      <c r="D8631"/>
      <c r="E8631" s="364"/>
      <c r="F8631"/>
    </row>
    <row r="8632" spans="1:6" x14ac:dyDescent="0.25">
      <c r="A8632" s="364"/>
      <c r="B8632"/>
      <c r="C8632"/>
      <c r="D8632"/>
      <c r="E8632" s="364"/>
      <c r="F8632"/>
    </row>
    <row r="8633" spans="1:6" x14ac:dyDescent="0.25">
      <c r="A8633" s="364"/>
      <c r="B8633"/>
      <c r="C8633"/>
      <c r="D8633"/>
      <c r="E8633" s="364"/>
      <c r="F8633"/>
    </row>
    <row r="8634" spans="1:6" x14ac:dyDescent="0.25">
      <c r="A8634" s="364"/>
      <c r="B8634"/>
      <c r="C8634"/>
      <c r="D8634"/>
      <c r="E8634" s="364"/>
      <c r="F8634"/>
    </row>
    <row r="8635" spans="1:6" x14ac:dyDescent="0.25">
      <c r="A8635" s="364"/>
      <c r="B8635"/>
      <c r="C8635"/>
      <c r="D8635"/>
      <c r="E8635" s="364"/>
      <c r="F8635"/>
    </row>
    <row r="8636" spans="1:6" x14ac:dyDescent="0.25">
      <c r="A8636" s="364"/>
      <c r="B8636"/>
      <c r="C8636"/>
      <c r="D8636"/>
      <c r="E8636" s="364"/>
      <c r="F8636"/>
    </row>
    <row r="8637" spans="1:6" x14ac:dyDescent="0.25">
      <c r="A8637" s="364"/>
      <c r="B8637"/>
      <c r="C8637"/>
      <c r="D8637"/>
      <c r="E8637" s="364"/>
      <c r="F8637"/>
    </row>
    <row r="8638" spans="1:6" x14ac:dyDescent="0.25">
      <c r="A8638" s="364"/>
      <c r="B8638"/>
      <c r="C8638"/>
      <c r="D8638"/>
      <c r="E8638" s="364"/>
      <c r="F8638"/>
    </row>
    <row r="8639" spans="1:6" x14ac:dyDescent="0.25">
      <c r="A8639" s="364"/>
      <c r="B8639"/>
      <c r="C8639"/>
      <c r="D8639"/>
      <c r="E8639" s="364"/>
      <c r="F8639"/>
    </row>
    <row r="8640" spans="1:6" x14ac:dyDescent="0.25">
      <c r="A8640" s="364"/>
      <c r="B8640"/>
      <c r="C8640"/>
      <c r="D8640"/>
      <c r="E8640" s="364"/>
      <c r="F8640"/>
    </row>
    <row r="8641" spans="1:6" x14ac:dyDescent="0.25">
      <c r="A8641" s="364"/>
      <c r="B8641"/>
      <c r="C8641"/>
      <c r="D8641"/>
      <c r="E8641" s="364"/>
      <c r="F8641"/>
    </row>
    <row r="8642" spans="1:6" x14ac:dyDescent="0.25">
      <c r="A8642" s="364"/>
      <c r="B8642"/>
      <c r="C8642"/>
      <c r="D8642"/>
      <c r="E8642" s="364"/>
      <c r="F8642"/>
    </row>
    <row r="8643" spans="1:6" x14ac:dyDescent="0.25">
      <c r="A8643" s="364"/>
      <c r="B8643"/>
      <c r="C8643"/>
      <c r="D8643"/>
      <c r="E8643" s="364"/>
      <c r="F8643"/>
    </row>
    <row r="8644" spans="1:6" x14ac:dyDescent="0.25">
      <c r="A8644" s="364"/>
      <c r="B8644"/>
      <c r="C8644"/>
      <c r="D8644"/>
      <c r="E8644" s="364"/>
      <c r="F8644"/>
    </row>
    <row r="8645" spans="1:6" x14ac:dyDescent="0.25">
      <c r="A8645" s="364"/>
      <c r="B8645"/>
      <c r="C8645"/>
      <c r="D8645"/>
      <c r="E8645" s="364"/>
      <c r="F8645"/>
    </row>
    <row r="8646" spans="1:6" x14ac:dyDescent="0.25">
      <c r="A8646" s="364"/>
      <c r="B8646"/>
      <c r="C8646"/>
      <c r="D8646"/>
      <c r="E8646" s="364"/>
      <c r="F8646"/>
    </row>
    <row r="8647" spans="1:6" x14ac:dyDescent="0.25">
      <c r="A8647" s="364"/>
      <c r="B8647"/>
      <c r="C8647"/>
      <c r="D8647"/>
      <c r="E8647" s="364"/>
      <c r="F8647"/>
    </row>
    <row r="8648" spans="1:6" x14ac:dyDescent="0.25">
      <c r="A8648" s="364"/>
      <c r="B8648"/>
      <c r="C8648"/>
      <c r="D8648"/>
      <c r="E8648" s="364"/>
      <c r="F8648"/>
    </row>
    <row r="8649" spans="1:6" x14ac:dyDescent="0.25">
      <c r="A8649" s="364"/>
      <c r="B8649"/>
      <c r="C8649"/>
      <c r="D8649"/>
      <c r="E8649" s="364"/>
      <c r="F8649"/>
    </row>
    <row r="8650" spans="1:6" x14ac:dyDescent="0.25">
      <c r="A8650" s="364"/>
      <c r="B8650"/>
      <c r="C8650"/>
      <c r="D8650"/>
      <c r="E8650" s="364"/>
      <c r="F8650"/>
    </row>
    <row r="8651" spans="1:6" x14ac:dyDescent="0.25">
      <c r="A8651" s="364"/>
      <c r="B8651"/>
      <c r="C8651"/>
      <c r="D8651"/>
      <c r="E8651" s="364"/>
      <c r="F8651"/>
    </row>
    <row r="8652" spans="1:6" x14ac:dyDescent="0.25">
      <c r="A8652" s="364"/>
      <c r="B8652"/>
      <c r="C8652"/>
      <c r="D8652"/>
      <c r="E8652" s="364"/>
      <c r="F8652"/>
    </row>
    <row r="8653" spans="1:6" x14ac:dyDescent="0.25">
      <c r="A8653" s="364"/>
      <c r="B8653"/>
      <c r="C8653"/>
      <c r="D8653"/>
      <c r="E8653" s="364"/>
      <c r="F8653"/>
    </row>
    <row r="8654" spans="1:6" x14ac:dyDescent="0.25">
      <c r="A8654" s="364"/>
      <c r="B8654"/>
      <c r="C8654"/>
      <c r="D8654"/>
      <c r="E8654" s="364"/>
      <c r="F8654"/>
    </row>
    <row r="8655" spans="1:6" x14ac:dyDescent="0.25">
      <c r="A8655" s="364"/>
      <c r="B8655"/>
      <c r="C8655"/>
      <c r="D8655"/>
      <c r="E8655" s="364"/>
      <c r="F8655"/>
    </row>
    <row r="8656" spans="1:6" x14ac:dyDescent="0.25">
      <c r="A8656" s="364"/>
      <c r="B8656"/>
      <c r="C8656"/>
      <c r="D8656"/>
      <c r="E8656" s="364"/>
      <c r="F8656"/>
    </row>
    <row r="8657" spans="1:6" x14ac:dyDescent="0.25">
      <c r="A8657" s="364"/>
      <c r="B8657"/>
      <c r="C8657"/>
      <c r="D8657"/>
      <c r="E8657" s="364"/>
      <c r="F8657"/>
    </row>
    <row r="8658" spans="1:6" x14ac:dyDescent="0.25">
      <c r="A8658" s="364"/>
      <c r="B8658"/>
      <c r="C8658"/>
      <c r="D8658"/>
      <c r="E8658" s="364"/>
      <c r="F8658"/>
    </row>
    <row r="8659" spans="1:6" x14ac:dyDescent="0.25">
      <c r="A8659" s="364"/>
      <c r="B8659"/>
      <c r="C8659"/>
      <c r="D8659"/>
      <c r="E8659" s="364"/>
      <c r="F8659"/>
    </row>
    <row r="8660" spans="1:6" x14ac:dyDescent="0.25">
      <c r="A8660" s="364"/>
      <c r="B8660"/>
      <c r="C8660"/>
      <c r="D8660"/>
      <c r="E8660" s="364"/>
      <c r="F8660"/>
    </row>
    <row r="8661" spans="1:6" x14ac:dyDescent="0.25">
      <c r="A8661" s="364"/>
      <c r="B8661"/>
      <c r="C8661"/>
      <c r="D8661"/>
      <c r="E8661" s="364"/>
      <c r="F8661"/>
    </row>
    <row r="8662" spans="1:6" x14ac:dyDescent="0.25">
      <c r="A8662" s="364"/>
      <c r="B8662"/>
      <c r="C8662"/>
      <c r="D8662"/>
      <c r="E8662" s="364"/>
      <c r="F8662"/>
    </row>
    <row r="8663" spans="1:6" x14ac:dyDescent="0.25">
      <c r="A8663" s="364"/>
      <c r="B8663"/>
      <c r="C8663"/>
      <c r="D8663"/>
      <c r="E8663" s="364"/>
      <c r="F8663"/>
    </row>
    <row r="8664" spans="1:6" x14ac:dyDescent="0.25">
      <c r="A8664" s="364"/>
      <c r="B8664"/>
      <c r="C8664"/>
      <c r="D8664"/>
      <c r="E8664" s="364"/>
      <c r="F8664"/>
    </row>
    <row r="8665" spans="1:6" x14ac:dyDescent="0.25">
      <c r="A8665" s="364"/>
      <c r="B8665"/>
      <c r="C8665"/>
      <c r="D8665"/>
      <c r="E8665" s="364"/>
      <c r="F8665"/>
    </row>
    <row r="8666" spans="1:6" x14ac:dyDescent="0.25">
      <c r="A8666" s="364"/>
      <c r="B8666"/>
      <c r="C8666"/>
      <c r="D8666"/>
      <c r="E8666" s="364"/>
      <c r="F8666"/>
    </row>
    <row r="8667" spans="1:6" x14ac:dyDescent="0.25">
      <c r="A8667" s="364"/>
      <c r="B8667"/>
      <c r="C8667"/>
      <c r="D8667"/>
      <c r="E8667" s="364"/>
      <c r="F8667"/>
    </row>
    <row r="8668" spans="1:6" x14ac:dyDescent="0.25">
      <c r="A8668" s="364"/>
      <c r="B8668"/>
      <c r="C8668"/>
      <c r="D8668"/>
      <c r="E8668" s="364"/>
      <c r="F8668"/>
    </row>
    <row r="8669" spans="1:6" x14ac:dyDescent="0.25">
      <c r="A8669" s="364"/>
      <c r="B8669"/>
      <c r="C8669"/>
      <c r="D8669"/>
      <c r="E8669" s="364"/>
      <c r="F8669"/>
    </row>
    <row r="8670" spans="1:6" x14ac:dyDescent="0.25">
      <c r="A8670" s="364"/>
      <c r="B8670"/>
      <c r="C8670"/>
      <c r="D8670"/>
      <c r="E8670" s="364"/>
      <c r="F8670"/>
    </row>
    <row r="8671" spans="1:6" x14ac:dyDescent="0.25">
      <c r="A8671" s="364"/>
      <c r="B8671"/>
      <c r="C8671"/>
      <c r="D8671"/>
      <c r="E8671" s="364"/>
      <c r="F8671"/>
    </row>
    <row r="8672" spans="1:6" x14ac:dyDescent="0.25">
      <c r="A8672" s="364"/>
      <c r="B8672"/>
      <c r="C8672"/>
      <c r="D8672"/>
      <c r="E8672" s="364"/>
      <c r="F8672"/>
    </row>
    <row r="8673" spans="1:6" x14ac:dyDescent="0.25">
      <c r="A8673" s="364"/>
      <c r="B8673"/>
      <c r="C8673"/>
      <c r="D8673"/>
      <c r="E8673" s="364"/>
      <c r="F8673"/>
    </row>
    <row r="8674" spans="1:6" x14ac:dyDescent="0.25">
      <c r="A8674" s="364"/>
      <c r="B8674"/>
      <c r="C8674"/>
      <c r="D8674"/>
      <c r="E8674" s="364"/>
      <c r="F8674"/>
    </row>
    <row r="8675" spans="1:6" x14ac:dyDescent="0.25">
      <c r="A8675" s="364"/>
      <c r="B8675"/>
      <c r="C8675"/>
      <c r="D8675"/>
      <c r="E8675" s="364"/>
      <c r="F8675"/>
    </row>
    <row r="8676" spans="1:6" x14ac:dyDescent="0.25">
      <c r="A8676" s="364"/>
      <c r="B8676"/>
      <c r="C8676"/>
      <c r="D8676"/>
      <c r="E8676" s="364"/>
      <c r="F8676"/>
    </row>
    <row r="8677" spans="1:6" x14ac:dyDescent="0.25">
      <c r="A8677" s="364"/>
      <c r="B8677"/>
      <c r="C8677"/>
      <c r="D8677"/>
      <c r="E8677" s="364"/>
      <c r="F8677"/>
    </row>
    <row r="8678" spans="1:6" x14ac:dyDescent="0.25">
      <c r="A8678" s="364"/>
      <c r="B8678"/>
      <c r="C8678"/>
      <c r="D8678"/>
      <c r="E8678" s="364"/>
      <c r="F8678"/>
    </row>
    <row r="8679" spans="1:6" x14ac:dyDescent="0.25">
      <c r="A8679" s="364"/>
      <c r="B8679"/>
      <c r="C8679"/>
      <c r="D8679"/>
      <c r="E8679" s="364"/>
      <c r="F8679"/>
    </row>
    <row r="8680" spans="1:6" x14ac:dyDescent="0.25">
      <c r="A8680" s="364"/>
      <c r="B8680"/>
      <c r="C8680"/>
      <c r="D8680"/>
      <c r="E8680" s="364"/>
      <c r="F8680"/>
    </row>
    <row r="8681" spans="1:6" x14ac:dyDescent="0.25">
      <c r="A8681" s="364"/>
      <c r="B8681"/>
      <c r="C8681"/>
      <c r="D8681"/>
      <c r="E8681" s="364"/>
      <c r="F8681"/>
    </row>
    <row r="8682" spans="1:6" x14ac:dyDescent="0.25">
      <c r="A8682" s="364"/>
      <c r="B8682"/>
      <c r="C8682"/>
      <c r="D8682"/>
      <c r="E8682" s="364"/>
      <c r="F8682"/>
    </row>
    <row r="8683" spans="1:6" x14ac:dyDescent="0.25">
      <c r="A8683" s="364"/>
      <c r="B8683"/>
      <c r="C8683"/>
      <c r="D8683"/>
      <c r="E8683" s="364"/>
      <c r="F8683"/>
    </row>
    <row r="8684" spans="1:6" x14ac:dyDescent="0.25">
      <c r="A8684" s="364"/>
      <c r="B8684"/>
      <c r="C8684"/>
      <c r="D8684"/>
      <c r="E8684" s="364"/>
      <c r="F8684"/>
    </row>
    <row r="8685" spans="1:6" x14ac:dyDescent="0.25">
      <c r="A8685" s="364"/>
      <c r="B8685"/>
      <c r="C8685"/>
      <c r="D8685"/>
      <c r="E8685" s="364"/>
      <c r="F8685"/>
    </row>
    <row r="8686" spans="1:6" x14ac:dyDescent="0.25">
      <c r="A8686" s="364"/>
      <c r="B8686"/>
      <c r="C8686"/>
      <c r="D8686"/>
      <c r="E8686" s="364"/>
      <c r="F8686"/>
    </row>
    <row r="8687" spans="1:6" x14ac:dyDescent="0.25">
      <c r="A8687" s="364"/>
      <c r="B8687"/>
      <c r="C8687"/>
      <c r="D8687"/>
      <c r="E8687" s="364"/>
      <c r="F8687"/>
    </row>
    <row r="8688" spans="1:6" x14ac:dyDescent="0.25">
      <c r="A8688" s="364"/>
      <c r="B8688"/>
      <c r="C8688"/>
      <c r="D8688"/>
      <c r="E8688" s="364"/>
      <c r="F8688"/>
    </row>
    <row r="8689" spans="1:6" x14ac:dyDescent="0.25">
      <c r="A8689" s="364"/>
      <c r="B8689"/>
      <c r="C8689"/>
      <c r="D8689"/>
      <c r="E8689" s="364"/>
      <c r="F8689"/>
    </row>
    <row r="8690" spans="1:6" x14ac:dyDescent="0.25">
      <c r="A8690" s="364"/>
      <c r="B8690"/>
      <c r="C8690"/>
      <c r="D8690"/>
      <c r="E8690" s="364"/>
      <c r="F8690"/>
    </row>
    <row r="8691" spans="1:6" x14ac:dyDescent="0.25">
      <c r="A8691" s="364"/>
      <c r="B8691"/>
      <c r="C8691"/>
      <c r="D8691"/>
      <c r="E8691" s="364"/>
      <c r="F8691"/>
    </row>
    <row r="8692" spans="1:6" x14ac:dyDescent="0.25">
      <c r="A8692" s="364"/>
      <c r="B8692"/>
      <c r="C8692"/>
      <c r="D8692"/>
      <c r="E8692" s="364"/>
      <c r="F8692"/>
    </row>
    <row r="8693" spans="1:6" x14ac:dyDescent="0.25">
      <c r="A8693" s="364"/>
      <c r="B8693"/>
      <c r="C8693"/>
      <c r="D8693"/>
      <c r="E8693" s="364"/>
      <c r="F8693"/>
    </row>
    <row r="8694" spans="1:6" x14ac:dyDescent="0.25">
      <c r="A8694" s="364"/>
      <c r="B8694"/>
      <c r="C8694"/>
      <c r="D8694"/>
      <c r="E8694" s="364"/>
      <c r="F8694"/>
    </row>
    <row r="8695" spans="1:6" x14ac:dyDescent="0.25">
      <c r="A8695" s="364"/>
      <c r="B8695"/>
      <c r="C8695"/>
      <c r="D8695"/>
      <c r="E8695" s="364"/>
      <c r="F8695"/>
    </row>
    <row r="8696" spans="1:6" x14ac:dyDescent="0.25">
      <c r="A8696" s="364"/>
      <c r="B8696"/>
      <c r="C8696"/>
      <c r="D8696"/>
      <c r="E8696" s="364"/>
      <c r="F8696"/>
    </row>
    <row r="8697" spans="1:6" x14ac:dyDescent="0.25">
      <c r="A8697" s="364"/>
      <c r="B8697"/>
      <c r="C8697"/>
      <c r="D8697"/>
      <c r="E8697" s="364"/>
      <c r="F8697"/>
    </row>
    <row r="8698" spans="1:6" x14ac:dyDescent="0.25">
      <c r="A8698" s="364"/>
      <c r="B8698"/>
      <c r="C8698"/>
      <c r="D8698"/>
      <c r="E8698" s="364"/>
      <c r="F8698"/>
    </row>
    <row r="8699" spans="1:6" x14ac:dyDescent="0.25">
      <c r="A8699" s="364"/>
      <c r="B8699"/>
      <c r="C8699"/>
      <c r="D8699"/>
      <c r="E8699" s="364"/>
      <c r="F8699"/>
    </row>
    <row r="8700" spans="1:6" x14ac:dyDescent="0.25">
      <c r="A8700" s="364"/>
      <c r="B8700"/>
      <c r="C8700"/>
      <c r="D8700"/>
      <c r="E8700" s="364"/>
      <c r="F8700"/>
    </row>
    <row r="8701" spans="1:6" x14ac:dyDescent="0.25">
      <c r="A8701" s="364"/>
      <c r="B8701"/>
      <c r="C8701"/>
      <c r="D8701"/>
      <c r="E8701" s="364"/>
      <c r="F8701"/>
    </row>
    <row r="8702" spans="1:6" x14ac:dyDescent="0.25">
      <c r="A8702" s="364"/>
      <c r="B8702"/>
      <c r="C8702"/>
      <c r="D8702"/>
      <c r="E8702" s="364"/>
      <c r="F8702"/>
    </row>
    <row r="8703" spans="1:6" x14ac:dyDescent="0.25">
      <c r="A8703" s="364"/>
      <c r="B8703"/>
      <c r="C8703"/>
      <c r="D8703"/>
      <c r="E8703" s="364"/>
      <c r="F8703"/>
    </row>
    <row r="8704" spans="1:6" x14ac:dyDescent="0.25">
      <c r="A8704" s="364"/>
      <c r="B8704"/>
      <c r="C8704"/>
      <c r="D8704"/>
      <c r="E8704" s="364"/>
      <c r="F8704"/>
    </row>
    <row r="8705" spans="1:6" x14ac:dyDescent="0.25">
      <c r="A8705" s="364"/>
      <c r="B8705"/>
      <c r="C8705"/>
      <c r="D8705"/>
      <c r="E8705" s="364"/>
      <c r="F8705"/>
    </row>
    <row r="8706" spans="1:6" x14ac:dyDescent="0.25">
      <c r="A8706" s="364"/>
      <c r="B8706"/>
      <c r="C8706"/>
      <c r="D8706"/>
      <c r="E8706" s="364"/>
      <c r="F8706"/>
    </row>
    <row r="8707" spans="1:6" x14ac:dyDescent="0.25">
      <c r="A8707" s="364"/>
      <c r="B8707"/>
      <c r="C8707"/>
      <c r="D8707"/>
      <c r="E8707" s="364"/>
      <c r="F8707"/>
    </row>
    <row r="8708" spans="1:6" x14ac:dyDescent="0.25">
      <c r="A8708" s="364"/>
      <c r="B8708"/>
      <c r="C8708"/>
      <c r="D8708"/>
      <c r="E8708" s="364"/>
      <c r="F8708"/>
    </row>
    <row r="8709" spans="1:6" x14ac:dyDescent="0.25">
      <c r="A8709" s="364"/>
      <c r="B8709"/>
      <c r="C8709"/>
      <c r="D8709"/>
      <c r="E8709" s="364"/>
      <c r="F8709"/>
    </row>
    <row r="8710" spans="1:6" x14ac:dyDescent="0.25">
      <c r="A8710" s="364"/>
      <c r="B8710"/>
      <c r="C8710"/>
      <c r="D8710"/>
      <c r="E8710" s="364"/>
      <c r="F8710"/>
    </row>
    <row r="8711" spans="1:6" x14ac:dyDescent="0.25">
      <c r="A8711" s="364"/>
      <c r="B8711"/>
      <c r="C8711"/>
      <c r="D8711"/>
      <c r="E8711" s="364"/>
      <c r="F8711"/>
    </row>
    <row r="8712" spans="1:6" x14ac:dyDescent="0.25">
      <c r="A8712" s="364"/>
      <c r="B8712"/>
      <c r="C8712"/>
      <c r="D8712"/>
      <c r="E8712" s="364"/>
      <c r="F8712"/>
    </row>
    <row r="8713" spans="1:6" x14ac:dyDescent="0.25">
      <c r="A8713" s="364"/>
      <c r="B8713"/>
      <c r="C8713"/>
      <c r="D8713"/>
      <c r="E8713" s="364"/>
      <c r="F8713"/>
    </row>
    <row r="8714" spans="1:6" x14ac:dyDescent="0.25">
      <c r="A8714" s="364"/>
      <c r="B8714"/>
      <c r="C8714"/>
      <c r="D8714"/>
      <c r="E8714" s="364"/>
      <c r="F8714"/>
    </row>
    <row r="8715" spans="1:6" x14ac:dyDescent="0.25">
      <c r="A8715" s="364"/>
      <c r="B8715"/>
      <c r="C8715"/>
      <c r="D8715"/>
      <c r="E8715" s="364"/>
      <c r="F8715"/>
    </row>
    <row r="8716" spans="1:6" x14ac:dyDescent="0.25">
      <c r="A8716" s="364"/>
      <c r="B8716"/>
      <c r="C8716"/>
      <c r="D8716"/>
      <c r="E8716" s="364"/>
      <c r="F8716"/>
    </row>
    <row r="8717" spans="1:6" x14ac:dyDescent="0.25">
      <c r="A8717" s="364"/>
      <c r="B8717"/>
      <c r="C8717"/>
      <c r="D8717"/>
      <c r="E8717" s="364"/>
      <c r="F8717"/>
    </row>
    <row r="8718" spans="1:6" x14ac:dyDescent="0.25">
      <c r="A8718" s="364"/>
      <c r="B8718"/>
      <c r="C8718"/>
      <c r="D8718"/>
      <c r="E8718" s="364"/>
      <c r="F8718"/>
    </row>
    <row r="8719" spans="1:6" x14ac:dyDescent="0.25">
      <c r="A8719" s="364"/>
      <c r="B8719"/>
      <c r="C8719"/>
      <c r="D8719"/>
      <c r="E8719" s="364"/>
      <c r="F8719"/>
    </row>
    <row r="8720" spans="1:6" x14ac:dyDescent="0.25">
      <c r="A8720" s="364"/>
      <c r="B8720"/>
      <c r="C8720"/>
      <c r="D8720"/>
      <c r="E8720" s="364"/>
      <c r="F8720"/>
    </row>
    <row r="8721" spans="1:6" x14ac:dyDescent="0.25">
      <c r="A8721" s="364"/>
      <c r="B8721"/>
      <c r="C8721"/>
      <c r="D8721"/>
      <c r="E8721" s="364"/>
      <c r="F8721"/>
    </row>
    <row r="8722" spans="1:6" x14ac:dyDescent="0.25">
      <c r="A8722" s="364"/>
      <c r="B8722"/>
      <c r="C8722"/>
      <c r="D8722"/>
      <c r="E8722" s="364"/>
      <c r="F8722"/>
    </row>
    <row r="8723" spans="1:6" x14ac:dyDescent="0.25">
      <c r="A8723" s="364"/>
      <c r="B8723"/>
      <c r="C8723"/>
      <c r="D8723"/>
      <c r="E8723" s="364"/>
      <c r="F8723"/>
    </row>
    <row r="8724" spans="1:6" x14ac:dyDescent="0.25">
      <c r="A8724" s="364"/>
      <c r="B8724"/>
      <c r="C8724"/>
      <c r="D8724"/>
      <c r="E8724" s="364"/>
      <c r="F8724"/>
    </row>
    <row r="8725" spans="1:6" x14ac:dyDescent="0.25">
      <c r="A8725" s="364"/>
      <c r="B8725"/>
      <c r="C8725"/>
      <c r="D8725"/>
      <c r="E8725" s="364"/>
      <c r="F8725"/>
    </row>
    <row r="8726" spans="1:6" x14ac:dyDescent="0.25">
      <c r="A8726" s="364"/>
      <c r="B8726"/>
      <c r="C8726"/>
      <c r="D8726"/>
      <c r="E8726" s="364"/>
      <c r="F8726"/>
    </row>
    <row r="8727" spans="1:6" x14ac:dyDescent="0.25">
      <c r="A8727" s="364"/>
      <c r="B8727"/>
      <c r="C8727"/>
      <c r="D8727"/>
      <c r="E8727" s="364"/>
      <c r="F8727"/>
    </row>
    <row r="8728" spans="1:6" x14ac:dyDescent="0.25">
      <c r="A8728" s="364"/>
      <c r="B8728"/>
      <c r="C8728"/>
      <c r="D8728"/>
      <c r="E8728" s="364"/>
      <c r="F8728"/>
    </row>
    <row r="8729" spans="1:6" x14ac:dyDescent="0.25">
      <c r="A8729" s="364"/>
      <c r="B8729"/>
      <c r="C8729"/>
      <c r="D8729"/>
      <c r="E8729" s="364"/>
      <c r="F8729"/>
    </row>
    <row r="8730" spans="1:6" x14ac:dyDescent="0.25">
      <c r="A8730" s="364"/>
      <c r="B8730"/>
      <c r="C8730"/>
      <c r="D8730"/>
      <c r="E8730" s="364"/>
      <c r="F8730"/>
    </row>
    <row r="8731" spans="1:6" x14ac:dyDescent="0.25">
      <c r="A8731" s="364"/>
      <c r="B8731"/>
      <c r="C8731"/>
      <c r="D8731"/>
      <c r="E8731" s="364"/>
      <c r="F8731"/>
    </row>
    <row r="8732" spans="1:6" x14ac:dyDescent="0.25">
      <c r="A8732" s="364"/>
      <c r="B8732"/>
      <c r="C8732"/>
      <c r="D8732"/>
      <c r="E8732" s="364"/>
      <c r="F8732"/>
    </row>
    <row r="8733" spans="1:6" x14ac:dyDescent="0.25">
      <c r="A8733" s="364"/>
      <c r="B8733"/>
      <c r="C8733"/>
      <c r="D8733"/>
      <c r="E8733" s="364"/>
      <c r="F8733"/>
    </row>
    <row r="8734" spans="1:6" x14ac:dyDescent="0.25">
      <c r="A8734" s="364"/>
      <c r="B8734"/>
      <c r="C8734"/>
      <c r="D8734"/>
      <c r="E8734" s="364"/>
      <c r="F8734"/>
    </row>
    <row r="8735" spans="1:6" x14ac:dyDescent="0.25">
      <c r="A8735" s="364"/>
      <c r="B8735"/>
      <c r="C8735"/>
      <c r="D8735"/>
      <c r="E8735" s="364"/>
      <c r="F8735"/>
    </row>
    <row r="8736" spans="1:6" x14ac:dyDescent="0.25">
      <c r="A8736" s="364"/>
      <c r="B8736"/>
      <c r="C8736"/>
      <c r="D8736"/>
      <c r="E8736" s="364"/>
      <c r="F8736"/>
    </row>
    <row r="8737" spans="1:6" x14ac:dyDescent="0.25">
      <c r="A8737" s="364"/>
      <c r="B8737"/>
      <c r="C8737"/>
      <c r="D8737"/>
      <c r="E8737" s="364"/>
      <c r="F8737"/>
    </row>
    <row r="8738" spans="1:6" x14ac:dyDescent="0.25">
      <c r="A8738" s="364"/>
      <c r="B8738"/>
      <c r="C8738"/>
      <c r="D8738"/>
      <c r="E8738" s="364"/>
      <c r="F8738"/>
    </row>
    <row r="8739" spans="1:6" x14ac:dyDescent="0.25">
      <c r="A8739" s="364"/>
      <c r="B8739"/>
      <c r="C8739"/>
      <c r="D8739"/>
      <c r="E8739" s="364"/>
      <c r="F8739"/>
    </row>
    <row r="8740" spans="1:6" x14ac:dyDescent="0.25">
      <c r="A8740" s="364"/>
      <c r="B8740"/>
      <c r="C8740"/>
      <c r="D8740"/>
      <c r="E8740" s="364"/>
      <c r="F8740"/>
    </row>
    <row r="8741" spans="1:6" x14ac:dyDescent="0.25">
      <c r="A8741" s="364"/>
      <c r="B8741"/>
      <c r="C8741"/>
      <c r="D8741"/>
      <c r="E8741" s="364"/>
      <c r="F8741"/>
    </row>
    <row r="8742" spans="1:6" x14ac:dyDescent="0.25">
      <c r="A8742" s="364"/>
      <c r="B8742"/>
      <c r="C8742"/>
      <c r="D8742"/>
      <c r="E8742" s="364"/>
      <c r="F8742"/>
    </row>
    <row r="8743" spans="1:6" x14ac:dyDescent="0.25">
      <c r="A8743" s="364"/>
      <c r="B8743"/>
      <c r="C8743"/>
      <c r="D8743"/>
      <c r="E8743" s="364"/>
      <c r="F8743"/>
    </row>
    <row r="8744" spans="1:6" x14ac:dyDescent="0.25">
      <c r="A8744" s="364"/>
      <c r="B8744"/>
      <c r="C8744"/>
      <c r="D8744"/>
      <c r="E8744" s="364"/>
      <c r="F8744"/>
    </row>
    <row r="8745" spans="1:6" x14ac:dyDescent="0.25">
      <c r="A8745" s="364"/>
      <c r="B8745"/>
      <c r="C8745"/>
      <c r="D8745"/>
      <c r="E8745" s="364"/>
      <c r="F8745"/>
    </row>
    <row r="8746" spans="1:6" x14ac:dyDescent="0.25">
      <c r="A8746" s="364"/>
      <c r="B8746"/>
      <c r="C8746"/>
      <c r="D8746"/>
      <c r="E8746" s="364"/>
      <c r="F8746"/>
    </row>
    <row r="8747" spans="1:6" x14ac:dyDescent="0.25">
      <c r="A8747" s="364"/>
      <c r="B8747"/>
      <c r="C8747"/>
      <c r="D8747"/>
      <c r="E8747" s="364"/>
      <c r="F8747"/>
    </row>
    <row r="8748" spans="1:6" x14ac:dyDescent="0.25">
      <c r="A8748" s="364"/>
      <c r="B8748"/>
      <c r="C8748"/>
      <c r="D8748"/>
      <c r="E8748" s="364"/>
      <c r="F8748"/>
    </row>
    <row r="8749" spans="1:6" x14ac:dyDescent="0.25">
      <c r="A8749" s="364"/>
      <c r="B8749"/>
      <c r="C8749"/>
      <c r="D8749"/>
      <c r="E8749" s="364"/>
      <c r="F8749"/>
    </row>
    <row r="8750" spans="1:6" x14ac:dyDescent="0.25">
      <c r="A8750" s="364"/>
      <c r="B8750"/>
      <c r="C8750"/>
      <c r="D8750"/>
      <c r="E8750" s="364"/>
      <c r="F8750"/>
    </row>
    <row r="8751" spans="1:6" x14ac:dyDescent="0.25">
      <c r="A8751" s="364"/>
      <c r="B8751"/>
      <c r="C8751"/>
      <c r="D8751"/>
      <c r="E8751" s="364"/>
      <c r="F8751"/>
    </row>
    <row r="8752" spans="1:6" x14ac:dyDescent="0.25">
      <c r="A8752" s="364"/>
      <c r="B8752"/>
      <c r="C8752"/>
      <c r="D8752"/>
      <c r="E8752" s="364"/>
      <c r="F8752"/>
    </row>
    <row r="8753" spans="1:6" x14ac:dyDescent="0.25">
      <c r="A8753" s="364"/>
      <c r="B8753"/>
      <c r="C8753"/>
      <c r="D8753"/>
      <c r="E8753" s="364"/>
      <c r="F8753"/>
    </row>
    <row r="8754" spans="1:6" x14ac:dyDescent="0.25">
      <c r="A8754" s="364"/>
      <c r="B8754"/>
      <c r="C8754"/>
      <c r="D8754"/>
      <c r="E8754" s="364"/>
      <c r="F8754"/>
    </row>
    <row r="8755" spans="1:6" x14ac:dyDescent="0.25">
      <c r="A8755" s="364"/>
      <c r="B8755"/>
      <c r="C8755"/>
      <c r="D8755"/>
      <c r="E8755" s="364"/>
      <c r="F8755"/>
    </row>
    <row r="8756" spans="1:6" x14ac:dyDescent="0.25">
      <c r="A8756" s="364"/>
      <c r="B8756"/>
      <c r="C8756"/>
      <c r="D8756"/>
      <c r="E8756" s="364"/>
      <c r="F8756"/>
    </row>
    <row r="8757" spans="1:6" x14ac:dyDescent="0.25">
      <c r="A8757" s="364"/>
      <c r="B8757"/>
      <c r="C8757"/>
      <c r="D8757"/>
      <c r="E8757" s="364"/>
      <c r="F8757"/>
    </row>
    <row r="8758" spans="1:6" x14ac:dyDescent="0.25">
      <c r="A8758" s="364"/>
      <c r="B8758"/>
      <c r="C8758"/>
      <c r="D8758"/>
      <c r="E8758" s="364"/>
      <c r="F8758"/>
    </row>
    <row r="8759" spans="1:6" x14ac:dyDescent="0.25">
      <c r="A8759" s="364"/>
      <c r="B8759"/>
      <c r="C8759"/>
      <c r="D8759"/>
      <c r="E8759" s="364"/>
      <c r="F8759"/>
    </row>
    <row r="8760" spans="1:6" x14ac:dyDescent="0.25">
      <c r="A8760" s="364"/>
      <c r="B8760"/>
      <c r="C8760"/>
      <c r="D8760"/>
      <c r="E8760" s="364"/>
      <c r="F8760"/>
    </row>
    <row r="8761" spans="1:6" x14ac:dyDescent="0.25">
      <c r="A8761" s="364"/>
      <c r="B8761"/>
      <c r="C8761"/>
      <c r="D8761"/>
      <c r="E8761" s="364"/>
      <c r="F8761"/>
    </row>
    <row r="8762" spans="1:6" x14ac:dyDescent="0.25">
      <c r="A8762" s="364"/>
      <c r="B8762"/>
      <c r="C8762"/>
      <c r="D8762"/>
      <c r="E8762" s="364"/>
      <c r="F8762"/>
    </row>
    <row r="8763" spans="1:6" x14ac:dyDescent="0.25">
      <c r="A8763" s="364"/>
      <c r="B8763"/>
      <c r="C8763"/>
      <c r="D8763"/>
      <c r="E8763" s="364"/>
      <c r="F8763"/>
    </row>
    <row r="8764" spans="1:6" x14ac:dyDescent="0.25">
      <c r="A8764" s="364"/>
      <c r="B8764"/>
      <c r="C8764"/>
      <c r="D8764"/>
      <c r="E8764" s="364"/>
      <c r="F8764"/>
    </row>
    <row r="8765" spans="1:6" x14ac:dyDescent="0.25">
      <c r="A8765" s="364"/>
      <c r="B8765"/>
      <c r="C8765"/>
      <c r="D8765"/>
      <c r="E8765" s="364"/>
      <c r="F8765"/>
    </row>
    <row r="8766" spans="1:6" x14ac:dyDescent="0.25">
      <c r="A8766" s="364"/>
      <c r="B8766"/>
      <c r="C8766"/>
      <c r="D8766"/>
      <c r="E8766" s="364"/>
      <c r="F8766"/>
    </row>
    <row r="8767" spans="1:6" x14ac:dyDescent="0.25">
      <c r="A8767" s="364"/>
      <c r="B8767"/>
      <c r="C8767"/>
      <c r="D8767"/>
      <c r="E8767" s="364"/>
      <c r="F8767"/>
    </row>
    <row r="8768" spans="1:6" x14ac:dyDescent="0.25">
      <c r="A8768" s="364"/>
      <c r="B8768"/>
      <c r="C8768"/>
      <c r="D8768"/>
      <c r="E8768" s="364"/>
      <c r="F8768"/>
    </row>
    <row r="8769" spans="1:6" x14ac:dyDescent="0.25">
      <c r="A8769" s="364"/>
      <c r="B8769"/>
      <c r="C8769"/>
      <c r="D8769"/>
      <c r="E8769" s="364"/>
      <c r="F8769"/>
    </row>
    <row r="8770" spans="1:6" x14ac:dyDescent="0.25">
      <c r="A8770" s="364"/>
      <c r="B8770"/>
      <c r="C8770"/>
      <c r="D8770"/>
      <c r="E8770" s="364"/>
      <c r="F8770"/>
    </row>
    <row r="8771" spans="1:6" x14ac:dyDescent="0.25">
      <c r="A8771" s="364"/>
      <c r="B8771"/>
      <c r="C8771"/>
      <c r="D8771"/>
      <c r="E8771" s="364"/>
      <c r="F8771"/>
    </row>
    <row r="8772" spans="1:6" x14ac:dyDescent="0.25">
      <c r="A8772" s="364"/>
      <c r="B8772"/>
      <c r="C8772"/>
      <c r="D8772"/>
      <c r="E8772" s="364"/>
      <c r="F8772"/>
    </row>
    <row r="8773" spans="1:6" x14ac:dyDescent="0.25">
      <c r="A8773" s="364"/>
      <c r="B8773"/>
      <c r="C8773"/>
      <c r="D8773"/>
      <c r="E8773" s="364"/>
      <c r="F8773"/>
    </row>
    <row r="8774" spans="1:6" x14ac:dyDescent="0.25">
      <c r="A8774" s="364"/>
      <c r="B8774"/>
      <c r="C8774"/>
      <c r="D8774"/>
      <c r="E8774" s="364"/>
      <c r="F8774"/>
    </row>
    <row r="8775" spans="1:6" x14ac:dyDescent="0.25">
      <c r="A8775" s="364"/>
      <c r="B8775"/>
      <c r="C8775"/>
      <c r="D8775"/>
      <c r="E8775" s="364"/>
      <c r="F8775"/>
    </row>
    <row r="8776" spans="1:6" x14ac:dyDescent="0.25">
      <c r="A8776" s="364"/>
      <c r="B8776"/>
      <c r="C8776"/>
      <c r="D8776"/>
      <c r="E8776" s="364"/>
      <c r="F8776"/>
    </row>
    <row r="8777" spans="1:6" x14ac:dyDescent="0.25">
      <c r="A8777" s="364"/>
      <c r="B8777"/>
      <c r="C8777"/>
      <c r="D8777"/>
      <c r="E8777" s="364"/>
      <c r="F8777"/>
    </row>
    <row r="8778" spans="1:6" x14ac:dyDescent="0.25">
      <c r="A8778" s="364"/>
      <c r="B8778"/>
      <c r="C8778"/>
      <c r="D8778"/>
      <c r="E8778" s="364"/>
      <c r="F8778"/>
    </row>
    <row r="8779" spans="1:6" x14ac:dyDescent="0.25">
      <c r="A8779" s="364"/>
      <c r="B8779"/>
      <c r="C8779"/>
      <c r="D8779"/>
      <c r="E8779" s="364"/>
      <c r="F8779"/>
    </row>
    <row r="8780" spans="1:6" x14ac:dyDescent="0.25">
      <c r="A8780" s="364"/>
      <c r="B8780"/>
      <c r="C8780"/>
      <c r="D8780"/>
      <c r="E8780" s="364"/>
      <c r="F8780"/>
    </row>
    <row r="8781" spans="1:6" x14ac:dyDescent="0.25">
      <c r="A8781" s="364"/>
      <c r="B8781"/>
      <c r="C8781"/>
      <c r="D8781"/>
      <c r="E8781" s="364"/>
      <c r="F8781"/>
    </row>
    <row r="8782" spans="1:6" x14ac:dyDescent="0.25">
      <c r="A8782" s="364"/>
      <c r="B8782"/>
      <c r="C8782"/>
      <c r="D8782"/>
      <c r="E8782" s="364"/>
      <c r="F8782"/>
    </row>
    <row r="8783" spans="1:6" x14ac:dyDescent="0.25">
      <c r="A8783" s="364"/>
      <c r="B8783"/>
      <c r="C8783"/>
      <c r="D8783"/>
      <c r="E8783" s="364"/>
      <c r="F8783"/>
    </row>
    <row r="8784" spans="1:6" x14ac:dyDescent="0.25">
      <c r="A8784" s="364"/>
      <c r="B8784"/>
      <c r="C8784"/>
      <c r="D8784"/>
      <c r="E8784" s="364"/>
      <c r="F8784"/>
    </row>
    <row r="8785" spans="1:6" x14ac:dyDescent="0.25">
      <c r="A8785" s="364"/>
      <c r="B8785"/>
      <c r="C8785"/>
      <c r="D8785"/>
      <c r="E8785" s="364"/>
      <c r="F8785"/>
    </row>
    <row r="8786" spans="1:6" x14ac:dyDescent="0.25">
      <c r="A8786" s="364"/>
      <c r="B8786"/>
      <c r="C8786"/>
      <c r="D8786"/>
      <c r="E8786" s="364"/>
      <c r="F8786"/>
    </row>
    <row r="8787" spans="1:6" x14ac:dyDescent="0.25">
      <c r="A8787" s="364"/>
      <c r="B8787"/>
      <c r="C8787"/>
      <c r="D8787"/>
      <c r="E8787" s="364"/>
      <c r="F8787"/>
    </row>
    <row r="8788" spans="1:6" x14ac:dyDescent="0.25">
      <c r="A8788" s="364"/>
      <c r="B8788"/>
      <c r="C8788"/>
      <c r="D8788"/>
      <c r="E8788" s="364"/>
      <c r="F8788"/>
    </row>
    <row r="8789" spans="1:6" x14ac:dyDescent="0.25">
      <c r="A8789" s="364"/>
      <c r="B8789"/>
      <c r="C8789"/>
      <c r="D8789"/>
      <c r="E8789" s="364"/>
      <c r="F8789"/>
    </row>
    <row r="8790" spans="1:6" x14ac:dyDescent="0.25">
      <c r="A8790" s="364"/>
      <c r="B8790"/>
      <c r="C8790"/>
      <c r="D8790"/>
      <c r="E8790" s="364"/>
      <c r="F8790"/>
    </row>
    <row r="8791" spans="1:6" x14ac:dyDescent="0.25">
      <c r="A8791" s="364"/>
      <c r="B8791"/>
      <c r="C8791"/>
      <c r="D8791"/>
      <c r="E8791" s="364"/>
      <c r="F8791"/>
    </row>
    <row r="8792" spans="1:6" x14ac:dyDescent="0.25">
      <c r="A8792" s="364"/>
      <c r="B8792"/>
      <c r="C8792"/>
      <c r="D8792"/>
      <c r="E8792" s="364"/>
      <c r="F8792"/>
    </row>
    <row r="8793" spans="1:6" x14ac:dyDescent="0.25">
      <c r="A8793" s="364"/>
      <c r="B8793"/>
      <c r="C8793"/>
      <c r="D8793"/>
      <c r="E8793" s="364"/>
      <c r="F8793"/>
    </row>
    <row r="8794" spans="1:6" x14ac:dyDescent="0.25">
      <c r="A8794" s="364"/>
      <c r="B8794"/>
      <c r="C8794"/>
      <c r="D8794"/>
      <c r="E8794" s="364"/>
      <c r="F8794"/>
    </row>
    <row r="8795" spans="1:6" x14ac:dyDescent="0.25">
      <c r="A8795" s="364"/>
      <c r="B8795"/>
      <c r="C8795"/>
      <c r="D8795"/>
      <c r="E8795" s="364"/>
      <c r="F8795"/>
    </row>
    <row r="8796" spans="1:6" x14ac:dyDescent="0.25">
      <c r="A8796" s="364"/>
      <c r="B8796"/>
      <c r="C8796"/>
      <c r="D8796"/>
      <c r="E8796" s="364"/>
      <c r="F8796"/>
    </row>
    <row r="8797" spans="1:6" x14ac:dyDescent="0.25">
      <c r="A8797" s="364"/>
      <c r="B8797"/>
      <c r="C8797"/>
      <c r="D8797"/>
      <c r="E8797" s="364"/>
      <c r="F8797"/>
    </row>
    <row r="8798" spans="1:6" x14ac:dyDescent="0.25">
      <c r="A8798" s="364"/>
      <c r="B8798"/>
      <c r="C8798"/>
      <c r="D8798"/>
      <c r="E8798" s="364"/>
      <c r="F8798"/>
    </row>
    <row r="8799" spans="1:6" x14ac:dyDescent="0.25">
      <c r="A8799" s="364"/>
      <c r="B8799"/>
      <c r="C8799"/>
      <c r="D8799"/>
      <c r="E8799" s="364"/>
      <c r="F8799"/>
    </row>
    <row r="8800" spans="1:6" x14ac:dyDescent="0.25">
      <c r="A8800" s="364"/>
      <c r="B8800"/>
      <c r="C8800"/>
      <c r="D8800"/>
      <c r="E8800" s="364"/>
      <c r="F8800"/>
    </row>
    <row r="8801" spans="1:6" x14ac:dyDescent="0.25">
      <c r="A8801" s="364"/>
      <c r="B8801"/>
      <c r="C8801"/>
      <c r="D8801"/>
      <c r="E8801" s="364"/>
      <c r="F8801"/>
    </row>
    <row r="8802" spans="1:6" x14ac:dyDescent="0.25">
      <c r="A8802" s="364"/>
      <c r="B8802"/>
      <c r="C8802"/>
      <c r="D8802"/>
      <c r="E8802" s="364"/>
      <c r="F8802"/>
    </row>
    <row r="8803" spans="1:6" x14ac:dyDescent="0.25">
      <c r="A8803" s="364"/>
      <c r="B8803"/>
      <c r="C8803"/>
      <c r="D8803"/>
      <c r="E8803" s="364"/>
      <c r="F8803"/>
    </row>
    <row r="8804" spans="1:6" x14ac:dyDescent="0.25">
      <c r="A8804" s="364"/>
      <c r="B8804"/>
      <c r="C8804"/>
      <c r="D8804"/>
      <c r="E8804" s="364"/>
      <c r="F8804"/>
    </row>
    <row r="8805" spans="1:6" x14ac:dyDescent="0.25">
      <c r="A8805" s="364"/>
      <c r="B8805"/>
      <c r="C8805"/>
      <c r="D8805"/>
      <c r="E8805" s="364"/>
      <c r="F8805"/>
    </row>
    <row r="8806" spans="1:6" x14ac:dyDescent="0.25">
      <c r="A8806" s="364"/>
      <c r="B8806"/>
      <c r="C8806"/>
      <c r="D8806"/>
      <c r="E8806" s="364"/>
      <c r="F8806"/>
    </row>
    <row r="8807" spans="1:6" x14ac:dyDescent="0.25">
      <c r="A8807" s="364"/>
      <c r="B8807"/>
      <c r="C8807"/>
      <c r="D8807"/>
      <c r="E8807" s="364"/>
      <c r="F8807"/>
    </row>
    <row r="8808" spans="1:6" x14ac:dyDescent="0.25">
      <c r="A8808" s="364"/>
      <c r="B8808"/>
      <c r="C8808"/>
      <c r="D8808"/>
      <c r="E8808" s="364"/>
      <c r="F8808"/>
    </row>
    <row r="8809" spans="1:6" x14ac:dyDescent="0.25">
      <c r="A8809" s="364"/>
      <c r="B8809"/>
      <c r="C8809"/>
      <c r="D8809"/>
      <c r="E8809" s="364"/>
      <c r="F8809"/>
    </row>
    <row r="8810" spans="1:6" x14ac:dyDescent="0.25">
      <c r="A8810" s="364"/>
      <c r="B8810"/>
      <c r="C8810"/>
      <c r="D8810"/>
      <c r="E8810" s="364"/>
      <c r="F8810"/>
    </row>
    <row r="8811" spans="1:6" x14ac:dyDescent="0.25">
      <c r="A8811" s="364"/>
      <c r="B8811"/>
      <c r="C8811"/>
      <c r="D8811"/>
      <c r="E8811" s="364"/>
      <c r="F8811"/>
    </row>
    <row r="8812" spans="1:6" x14ac:dyDescent="0.25">
      <c r="A8812" s="364"/>
      <c r="B8812"/>
      <c r="C8812"/>
      <c r="D8812"/>
      <c r="E8812" s="364"/>
      <c r="F8812"/>
    </row>
    <row r="8813" spans="1:6" x14ac:dyDescent="0.25">
      <c r="A8813" s="364"/>
      <c r="B8813"/>
      <c r="C8813"/>
      <c r="D8813"/>
      <c r="E8813" s="364"/>
      <c r="F8813"/>
    </row>
    <row r="8814" spans="1:6" x14ac:dyDescent="0.25">
      <c r="A8814" s="364"/>
      <c r="B8814"/>
      <c r="C8814"/>
      <c r="D8814"/>
      <c r="E8814" s="364"/>
      <c r="F8814"/>
    </row>
    <row r="8815" spans="1:6" x14ac:dyDescent="0.25">
      <c r="A8815" s="364"/>
      <c r="B8815"/>
      <c r="C8815"/>
      <c r="D8815"/>
      <c r="E8815" s="364"/>
      <c r="F8815"/>
    </row>
    <row r="8816" spans="1:6" x14ac:dyDescent="0.25">
      <c r="A8816" s="364"/>
      <c r="B8816"/>
      <c r="C8816"/>
      <c r="D8816"/>
      <c r="E8816" s="364"/>
      <c r="F8816"/>
    </row>
    <row r="8817" spans="1:6" x14ac:dyDescent="0.25">
      <c r="A8817" s="364"/>
      <c r="B8817"/>
      <c r="C8817"/>
      <c r="D8817"/>
      <c r="E8817" s="364"/>
      <c r="F8817"/>
    </row>
    <row r="8818" spans="1:6" x14ac:dyDescent="0.25">
      <c r="A8818" s="364"/>
      <c r="B8818"/>
      <c r="C8818"/>
      <c r="D8818"/>
      <c r="E8818" s="364"/>
      <c r="F8818"/>
    </row>
    <row r="8819" spans="1:6" x14ac:dyDescent="0.25">
      <c r="A8819" s="364"/>
      <c r="B8819"/>
      <c r="C8819"/>
      <c r="D8819"/>
      <c r="E8819" s="364"/>
      <c r="F8819"/>
    </row>
    <row r="8820" spans="1:6" x14ac:dyDescent="0.25">
      <c r="A8820" s="364"/>
      <c r="B8820"/>
      <c r="C8820"/>
      <c r="D8820"/>
      <c r="E8820" s="364"/>
      <c r="F8820"/>
    </row>
    <row r="8821" spans="1:6" x14ac:dyDescent="0.25">
      <c r="A8821" s="364"/>
      <c r="B8821"/>
      <c r="C8821"/>
      <c r="D8821"/>
      <c r="E8821" s="364"/>
      <c r="F8821"/>
    </row>
    <row r="8822" spans="1:6" x14ac:dyDescent="0.25">
      <c r="A8822" s="364"/>
      <c r="B8822"/>
      <c r="C8822"/>
      <c r="D8822"/>
      <c r="E8822" s="364"/>
      <c r="F8822"/>
    </row>
    <row r="8823" spans="1:6" x14ac:dyDescent="0.25">
      <c r="A8823" s="364"/>
      <c r="B8823"/>
      <c r="C8823"/>
      <c r="D8823"/>
      <c r="E8823" s="364"/>
      <c r="F8823"/>
    </row>
    <row r="8824" spans="1:6" x14ac:dyDescent="0.25">
      <c r="A8824" s="364"/>
      <c r="B8824"/>
      <c r="C8824"/>
      <c r="D8824"/>
      <c r="E8824" s="364"/>
      <c r="F8824"/>
    </row>
    <row r="8825" spans="1:6" x14ac:dyDescent="0.25">
      <c r="A8825" s="364"/>
      <c r="B8825"/>
      <c r="C8825"/>
      <c r="D8825"/>
      <c r="E8825" s="364"/>
      <c r="F8825"/>
    </row>
    <row r="8826" spans="1:6" x14ac:dyDescent="0.25">
      <c r="A8826" s="364"/>
      <c r="B8826"/>
      <c r="C8826"/>
      <c r="D8826"/>
      <c r="E8826" s="364"/>
      <c r="F8826"/>
    </row>
    <row r="8827" spans="1:6" x14ac:dyDescent="0.25">
      <c r="A8827" s="364"/>
      <c r="B8827"/>
      <c r="C8827"/>
      <c r="D8827"/>
      <c r="E8827" s="364"/>
      <c r="F8827"/>
    </row>
    <row r="8828" spans="1:6" x14ac:dyDescent="0.25">
      <c r="A8828" s="364"/>
      <c r="B8828"/>
      <c r="C8828"/>
      <c r="D8828"/>
      <c r="E8828" s="364"/>
      <c r="F8828"/>
    </row>
    <row r="8829" spans="1:6" x14ac:dyDescent="0.25">
      <c r="A8829" s="364"/>
      <c r="B8829"/>
      <c r="C8829"/>
      <c r="D8829"/>
      <c r="E8829" s="364"/>
      <c r="F8829"/>
    </row>
    <row r="8830" spans="1:6" x14ac:dyDescent="0.25">
      <c r="A8830" s="364"/>
      <c r="B8830"/>
      <c r="C8830"/>
      <c r="D8830"/>
      <c r="E8830" s="364"/>
      <c r="F8830"/>
    </row>
    <row r="8831" spans="1:6" x14ac:dyDescent="0.25">
      <c r="A8831" s="364"/>
      <c r="B8831"/>
      <c r="C8831"/>
      <c r="D8831"/>
      <c r="E8831" s="364"/>
      <c r="F8831"/>
    </row>
    <row r="8832" spans="1:6" x14ac:dyDescent="0.25">
      <c r="A8832" s="364"/>
      <c r="B8832"/>
      <c r="C8832"/>
      <c r="D8832"/>
      <c r="E8832" s="364"/>
      <c r="F8832"/>
    </row>
    <row r="8833" spans="1:6" x14ac:dyDescent="0.25">
      <c r="A8833" s="364"/>
      <c r="B8833"/>
      <c r="C8833"/>
      <c r="D8833"/>
      <c r="E8833" s="364"/>
      <c r="F8833"/>
    </row>
    <row r="8834" spans="1:6" x14ac:dyDescent="0.25">
      <c r="A8834" s="364"/>
      <c r="B8834"/>
      <c r="C8834"/>
      <c r="D8834"/>
      <c r="E8834" s="364"/>
      <c r="F8834"/>
    </row>
    <row r="8835" spans="1:6" x14ac:dyDescent="0.25">
      <c r="A8835" s="364"/>
      <c r="B8835"/>
      <c r="C8835"/>
      <c r="D8835"/>
      <c r="E8835" s="364"/>
      <c r="F8835"/>
    </row>
    <row r="8836" spans="1:6" x14ac:dyDescent="0.25">
      <c r="A8836" s="364"/>
      <c r="B8836"/>
      <c r="C8836"/>
      <c r="D8836"/>
      <c r="E8836" s="364"/>
      <c r="F8836"/>
    </row>
    <row r="8837" spans="1:6" x14ac:dyDescent="0.25">
      <c r="A8837" s="364"/>
      <c r="B8837"/>
      <c r="C8837"/>
      <c r="D8837"/>
      <c r="E8837" s="364"/>
      <c r="F8837"/>
    </row>
    <row r="8838" spans="1:6" x14ac:dyDescent="0.25">
      <c r="A8838" s="364"/>
      <c r="B8838"/>
      <c r="C8838"/>
      <c r="D8838"/>
      <c r="E8838" s="364"/>
      <c r="F8838"/>
    </row>
    <row r="8839" spans="1:6" x14ac:dyDescent="0.25">
      <c r="A8839" s="364"/>
      <c r="B8839"/>
      <c r="C8839"/>
      <c r="D8839"/>
      <c r="E8839" s="364"/>
      <c r="F8839"/>
    </row>
    <row r="8840" spans="1:6" x14ac:dyDescent="0.25">
      <c r="A8840" s="364"/>
      <c r="B8840"/>
      <c r="C8840"/>
      <c r="D8840"/>
      <c r="E8840" s="364"/>
      <c r="F8840"/>
    </row>
    <row r="8841" spans="1:6" x14ac:dyDescent="0.25">
      <c r="A8841" s="364"/>
      <c r="B8841"/>
      <c r="C8841"/>
      <c r="D8841"/>
      <c r="E8841" s="364"/>
      <c r="F8841"/>
    </row>
    <row r="8842" spans="1:6" x14ac:dyDescent="0.25">
      <c r="A8842" s="364"/>
      <c r="B8842"/>
      <c r="C8842"/>
      <c r="D8842"/>
      <c r="E8842" s="364"/>
      <c r="F8842"/>
    </row>
    <row r="8843" spans="1:6" x14ac:dyDescent="0.25">
      <c r="A8843" s="364"/>
      <c r="B8843"/>
      <c r="C8843"/>
      <c r="D8843"/>
      <c r="E8843" s="364"/>
      <c r="F8843"/>
    </row>
    <row r="8844" spans="1:6" x14ac:dyDescent="0.25">
      <c r="A8844" s="364"/>
      <c r="B8844"/>
      <c r="C8844"/>
      <c r="D8844"/>
      <c r="E8844" s="364"/>
      <c r="F8844"/>
    </row>
    <row r="8845" spans="1:6" x14ac:dyDescent="0.25">
      <c r="A8845" s="364"/>
      <c r="B8845"/>
      <c r="C8845"/>
      <c r="D8845"/>
      <c r="E8845" s="364"/>
      <c r="F8845"/>
    </row>
    <row r="8846" spans="1:6" x14ac:dyDescent="0.25">
      <c r="A8846" s="364"/>
      <c r="B8846"/>
      <c r="C8846"/>
      <c r="D8846"/>
      <c r="E8846" s="364"/>
      <c r="F8846"/>
    </row>
    <row r="8847" spans="1:6" x14ac:dyDescent="0.25">
      <c r="A8847" s="364"/>
      <c r="B8847"/>
      <c r="C8847"/>
      <c r="D8847"/>
      <c r="E8847" s="364"/>
      <c r="F8847"/>
    </row>
    <row r="8848" spans="1:6" x14ac:dyDescent="0.25">
      <c r="A8848" s="364"/>
      <c r="B8848"/>
      <c r="C8848"/>
      <c r="D8848"/>
      <c r="E8848" s="364"/>
      <c r="F8848"/>
    </row>
    <row r="8849" spans="1:6" x14ac:dyDescent="0.25">
      <c r="A8849" s="364"/>
      <c r="B8849"/>
      <c r="C8849"/>
      <c r="D8849"/>
      <c r="E8849" s="364"/>
      <c r="F8849"/>
    </row>
    <row r="8850" spans="1:6" x14ac:dyDescent="0.25">
      <c r="A8850" s="364"/>
      <c r="B8850"/>
      <c r="C8850"/>
      <c r="D8850"/>
      <c r="E8850" s="364"/>
      <c r="F8850"/>
    </row>
    <row r="8851" spans="1:6" x14ac:dyDescent="0.25">
      <c r="A8851" s="364"/>
      <c r="B8851"/>
      <c r="C8851"/>
      <c r="D8851"/>
      <c r="E8851" s="364"/>
      <c r="F8851"/>
    </row>
    <row r="8852" spans="1:6" x14ac:dyDescent="0.25">
      <c r="A8852" s="364"/>
      <c r="B8852"/>
      <c r="C8852"/>
      <c r="D8852"/>
      <c r="E8852" s="364"/>
      <c r="F8852"/>
    </row>
    <row r="8853" spans="1:6" x14ac:dyDescent="0.25">
      <c r="A8853" s="364"/>
      <c r="B8853"/>
      <c r="C8853"/>
      <c r="D8853"/>
      <c r="E8853" s="364"/>
      <c r="F8853"/>
    </row>
    <row r="8854" spans="1:6" x14ac:dyDescent="0.25">
      <c r="A8854" s="364"/>
      <c r="B8854"/>
      <c r="C8854"/>
      <c r="D8854"/>
      <c r="E8854" s="364"/>
      <c r="F8854"/>
    </row>
    <row r="8855" spans="1:6" x14ac:dyDescent="0.25">
      <c r="A8855" s="364"/>
      <c r="B8855"/>
      <c r="C8855"/>
      <c r="D8855"/>
      <c r="E8855" s="364"/>
      <c r="F8855"/>
    </row>
    <row r="8856" spans="1:6" x14ac:dyDescent="0.25">
      <c r="A8856" s="364"/>
      <c r="B8856"/>
      <c r="C8856"/>
      <c r="D8856"/>
      <c r="E8856" s="364"/>
      <c r="F8856"/>
    </row>
    <row r="8857" spans="1:6" x14ac:dyDescent="0.25">
      <c r="A8857" s="364"/>
      <c r="B8857"/>
      <c r="C8857"/>
      <c r="D8857"/>
      <c r="E8857" s="364"/>
      <c r="F8857"/>
    </row>
    <row r="8858" spans="1:6" x14ac:dyDescent="0.25">
      <c r="A8858" s="364"/>
      <c r="B8858"/>
      <c r="C8858"/>
      <c r="D8858"/>
      <c r="E8858" s="364"/>
      <c r="F8858"/>
    </row>
    <row r="8859" spans="1:6" x14ac:dyDescent="0.25">
      <c r="A8859" s="364"/>
      <c r="B8859"/>
      <c r="C8859"/>
      <c r="D8859"/>
      <c r="E8859" s="364"/>
      <c r="F8859"/>
    </row>
    <row r="8860" spans="1:6" x14ac:dyDescent="0.25">
      <c r="A8860" s="364"/>
      <c r="B8860"/>
      <c r="C8860"/>
      <c r="D8860"/>
      <c r="E8860" s="364"/>
      <c r="F8860"/>
    </row>
    <row r="8861" spans="1:6" x14ac:dyDescent="0.25">
      <c r="A8861" s="364"/>
      <c r="B8861"/>
      <c r="C8861"/>
      <c r="D8861"/>
      <c r="E8861" s="364"/>
      <c r="F8861"/>
    </row>
    <row r="8862" spans="1:6" x14ac:dyDescent="0.25">
      <c r="A8862" s="364"/>
      <c r="B8862"/>
      <c r="C8862"/>
      <c r="D8862"/>
      <c r="E8862" s="364"/>
      <c r="F8862"/>
    </row>
    <row r="8863" spans="1:6" x14ac:dyDescent="0.25">
      <c r="A8863" s="364"/>
      <c r="B8863"/>
      <c r="C8863"/>
      <c r="D8863"/>
      <c r="E8863" s="364"/>
      <c r="F8863"/>
    </row>
    <row r="8864" spans="1:6" x14ac:dyDescent="0.25">
      <c r="A8864" s="364"/>
      <c r="B8864"/>
      <c r="C8864"/>
      <c r="D8864"/>
      <c r="E8864" s="364"/>
      <c r="F8864"/>
    </row>
    <row r="8865" spans="1:6" x14ac:dyDescent="0.25">
      <c r="A8865" s="364"/>
      <c r="B8865"/>
      <c r="C8865"/>
      <c r="D8865"/>
      <c r="E8865" s="364"/>
      <c r="F8865"/>
    </row>
    <row r="8866" spans="1:6" x14ac:dyDescent="0.25">
      <c r="A8866" s="364"/>
      <c r="B8866"/>
      <c r="C8866"/>
      <c r="D8866"/>
      <c r="E8866" s="364"/>
      <c r="F8866"/>
    </row>
    <row r="8867" spans="1:6" x14ac:dyDescent="0.25">
      <c r="A8867" s="364"/>
      <c r="B8867"/>
      <c r="C8867"/>
      <c r="D8867"/>
      <c r="E8867" s="364"/>
      <c r="F8867"/>
    </row>
    <row r="8868" spans="1:6" x14ac:dyDescent="0.25">
      <c r="A8868" s="364"/>
      <c r="B8868"/>
      <c r="C8868"/>
      <c r="D8868"/>
      <c r="E8868" s="364"/>
      <c r="F8868"/>
    </row>
    <row r="8869" spans="1:6" x14ac:dyDescent="0.25">
      <c r="A8869" s="364"/>
      <c r="B8869"/>
      <c r="C8869"/>
      <c r="D8869"/>
      <c r="E8869" s="364"/>
      <c r="F8869"/>
    </row>
    <row r="8870" spans="1:6" x14ac:dyDescent="0.25">
      <c r="A8870" s="364"/>
      <c r="B8870"/>
      <c r="C8870"/>
      <c r="D8870"/>
      <c r="E8870" s="364"/>
      <c r="F8870"/>
    </row>
    <row r="8871" spans="1:6" x14ac:dyDescent="0.25">
      <c r="A8871" s="364"/>
      <c r="B8871"/>
      <c r="C8871"/>
      <c r="D8871"/>
      <c r="E8871" s="364"/>
      <c r="F8871"/>
    </row>
    <row r="8872" spans="1:6" x14ac:dyDescent="0.25">
      <c r="A8872" s="364"/>
      <c r="B8872"/>
      <c r="C8872"/>
      <c r="D8872"/>
      <c r="E8872" s="364"/>
      <c r="F8872"/>
    </row>
    <row r="8873" spans="1:6" x14ac:dyDescent="0.25">
      <c r="A8873" s="364"/>
      <c r="B8873"/>
      <c r="C8873"/>
      <c r="D8873"/>
      <c r="E8873" s="364"/>
      <c r="F8873"/>
    </row>
    <row r="8874" spans="1:6" x14ac:dyDescent="0.25">
      <c r="A8874" s="364"/>
      <c r="B8874"/>
      <c r="C8874"/>
      <c r="D8874"/>
      <c r="E8874" s="364"/>
      <c r="F8874"/>
    </row>
    <row r="8875" spans="1:6" x14ac:dyDescent="0.25">
      <c r="A8875" s="364"/>
      <c r="B8875"/>
      <c r="C8875"/>
      <c r="D8875"/>
      <c r="E8875" s="364"/>
      <c r="F8875"/>
    </row>
    <row r="8876" spans="1:6" x14ac:dyDescent="0.25">
      <c r="A8876" s="364"/>
      <c r="B8876"/>
      <c r="C8876"/>
      <c r="D8876"/>
      <c r="E8876" s="364"/>
      <c r="F8876"/>
    </row>
    <row r="8877" spans="1:6" x14ac:dyDescent="0.25">
      <c r="A8877" s="364"/>
      <c r="B8877"/>
      <c r="C8877"/>
      <c r="D8877"/>
      <c r="E8877" s="364"/>
      <c r="F8877"/>
    </row>
    <row r="8878" spans="1:6" x14ac:dyDescent="0.25">
      <c r="A8878" s="364"/>
      <c r="B8878"/>
      <c r="C8878"/>
      <c r="D8878"/>
      <c r="E8878" s="364"/>
      <c r="F8878"/>
    </row>
    <row r="8879" spans="1:6" x14ac:dyDescent="0.25">
      <c r="A8879" s="364"/>
      <c r="B8879"/>
      <c r="C8879"/>
      <c r="D8879"/>
      <c r="E8879" s="364"/>
      <c r="F8879"/>
    </row>
    <row r="8880" spans="1:6" x14ac:dyDescent="0.25">
      <c r="A8880" s="364"/>
      <c r="B8880"/>
      <c r="C8880"/>
      <c r="D8880"/>
      <c r="E8880" s="364"/>
      <c r="F8880"/>
    </row>
    <row r="8881" spans="1:6" x14ac:dyDescent="0.25">
      <c r="A8881" s="364"/>
      <c r="B8881"/>
      <c r="C8881"/>
      <c r="D8881"/>
      <c r="E8881" s="364"/>
      <c r="F8881"/>
    </row>
    <row r="8882" spans="1:6" x14ac:dyDescent="0.25">
      <c r="A8882" s="364"/>
      <c r="B8882"/>
      <c r="C8882"/>
      <c r="D8882"/>
      <c r="E8882" s="364"/>
      <c r="F8882"/>
    </row>
    <row r="8883" spans="1:6" x14ac:dyDescent="0.25">
      <c r="A8883" s="364"/>
      <c r="B8883"/>
      <c r="C8883"/>
      <c r="D8883"/>
      <c r="E8883" s="364"/>
      <c r="F8883"/>
    </row>
    <row r="8884" spans="1:6" x14ac:dyDescent="0.25">
      <c r="A8884" s="364"/>
      <c r="B8884"/>
      <c r="C8884"/>
      <c r="D8884"/>
      <c r="E8884" s="364"/>
      <c r="F8884"/>
    </row>
    <row r="8885" spans="1:6" x14ac:dyDescent="0.25">
      <c r="A8885" s="364"/>
      <c r="B8885"/>
      <c r="C8885"/>
      <c r="D8885"/>
      <c r="E8885" s="364"/>
      <c r="F8885"/>
    </row>
    <row r="8886" spans="1:6" x14ac:dyDescent="0.25">
      <c r="A8886" s="364"/>
      <c r="B8886"/>
      <c r="C8886"/>
      <c r="D8886"/>
      <c r="E8886" s="364"/>
      <c r="F8886"/>
    </row>
    <row r="8887" spans="1:6" x14ac:dyDescent="0.25">
      <c r="A8887" s="364"/>
      <c r="B8887"/>
      <c r="C8887"/>
      <c r="D8887"/>
      <c r="E8887" s="364"/>
      <c r="F8887"/>
    </row>
    <row r="8888" spans="1:6" x14ac:dyDescent="0.25">
      <c r="A8888" s="364"/>
      <c r="B8888"/>
      <c r="C8888"/>
      <c r="D8888"/>
      <c r="E8888" s="364"/>
      <c r="F8888"/>
    </row>
    <row r="8889" spans="1:6" x14ac:dyDescent="0.25">
      <c r="A8889" s="364"/>
      <c r="B8889"/>
      <c r="C8889"/>
      <c r="D8889"/>
      <c r="E8889" s="364"/>
      <c r="F8889"/>
    </row>
    <row r="8890" spans="1:6" x14ac:dyDescent="0.25">
      <c r="A8890" s="364"/>
      <c r="B8890"/>
      <c r="C8890"/>
      <c r="D8890"/>
      <c r="E8890" s="364"/>
      <c r="F8890"/>
    </row>
    <row r="8891" spans="1:6" x14ac:dyDescent="0.25">
      <c r="A8891" s="364"/>
      <c r="B8891"/>
      <c r="C8891"/>
      <c r="D8891"/>
      <c r="E8891" s="364"/>
      <c r="F8891"/>
    </row>
    <row r="8892" spans="1:6" x14ac:dyDescent="0.25">
      <c r="A8892" s="364"/>
      <c r="B8892"/>
      <c r="C8892"/>
      <c r="D8892"/>
      <c r="E8892" s="364"/>
      <c r="F8892"/>
    </row>
    <row r="8893" spans="1:6" x14ac:dyDescent="0.25">
      <c r="A8893" s="364"/>
      <c r="B8893"/>
      <c r="C8893"/>
      <c r="D8893"/>
      <c r="E8893" s="364"/>
      <c r="F8893"/>
    </row>
    <row r="8894" spans="1:6" x14ac:dyDescent="0.25">
      <c r="A8894" s="364"/>
      <c r="B8894"/>
      <c r="C8894"/>
      <c r="D8894"/>
      <c r="E8894" s="364"/>
      <c r="F8894"/>
    </row>
    <row r="8895" spans="1:6" x14ac:dyDescent="0.25">
      <c r="A8895" s="364"/>
      <c r="B8895"/>
      <c r="C8895"/>
      <c r="D8895"/>
      <c r="E8895" s="364"/>
      <c r="F8895"/>
    </row>
    <row r="8896" spans="1:6" x14ac:dyDescent="0.25">
      <c r="A8896" s="364"/>
      <c r="B8896"/>
      <c r="C8896"/>
      <c r="D8896"/>
      <c r="E8896" s="364"/>
      <c r="F8896"/>
    </row>
    <row r="8897" spans="1:6" x14ac:dyDescent="0.25">
      <c r="A8897" s="364"/>
      <c r="B8897"/>
      <c r="C8897"/>
      <c r="D8897"/>
      <c r="E8897" s="364"/>
      <c r="F8897"/>
    </row>
    <row r="8898" spans="1:6" x14ac:dyDescent="0.25">
      <c r="A8898" s="364"/>
      <c r="B8898"/>
      <c r="C8898"/>
      <c r="D8898"/>
      <c r="E8898" s="364"/>
      <c r="F8898"/>
    </row>
    <row r="8899" spans="1:6" x14ac:dyDescent="0.25">
      <c r="A8899" s="364"/>
      <c r="B8899"/>
      <c r="C8899"/>
      <c r="D8899"/>
      <c r="E8899" s="364"/>
      <c r="F8899"/>
    </row>
    <row r="8900" spans="1:6" x14ac:dyDescent="0.25">
      <c r="A8900" s="364"/>
      <c r="B8900"/>
      <c r="C8900"/>
      <c r="D8900"/>
      <c r="E8900" s="364"/>
      <c r="F8900"/>
    </row>
    <row r="8901" spans="1:6" x14ac:dyDescent="0.25">
      <c r="A8901" s="364"/>
      <c r="B8901"/>
      <c r="C8901"/>
      <c r="D8901"/>
      <c r="E8901" s="364"/>
      <c r="F8901"/>
    </row>
    <row r="8902" spans="1:6" x14ac:dyDescent="0.25">
      <c r="A8902" s="364"/>
      <c r="B8902"/>
      <c r="C8902"/>
      <c r="D8902"/>
      <c r="E8902" s="364"/>
      <c r="F8902"/>
    </row>
    <row r="8903" spans="1:6" x14ac:dyDescent="0.25">
      <c r="A8903" s="364"/>
      <c r="B8903"/>
      <c r="C8903"/>
      <c r="D8903"/>
      <c r="E8903" s="364"/>
      <c r="F8903"/>
    </row>
    <row r="8904" spans="1:6" x14ac:dyDescent="0.25">
      <c r="A8904" s="364"/>
      <c r="B8904"/>
      <c r="C8904"/>
      <c r="D8904"/>
      <c r="E8904" s="364"/>
      <c r="F8904"/>
    </row>
    <row r="8905" spans="1:6" x14ac:dyDescent="0.25">
      <c r="A8905" s="364"/>
      <c r="B8905"/>
      <c r="C8905"/>
      <c r="D8905"/>
      <c r="E8905" s="364"/>
      <c r="F8905"/>
    </row>
    <row r="8906" spans="1:6" x14ac:dyDescent="0.25">
      <c r="A8906" s="364"/>
      <c r="B8906"/>
      <c r="C8906"/>
      <c r="D8906"/>
      <c r="E8906" s="364"/>
      <c r="F8906"/>
    </row>
    <row r="8907" spans="1:6" x14ac:dyDescent="0.25">
      <c r="A8907" s="364"/>
      <c r="B8907"/>
      <c r="C8907"/>
      <c r="D8907"/>
      <c r="E8907" s="364"/>
      <c r="F8907"/>
    </row>
    <row r="8908" spans="1:6" x14ac:dyDescent="0.25">
      <c r="A8908" s="364"/>
      <c r="B8908"/>
      <c r="C8908"/>
      <c r="D8908"/>
      <c r="E8908" s="364"/>
      <c r="F8908"/>
    </row>
    <row r="8909" spans="1:6" x14ac:dyDescent="0.25">
      <c r="A8909" s="364"/>
      <c r="B8909"/>
      <c r="C8909"/>
      <c r="D8909"/>
      <c r="E8909" s="364"/>
      <c r="F8909"/>
    </row>
    <row r="8910" spans="1:6" x14ac:dyDescent="0.25">
      <c r="A8910" s="364"/>
      <c r="B8910"/>
      <c r="C8910"/>
      <c r="D8910"/>
      <c r="E8910" s="364"/>
      <c r="F8910"/>
    </row>
    <row r="8911" spans="1:6" x14ac:dyDescent="0.25">
      <c r="A8911" s="364"/>
      <c r="B8911"/>
      <c r="C8911"/>
      <c r="D8911"/>
      <c r="E8911" s="364"/>
      <c r="F8911"/>
    </row>
    <row r="8912" spans="1:6" x14ac:dyDescent="0.25">
      <c r="A8912" s="364"/>
      <c r="B8912"/>
      <c r="C8912"/>
      <c r="D8912"/>
      <c r="E8912" s="364"/>
      <c r="F8912"/>
    </row>
    <row r="8913" spans="1:6" x14ac:dyDescent="0.25">
      <c r="A8913" s="364"/>
      <c r="B8913"/>
      <c r="C8913"/>
      <c r="D8913"/>
      <c r="E8913" s="364"/>
      <c r="F8913"/>
    </row>
    <row r="8914" spans="1:6" x14ac:dyDescent="0.25">
      <c r="A8914" s="364"/>
      <c r="B8914"/>
      <c r="C8914"/>
      <c r="D8914"/>
      <c r="E8914" s="364"/>
      <c r="F8914"/>
    </row>
    <row r="8915" spans="1:6" x14ac:dyDescent="0.25">
      <c r="A8915" s="364"/>
      <c r="B8915"/>
      <c r="C8915"/>
      <c r="D8915"/>
      <c r="E8915" s="364"/>
      <c r="F8915"/>
    </row>
    <row r="8916" spans="1:6" x14ac:dyDescent="0.25">
      <c r="A8916" s="364"/>
      <c r="B8916"/>
      <c r="C8916"/>
      <c r="D8916"/>
      <c r="E8916" s="364"/>
      <c r="F8916"/>
    </row>
    <row r="8917" spans="1:6" x14ac:dyDescent="0.25">
      <c r="A8917" s="364"/>
      <c r="B8917"/>
      <c r="C8917"/>
      <c r="D8917"/>
      <c r="E8917" s="364"/>
      <c r="F8917"/>
    </row>
    <row r="8918" spans="1:6" x14ac:dyDescent="0.25">
      <c r="A8918" s="364"/>
      <c r="B8918"/>
      <c r="C8918"/>
      <c r="D8918"/>
      <c r="E8918" s="364"/>
      <c r="F8918"/>
    </row>
    <row r="8919" spans="1:6" x14ac:dyDescent="0.25">
      <c r="A8919" s="364"/>
      <c r="B8919"/>
      <c r="C8919"/>
      <c r="D8919"/>
      <c r="E8919" s="364"/>
      <c r="F8919"/>
    </row>
    <row r="8920" spans="1:6" x14ac:dyDescent="0.25">
      <c r="A8920" s="364"/>
      <c r="B8920"/>
      <c r="C8920"/>
      <c r="D8920"/>
      <c r="E8920" s="364"/>
      <c r="F8920"/>
    </row>
    <row r="8921" spans="1:6" x14ac:dyDescent="0.25">
      <c r="A8921" s="364"/>
      <c r="B8921"/>
      <c r="C8921"/>
      <c r="D8921"/>
      <c r="E8921" s="364"/>
      <c r="F8921"/>
    </row>
    <row r="8922" spans="1:6" x14ac:dyDescent="0.25">
      <c r="A8922" s="364"/>
      <c r="B8922"/>
      <c r="C8922"/>
      <c r="D8922"/>
      <c r="E8922" s="364"/>
      <c r="F8922"/>
    </row>
    <row r="8923" spans="1:6" x14ac:dyDescent="0.25">
      <c r="A8923" s="364"/>
      <c r="B8923"/>
      <c r="C8923"/>
      <c r="D8923"/>
      <c r="E8923" s="364"/>
      <c r="F8923"/>
    </row>
    <row r="8924" spans="1:6" x14ac:dyDescent="0.25">
      <c r="A8924" s="364"/>
      <c r="B8924"/>
      <c r="C8924"/>
      <c r="D8924"/>
      <c r="E8924" s="364"/>
      <c r="F8924"/>
    </row>
    <row r="8925" spans="1:6" x14ac:dyDescent="0.25">
      <c r="A8925" s="364"/>
      <c r="B8925"/>
      <c r="C8925"/>
      <c r="D8925"/>
      <c r="E8925" s="364"/>
      <c r="F8925"/>
    </row>
    <row r="8926" spans="1:6" x14ac:dyDescent="0.25">
      <c r="A8926" s="364"/>
      <c r="B8926"/>
      <c r="C8926"/>
      <c r="D8926"/>
      <c r="E8926" s="364"/>
      <c r="F8926"/>
    </row>
    <row r="8927" spans="1:6" x14ac:dyDescent="0.25">
      <c r="A8927" s="364"/>
      <c r="B8927"/>
      <c r="C8927"/>
      <c r="D8927"/>
      <c r="E8927" s="364"/>
      <c r="F8927"/>
    </row>
    <row r="8928" spans="1:6" x14ac:dyDescent="0.25">
      <c r="A8928" s="364"/>
      <c r="B8928"/>
      <c r="C8928"/>
      <c r="D8928"/>
      <c r="E8928" s="364"/>
      <c r="F8928"/>
    </row>
    <row r="8929" spans="1:6" x14ac:dyDescent="0.25">
      <c r="A8929" s="364"/>
      <c r="B8929"/>
      <c r="C8929"/>
      <c r="D8929"/>
      <c r="E8929" s="364"/>
      <c r="F8929"/>
    </row>
    <row r="8930" spans="1:6" x14ac:dyDescent="0.25">
      <c r="A8930" s="364"/>
      <c r="B8930"/>
      <c r="C8930"/>
      <c r="D8930"/>
      <c r="E8930" s="364"/>
      <c r="F8930"/>
    </row>
    <row r="8931" spans="1:6" x14ac:dyDescent="0.25">
      <c r="A8931" s="364"/>
      <c r="B8931"/>
      <c r="C8931"/>
      <c r="D8931"/>
      <c r="E8931" s="364"/>
      <c r="F8931"/>
    </row>
    <row r="8932" spans="1:6" x14ac:dyDescent="0.25">
      <c r="A8932" s="364"/>
      <c r="B8932"/>
      <c r="C8932"/>
      <c r="D8932"/>
      <c r="E8932" s="364"/>
      <c r="F8932"/>
    </row>
    <row r="8933" spans="1:6" x14ac:dyDescent="0.25">
      <c r="A8933" s="364"/>
      <c r="B8933"/>
      <c r="C8933"/>
      <c r="D8933"/>
      <c r="E8933" s="364"/>
      <c r="F8933"/>
    </row>
    <row r="8934" spans="1:6" x14ac:dyDescent="0.25">
      <c r="A8934" s="364"/>
      <c r="B8934"/>
      <c r="C8934"/>
      <c r="D8934"/>
      <c r="E8934" s="364"/>
      <c r="F8934"/>
    </row>
    <row r="8935" spans="1:6" x14ac:dyDescent="0.25">
      <c r="A8935" s="364"/>
      <c r="B8935"/>
      <c r="C8935"/>
      <c r="D8935"/>
      <c r="E8935" s="364"/>
      <c r="F8935"/>
    </row>
    <row r="8936" spans="1:6" x14ac:dyDescent="0.25">
      <c r="A8936" s="364"/>
      <c r="B8936"/>
      <c r="C8936"/>
      <c r="D8936"/>
      <c r="E8936" s="364"/>
      <c r="F8936"/>
    </row>
    <row r="8937" spans="1:6" x14ac:dyDescent="0.25">
      <c r="A8937" s="364"/>
      <c r="B8937"/>
      <c r="C8937"/>
      <c r="D8937"/>
      <c r="E8937" s="364"/>
      <c r="F8937"/>
    </row>
    <row r="8938" spans="1:6" x14ac:dyDescent="0.25">
      <c r="A8938" s="364"/>
      <c r="B8938"/>
      <c r="C8938"/>
      <c r="D8938"/>
      <c r="E8938" s="364"/>
      <c r="F8938"/>
    </row>
    <row r="8939" spans="1:6" x14ac:dyDescent="0.25">
      <c r="A8939" s="364"/>
      <c r="B8939"/>
      <c r="C8939"/>
      <c r="D8939"/>
      <c r="E8939" s="364"/>
      <c r="F8939"/>
    </row>
    <row r="8940" spans="1:6" x14ac:dyDescent="0.25">
      <c r="A8940" s="364"/>
      <c r="B8940"/>
      <c r="C8940"/>
      <c r="D8940"/>
      <c r="E8940" s="364"/>
      <c r="F8940"/>
    </row>
    <row r="8941" spans="1:6" x14ac:dyDescent="0.25">
      <c r="A8941" s="364"/>
      <c r="B8941"/>
      <c r="C8941"/>
      <c r="D8941"/>
      <c r="E8941" s="364"/>
      <c r="F8941"/>
    </row>
    <row r="8942" spans="1:6" x14ac:dyDescent="0.25">
      <c r="A8942" s="364"/>
      <c r="B8942"/>
      <c r="C8942"/>
      <c r="D8942"/>
      <c r="E8942" s="364"/>
      <c r="F8942"/>
    </row>
    <row r="8943" spans="1:6" x14ac:dyDescent="0.25">
      <c r="A8943" s="364"/>
      <c r="B8943"/>
      <c r="C8943"/>
      <c r="D8943"/>
      <c r="E8943" s="364"/>
      <c r="F8943"/>
    </row>
    <row r="8944" spans="1:6" x14ac:dyDescent="0.25">
      <c r="A8944" s="364"/>
      <c r="B8944"/>
      <c r="C8944"/>
      <c r="D8944"/>
      <c r="E8944" s="364"/>
      <c r="F8944"/>
    </row>
    <row r="8945" spans="1:6" x14ac:dyDescent="0.25">
      <c r="A8945" s="364"/>
      <c r="B8945"/>
      <c r="C8945"/>
      <c r="D8945"/>
      <c r="E8945" s="364"/>
      <c r="F8945"/>
    </row>
    <row r="8946" spans="1:6" x14ac:dyDescent="0.25">
      <c r="A8946" s="364"/>
      <c r="B8946"/>
      <c r="C8946"/>
      <c r="D8946"/>
      <c r="E8946" s="364"/>
      <c r="F8946"/>
    </row>
    <row r="8947" spans="1:6" x14ac:dyDescent="0.25">
      <c r="A8947" s="364"/>
      <c r="B8947"/>
      <c r="C8947"/>
      <c r="D8947"/>
      <c r="E8947" s="364"/>
      <c r="F8947"/>
    </row>
    <row r="8948" spans="1:6" x14ac:dyDescent="0.25">
      <c r="A8948" s="364"/>
      <c r="B8948"/>
      <c r="C8948"/>
      <c r="D8948"/>
      <c r="E8948" s="364"/>
      <c r="F8948"/>
    </row>
    <row r="8949" spans="1:6" x14ac:dyDescent="0.25">
      <c r="A8949" s="364"/>
      <c r="B8949"/>
      <c r="C8949"/>
      <c r="D8949"/>
      <c r="E8949" s="364"/>
      <c r="F8949"/>
    </row>
    <row r="8950" spans="1:6" x14ac:dyDescent="0.25">
      <c r="A8950" s="364"/>
      <c r="B8950"/>
      <c r="C8950"/>
      <c r="D8950"/>
      <c r="E8950" s="364"/>
      <c r="F8950"/>
    </row>
    <row r="8951" spans="1:6" x14ac:dyDescent="0.25">
      <c r="A8951" s="364"/>
      <c r="B8951"/>
      <c r="C8951"/>
      <c r="D8951"/>
      <c r="E8951" s="364"/>
      <c r="F8951"/>
    </row>
    <row r="8952" spans="1:6" x14ac:dyDescent="0.25">
      <c r="A8952" s="364"/>
      <c r="B8952"/>
      <c r="C8952"/>
      <c r="D8952"/>
      <c r="E8952" s="364"/>
      <c r="F8952"/>
    </row>
    <row r="8953" spans="1:6" x14ac:dyDescent="0.25">
      <c r="A8953" s="364"/>
      <c r="B8953"/>
      <c r="C8953"/>
      <c r="D8953"/>
      <c r="E8953" s="364"/>
      <c r="F8953"/>
    </row>
    <row r="8954" spans="1:6" x14ac:dyDescent="0.25">
      <c r="A8954" s="364"/>
      <c r="B8954"/>
      <c r="C8954"/>
      <c r="D8954"/>
      <c r="E8954" s="364"/>
      <c r="F8954"/>
    </row>
    <row r="8955" spans="1:6" x14ac:dyDescent="0.25">
      <c r="A8955" s="364"/>
      <c r="B8955"/>
      <c r="C8955"/>
      <c r="D8955"/>
      <c r="E8955" s="364"/>
      <c r="F8955"/>
    </row>
    <row r="8956" spans="1:6" x14ac:dyDescent="0.25">
      <c r="A8956" s="364"/>
      <c r="B8956"/>
      <c r="C8956"/>
      <c r="D8956"/>
      <c r="E8956" s="364"/>
      <c r="F8956"/>
    </row>
    <row r="8957" spans="1:6" x14ac:dyDescent="0.25">
      <c r="A8957" s="364"/>
      <c r="B8957"/>
      <c r="C8957"/>
      <c r="D8957"/>
      <c r="E8957" s="364"/>
      <c r="F8957"/>
    </row>
    <row r="8958" spans="1:6" x14ac:dyDescent="0.25">
      <c r="A8958" s="364"/>
      <c r="B8958"/>
      <c r="C8958"/>
      <c r="D8958"/>
      <c r="E8958" s="364"/>
      <c r="F8958"/>
    </row>
    <row r="8959" spans="1:6" x14ac:dyDescent="0.25">
      <c r="A8959" s="364"/>
      <c r="B8959"/>
      <c r="C8959"/>
      <c r="D8959"/>
      <c r="E8959" s="364"/>
      <c r="F8959"/>
    </row>
    <row r="8960" spans="1:6" x14ac:dyDescent="0.25">
      <c r="A8960" s="364"/>
      <c r="B8960"/>
      <c r="C8960"/>
      <c r="D8960"/>
      <c r="E8960" s="364"/>
      <c r="F8960"/>
    </row>
    <row r="8961" spans="1:6" x14ac:dyDescent="0.25">
      <c r="A8961" s="364"/>
      <c r="B8961"/>
      <c r="C8961"/>
      <c r="D8961"/>
      <c r="E8961" s="364"/>
      <c r="F8961"/>
    </row>
    <row r="8962" spans="1:6" x14ac:dyDescent="0.25">
      <c r="A8962" s="364"/>
      <c r="B8962"/>
      <c r="C8962"/>
      <c r="D8962"/>
      <c r="E8962" s="364"/>
      <c r="F8962"/>
    </row>
    <row r="8963" spans="1:6" x14ac:dyDescent="0.25">
      <c r="A8963" s="364"/>
      <c r="B8963"/>
      <c r="C8963"/>
      <c r="D8963"/>
      <c r="E8963" s="364"/>
      <c r="F8963"/>
    </row>
    <row r="8964" spans="1:6" x14ac:dyDescent="0.25">
      <c r="A8964" s="364"/>
      <c r="B8964"/>
      <c r="C8964"/>
      <c r="D8964"/>
      <c r="E8964" s="364"/>
      <c r="F8964"/>
    </row>
    <row r="8965" spans="1:6" x14ac:dyDescent="0.25">
      <c r="A8965" s="364"/>
      <c r="B8965"/>
      <c r="C8965"/>
      <c r="D8965"/>
      <c r="E8965" s="364"/>
      <c r="F8965"/>
    </row>
    <row r="8966" spans="1:6" x14ac:dyDescent="0.25">
      <c r="A8966" s="364"/>
      <c r="B8966"/>
      <c r="C8966"/>
      <c r="D8966"/>
      <c r="E8966" s="364"/>
      <c r="F8966"/>
    </row>
    <row r="8967" spans="1:6" x14ac:dyDescent="0.25">
      <c r="A8967" s="364"/>
      <c r="B8967"/>
      <c r="C8967"/>
      <c r="D8967"/>
      <c r="E8967" s="364"/>
      <c r="F8967"/>
    </row>
    <row r="8968" spans="1:6" x14ac:dyDescent="0.25">
      <c r="A8968" s="364"/>
      <c r="B8968"/>
      <c r="C8968"/>
      <c r="D8968"/>
      <c r="E8968" s="364"/>
      <c r="F8968"/>
    </row>
    <row r="8969" spans="1:6" x14ac:dyDescent="0.25">
      <c r="A8969" s="364"/>
      <c r="B8969"/>
      <c r="C8969"/>
      <c r="D8969"/>
      <c r="E8969" s="364"/>
      <c r="F8969"/>
    </row>
    <row r="8970" spans="1:6" x14ac:dyDescent="0.25">
      <c r="A8970" s="364"/>
      <c r="B8970"/>
      <c r="C8970"/>
      <c r="D8970"/>
      <c r="E8970" s="364"/>
      <c r="F8970"/>
    </row>
    <row r="8971" spans="1:6" x14ac:dyDescent="0.25">
      <c r="A8971" s="364"/>
      <c r="B8971"/>
      <c r="C8971"/>
      <c r="D8971"/>
      <c r="E8971" s="364"/>
      <c r="F8971"/>
    </row>
    <row r="8972" spans="1:6" x14ac:dyDescent="0.25">
      <c r="A8972" s="364"/>
      <c r="B8972"/>
      <c r="C8972"/>
      <c r="D8972"/>
      <c r="E8972" s="364"/>
      <c r="F8972"/>
    </row>
    <row r="8973" spans="1:6" x14ac:dyDescent="0.25">
      <c r="A8973" s="364"/>
      <c r="B8973"/>
      <c r="C8973"/>
      <c r="D8973"/>
      <c r="E8973" s="364"/>
      <c r="F8973"/>
    </row>
    <row r="8974" spans="1:6" x14ac:dyDescent="0.25">
      <c r="A8974" s="364"/>
      <c r="B8974"/>
      <c r="C8974"/>
      <c r="D8974"/>
      <c r="E8974" s="364"/>
      <c r="F8974"/>
    </row>
    <row r="8975" spans="1:6" x14ac:dyDescent="0.25">
      <c r="A8975" s="364"/>
      <c r="B8975"/>
      <c r="C8975"/>
      <c r="D8975"/>
      <c r="E8975" s="364"/>
      <c r="F8975"/>
    </row>
    <row r="8976" spans="1:6" x14ac:dyDescent="0.25">
      <c r="A8976" s="364"/>
      <c r="B8976"/>
      <c r="C8976"/>
      <c r="D8976"/>
      <c r="E8976" s="364"/>
      <c r="F8976"/>
    </row>
    <row r="8977" spans="1:6" x14ac:dyDescent="0.25">
      <c r="A8977" s="364"/>
      <c r="B8977"/>
      <c r="C8977"/>
      <c r="D8977"/>
      <c r="E8977" s="364"/>
      <c r="F8977"/>
    </row>
    <row r="8978" spans="1:6" x14ac:dyDescent="0.25">
      <c r="A8978" s="364"/>
      <c r="B8978"/>
      <c r="C8978"/>
      <c r="D8978"/>
      <c r="E8978" s="364"/>
      <c r="F8978"/>
    </row>
    <row r="8979" spans="1:6" x14ac:dyDescent="0.25">
      <c r="A8979" s="364"/>
      <c r="B8979"/>
      <c r="C8979"/>
      <c r="D8979"/>
      <c r="E8979" s="364"/>
      <c r="F8979"/>
    </row>
    <row r="8980" spans="1:6" x14ac:dyDescent="0.25">
      <c r="A8980" s="364"/>
      <c r="B8980"/>
      <c r="C8980"/>
      <c r="D8980"/>
      <c r="E8980" s="364"/>
      <c r="F8980"/>
    </row>
    <row r="8981" spans="1:6" x14ac:dyDescent="0.25">
      <c r="A8981" s="364"/>
      <c r="B8981"/>
      <c r="C8981"/>
      <c r="D8981"/>
      <c r="E8981" s="364"/>
      <c r="F8981"/>
    </row>
    <row r="8982" spans="1:6" x14ac:dyDescent="0.25">
      <c r="A8982" s="364"/>
      <c r="B8982"/>
      <c r="C8982"/>
      <c r="D8982"/>
      <c r="E8982" s="364"/>
      <c r="F8982"/>
    </row>
    <row r="8983" spans="1:6" x14ac:dyDescent="0.25">
      <c r="A8983" s="364"/>
      <c r="B8983"/>
      <c r="C8983"/>
      <c r="D8983"/>
      <c r="E8983" s="364"/>
      <c r="F8983"/>
    </row>
    <row r="8984" spans="1:6" x14ac:dyDescent="0.25">
      <c r="A8984" s="364"/>
      <c r="B8984"/>
      <c r="C8984"/>
      <c r="D8984"/>
      <c r="E8984" s="364"/>
      <c r="F8984"/>
    </row>
    <row r="8985" spans="1:6" x14ac:dyDescent="0.25">
      <c r="A8985" s="364"/>
      <c r="B8985"/>
      <c r="C8985"/>
      <c r="D8985"/>
      <c r="E8985" s="364"/>
      <c r="F8985"/>
    </row>
    <row r="8986" spans="1:6" x14ac:dyDescent="0.25">
      <c r="A8986" s="364"/>
      <c r="B8986"/>
      <c r="C8986"/>
      <c r="D8986"/>
      <c r="E8986" s="364"/>
      <c r="F8986"/>
    </row>
    <row r="8987" spans="1:6" x14ac:dyDescent="0.25">
      <c r="A8987" s="364"/>
      <c r="B8987"/>
      <c r="C8987"/>
      <c r="D8987"/>
      <c r="E8987" s="364"/>
      <c r="F8987"/>
    </row>
    <row r="8988" spans="1:6" x14ac:dyDescent="0.25">
      <c r="A8988" s="364"/>
      <c r="B8988"/>
      <c r="C8988"/>
      <c r="D8988"/>
      <c r="E8988" s="364"/>
      <c r="F8988"/>
    </row>
    <row r="8989" spans="1:6" x14ac:dyDescent="0.25">
      <c r="A8989" s="364"/>
      <c r="B8989"/>
      <c r="C8989"/>
      <c r="D8989"/>
      <c r="E8989" s="364"/>
      <c r="F8989"/>
    </row>
    <row r="8990" spans="1:6" x14ac:dyDescent="0.25">
      <c r="A8990" s="364"/>
      <c r="B8990"/>
      <c r="C8990"/>
      <c r="D8990"/>
      <c r="E8990" s="364"/>
      <c r="F8990"/>
    </row>
    <row r="8991" spans="1:6" x14ac:dyDescent="0.25">
      <c r="A8991" s="364"/>
      <c r="B8991"/>
      <c r="C8991"/>
      <c r="D8991"/>
      <c r="E8991" s="364"/>
      <c r="F8991"/>
    </row>
    <row r="8992" spans="1:6" x14ac:dyDescent="0.25">
      <c r="A8992" s="364"/>
      <c r="B8992"/>
      <c r="C8992"/>
      <c r="D8992"/>
      <c r="E8992" s="364"/>
      <c r="F8992"/>
    </row>
    <row r="8993" spans="1:6" x14ac:dyDescent="0.25">
      <c r="A8993" s="364"/>
      <c r="B8993"/>
      <c r="C8993"/>
      <c r="D8993"/>
      <c r="E8993" s="364"/>
      <c r="F8993"/>
    </row>
    <row r="8994" spans="1:6" x14ac:dyDescent="0.25">
      <c r="A8994" s="364"/>
      <c r="B8994"/>
      <c r="C8994"/>
      <c r="D8994"/>
      <c r="E8994" s="364"/>
      <c r="F8994"/>
    </row>
    <row r="8995" spans="1:6" x14ac:dyDescent="0.25">
      <c r="A8995" s="364"/>
      <c r="B8995"/>
      <c r="C8995"/>
      <c r="D8995"/>
      <c r="E8995" s="364"/>
      <c r="F8995"/>
    </row>
    <row r="8996" spans="1:6" x14ac:dyDescent="0.25">
      <c r="A8996" s="364"/>
      <c r="B8996"/>
      <c r="C8996"/>
      <c r="D8996"/>
      <c r="E8996" s="364"/>
      <c r="F8996"/>
    </row>
    <row r="8997" spans="1:6" x14ac:dyDescent="0.25">
      <c r="A8997" s="364"/>
      <c r="B8997"/>
      <c r="C8997"/>
      <c r="D8997"/>
      <c r="E8997" s="364"/>
      <c r="F8997"/>
    </row>
    <row r="8998" spans="1:6" x14ac:dyDescent="0.25">
      <c r="A8998" s="364"/>
      <c r="B8998"/>
      <c r="C8998"/>
      <c r="D8998"/>
      <c r="E8998" s="364"/>
      <c r="F8998"/>
    </row>
    <row r="8999" spans="1:6" x14ac:dyDescent="0.25">
      <c r="A8999" s="364"/>
      <c r="B8999"/>
      <c r="C8999"/>
      <c r="D8999"/>
      <c r="E8999" s="364"/>
      <c r="F8999"/>
    </row>
    <row r="9000" spans="1:6" x14ac:dyDescent="0.25">
      <c r="A9000" s="364"/>
      <c r="B9000"/>
      <c r="C9000"/>
      <c r="D9000"/>
      <c r="E9000" s="364"/>
      <c r="F9000"/>
    </row>
    <row r="9001" spans="1:6" x14ac:dyDescent="0.25">
      <c r="A9001" s="364"/>
      <c r="B9001"/>
      <c r="C9001"/>
      <c r="D9001"/>
      <c r="E9001" s="364"/>
      <c r="F9001"/>
    </row>
    <row r="9002" spans="1:6" x14ac:dyDescent="0.25">
      <c r="A9002" s="364"/>
      <c r="B9002"/>
      <c r="C9002"/>
      <c r="D9002"/>
      <c r="E9002" s="364"/>
      <c r="F9002"/>
    </row>
    <row r="9003" spans="1:6" x14ac:dyDescent="0.25">
      <c r="A9003" s="364"/>
      <c r="B9003"/>
      <c r="C9003"/>
      <c r="D9003"/>
      <c r="E9003" s="364"/>
      <c r="F9003"/>
    </row>
    <row r="9004" spans="1:6" x14ac:dyDescent="0.25">
      <c r="A9004" s="364"/>
      <c r="B9004"/>
      <c r="C9004"/>
      <c r="D9004"/>
      <c r="E9004" s="364"/>
      <c r="F9004"/>
    </row>
    <row r="9005" spans="1:6" x14ac:dyDescent="0.25">
      <c r="A9005" s="364"/>
      <c r="B9005"/>
      <c r="C9005"/>
      <c r="D9005"/>
      <c r="E9005" s="364"/>
      <c r="F9005"/>
    </row>
    <row r="9006" spans="1:6" x14ac:dyDescent="0.25">
      <c r="A9006" s="364"/>
      <c r="B9006"/>
      <c r="C9006"/>
      <c r="D9006"/>
      <c r="E9006" s="364"/>
      <c r="F9006"/>
    </row>
    <row r="9007" spans="1:6" x14ac:dyDescent="0.25">
      <c r="A9007" s="364"/>
      <c r="B9007"/>
      <c r="C9007"/>
      <c r="D9007"/>
      <c r="E9007" s="364"/>
      <c r="F9007"/>
    </row>
    <row r="9008" spans="1:6" x14ac:dyDescent="0.25">
      <c r="A9008" s="364"/>
      <c r="B9008"/>
      <c r="C9008"/>
      <c r="D9008"/>
      <c r="E9008" s="364"/>
      <c r="F9008"/>
    </row>
    <row r="9009" spans="1:6" x14ac:dyDescent="0.25">
      <c r="A9009" s="364"/>
      <c r="B9009"/>
      <c r="C9009"/>
      <c r="D9009"/>
      <c r="E9009" s="364"/>
      <c r="F9009"/>
    </row>
    <row r="9010" spans="1:6" x14ac:dyDescent="0.25">
      <c r="A9010" s="364"/>
      <c r="B9010"/>
      <c r="C9010"/>
      <c r="D9010"/>
      <c r="E9010" s="364"/>
      <c r="F9010"/>
    </row>
    <row r="9011" spans="1:6" x14ac:dyDescent="0.25">
      <c r="A9011" s="364"/>
      <c r="B9011"/>
      <c r="C9011"/>
      <c r="D9011"/>
      <c r="E9011" s="364"/>
      <c r="F9011"/>
    </row>
    <row r="9012" spans="1:6" x14ac:dyDescent="0.25">
      <c r="A9012" s="364"/>
      <c r="B9012"/>
      <c r="C9012"/>
      <c r="D9012"/>
      <c r="E9012" s="364"/>
      <c r="F9012"/>
    </row>
    <row r="9013" spans="1:6" x14ac:dyDescent="0.25">
      <c r="A9013" s="364"/>
      <c r="B9013"/>
      <c r="C9013"/>
      <c r="D9013"/>
      <c r="E9013" s="364"/>
      <c r="F9013"/>
    </row>
    <row r="9014" spans="1:6" x14ac:dyDescent="0.25">
      <c r="A9014" s="364"/>
      <c r="B9014"/>
      <c r="C9014"/>
      <c r="D9014"/>
      <c r="E9014" s="364"/>
      <c r="F9014"/>
    </row>
    <row r="9015" spans="1:6" x14ac:dyDescent="0.25">
      <c r="A9015" s="364"/>
      <c r="B9015"/>
      <c r="C9015"/>
      <c r="D9015"/>
      <c r="E9015" s="364"/>
      <c r="F9015"/>
    </row>
    <row r="9016" spans="1:6" x14ac:dyDescent="0.25">
      <c r="A9016" s="364"/>
      <c r="B9016"/>
      <c r="C9016"/>
      <c r="D9016"/>
      <c r="E9016" s="364"/>
      <c r="F9016"/>
    </row>
    <row r="9017" spans="1:6" x14ac:dyDescent="0.25">
      <c r="A9017" s="364"/>
      <c r="B9017"/>
      <c r="C9017"/>
      <c r="D9017"/>
      <c r="E9017" s="364"/>
      <c r="F9017"/>
    </row>
    <row r="9018" spans="1:6" x14ac:dyDescent="0.25">
      <c r="A9018" s="364"/>
      <c r="B9018"/>
      <c r="C9018"/>
      <c r="D9018"/>
      <c r="E9018" s="364"/>
      <c r="F9018"/>
    </row>
    <row r="9019" spans="1:6" x14ac:dyDescent="0.25">
      <c r="A9019" s="364"/>
      <c r="B9019"/>
      <c r="C9019"/>
      <c r="D9019"/>
      <c r="E9019" s="364"/>
      <c r="F9019"/>
    </row>
    <row r="9020" spans="1:6" x14ac:dyDescent="0.25">
      <c r="A9020" s="364"/>
      <c r="B9020"/>
      <c r="C9020"/>
      <c r="D9020"/>
      <c r="E9020" s="364"/>
      <c r="F9020"/>
    </row>
    <row r="9021" spans="1:6" x14ac:dyDescent="0.25">
      <c r="A9021" s="364"/>
      <c r="B9021"/>
      <c r="C9021"/>
      <c r="D9021"/>
      <c r="E9021" s="364"/>
      <c r="F9021"/>
    </row>
    <row r="9022" spans="1:6" x14ac:dyDescent="0.25">
      <c r="A9022" s="364"/>
      <c r="B9022"/>
      <c r="C9022"/>
      <c r="D9022"/>
      <c r="E9022" s="364"/>
      <c r="F9022"/>
    </row>
    <row r="9023" spans="1:6" x14ac:dyDescent="0.25">
      <c r="A9023" s="364"/>
      <c r="B9023"/>
      <c r="C9023"/>
      <c r="D9023"/>
      <c r="E9023" s="364"/>
      <c r="F9023"/>
    </row>
    <row r="9024" spans="1:6" x14ac:dyDescent="0.25">
      <c r="A9024" s="364"/>
      <c r="B9024"/>
      <c r="C9024"/>
      <c r="D9024"/>
      <c r="E9024" s="364"/>
      <c r="F9024"/>
    </row>
    <row r="9025" spans="1:6" x14ac:dyDescent="0.25">
      <c r="A9025" s="364"/>
      <c r="B9025"/>
      <c r="C9025"/>
      <c r="D9025"/>
      <c r="E9025" s="364"/>
      <c r="F9025"/>
    </row>
    <row r="9026" spans="1:6" x14ac:dyDescent="0.25">
      <c r="A9026" s="364"/>
      <c r="B9026"/>
      <c r="C9026"/>
      <c r="D9026"/>
      <c r="E9026" s="364"/>
      <c r="F9026"/>
    </row>
    <row r="9027" spans="1:6" x14ac:dyDescent="0.25">
      <c r="A9027" s="364"/>
      <c r="B9027"/>
      <c r="C9027"/>
      <c r="D9027"/>
      <c r="E9027" s="364"/>
      <c r="F9027"/>
    </row>
    <row r="9028" spans="1:6" x14ac:dyDescent="0.25">
      <c r="A9028" s="364"/>
      <c r="B9028"/>
      <c r="C9028"/>
      <c r="D9028"/>
      <c r="E9028" s="364"/>
      <c r="F9028"/>
    </row>
    <row r="9029" spans="1:6" x14ac:dyDescent="0.25">
      <c r="A9029" s="364"/>
      <c r="B9029"/>
      <c r="C9029"/>
      <c r="D9029"/>
      <c r="E9029" s="364"/>
      <c r="F9029"/>
    </row>
    <row r="9030" spans="1:6" x14ac:dyDescent="0.25">
      <c r="A9030" s="364"/>
      <c r="B9030"/>
      <c r="C9030"/>
      <c r="D9030"/>
      <c r="E9030" s="364"/>
      <c r="F9030"/>
    </row>
    <row r="9031" spans="1:6" x14ac:dyDescent="0.25">
      <c r="A9031" s="364"/>
      <c r="B9031"/>
      <c r="C9031"/>
      <c r="D9031"/>
      <c r="E9031" s="364"/>
      <c r="F9031"/>
    </row>
    <row r="9032" spans="1:6" x14ac:dyDescent="0.25">
      <c r="A9032" s="364"/>
      <c r="B9032"/>
      <c r="C9032"/>
      <c r="D9032"/>
      <c r="E9032" s="364"/>
      <c r="F9032"/>
    </row>
    <row r="9033" spans="1:6" x14ac:dyDescent="0.25">
      <c r="A9033" s="364"/>
      <c r="B9033"/>
      <c r="C9033"/>
      <c r="D9033"/>
      <c r="E9033" s="364"/>
      <c r="F9033"/>
    </row>
    <row r="9034" spans="1:6" x14ac:dyDescent="0.25">
      <c r="A9034" s="364"/>
      <c r="B9034"/>
      <c r="C9034"/>
      <c r="D9034"/>
      <c r="E9034" s="364"/>
      <c r="F9034"/>
    </row>
    <row r="9035" spans="1:6" x14ac:dyDescent="0.25">
      <c r="A9035" s="364"/>
      <c r="B9035"/>
      <c r="C9035"/>
      <c r="D9035"/>
      <c r="E9035" s="364"/>
      <c r="F9035"/>
    </row>
    <row r="9036" spans="1:6" x14ac:dyDescent="0.25">
      <c r="A9036" s="364"/>
      <c r="B9036"/>
      <c r="C9036"/>
      <c r="D9036"/>
      <c r="E9036" s="364"/>
      <c r="F9036"/>
    </row>
    <row r="9037" spans="1:6" x14ac:dyDescent="0.25">
      <c r="A9037" s="364"/>
      <c r="B9037"/>
      <c r="C9037"/>
      <c r="D9037"/>
      <c r="E9037" s="364"/>
      <c r="F9037"/>
    </row>
    <row r="9038" spans="1:6" x14ac:dyDescent="0.25">
      <c r="A9038" s="364"/>
      <c r="B9038"/>
      <c r="C9038"/>
      <c r="D9038"/>
      <c r="E9038" s="364"/>
      <c r="F9038"/>
    </row>
    <row r="9039" spans="1:6" x14ac:dyDescent="0.25">
      <c r="A9039" s="364"/>
      <c r="B9039"/>
      <c r="C9039"/>
      <c r="D9039"/>
      <c r="E9039" s="364"/>
      <c r="F9039"/>
    </row>
    <row r="9040" spans="1:6" x14ac:dyDescent="0.25">
      <c r="A9040" s="364"/>
      <c r="B9040"/>
      <c r="C9040"/>
      <c r="D9040"/>
      <c r="E9040" s="364"/>
      <c r="F9040"/>
    </row>
    <row r="9041" spans="1:6" x14ac:dyDescent="0.25">
      <c r="A9041" s="364"/>
      <c r="B9041"/>
      <c r="C9041"/>
      <c r="D9041"/>
      <c r="E9041" s="364"/>
      <c r="F9041"/>
    </row>
    <row r="9042" spans="1:6" x14ac:dyDescent="0.25">
      <c r="A9042" s="364"/>
      <c r="B9042"/>
      <c r="C9042"/>
      <c r="D9042"/>
      <c r="E9042" s="364"/>
      <c r="F9042"/>
    </row>
    <row r="9043" spans="1:6" x14ac:dyDescent="0.25">
      <c r="A9043" s="364"/>
      <c r="B9043"/>
      <c r="C9043"/>
      <c r="D9043"/>
      <c r="E9043" s="364"/>
      <c r="F9043"/>
    </row>
    <row r="9044" spans="1:6" x14ac:dyDescent="0.25">
      <c r="A9044" s="364"/>
      <c r="B9044"/>
      <c r="C9044"/>
      <c r="D9044"/>
      <c r="E9044" s="364"/>
      <c r="F9044"/>
    </row>
    <row r="9045" spans="1:6" x14ac:dyDescent="0.25">
      <c r="A9045" s="364"/>
      <c r="B9045"/>
      <c r="C9045"/>
      <c r="D9045"/>
      <c r="E9045" s="364"/>
      <c r="F9045"/>
    </row>
    <row r="9046" spans="1:6" x14ac:dyDescent="0.25">
      <c r="A9046" s="364"/>
      <c r="B9046"/>
      <c r="C9046"/>
      <c r="D9046"/>
      <c r="E9046" s="364"/>
      <c r="F9046"/>
    </row>
    <row r="9047" spans="1:6" x14ac:dyDescent="0.25">
      <c r="A9047" s="364"/>
      <c r="B9047"/>
      <c r="C9047"/>
      <c r="D9047"/>
      <c r="E9047" s="364"/>
      <c r="F9047"/>
    </row>
    <row r="9048" spans="1:6" x14ac:dyDescent="0.25">
      <c r="A9048" s="364"/>
      <c r="B9048"/>
      <c r="C9048"/>
      <c r="D9048"/>
      <c r="E9048" s="364"/>
      <c r="F9048"/>
    </row>
    <row r="9049" spans="1:6" x14ac:dyDescent="0.25">
      <c r="A9049" s="364"/>
      <c r="B9049"/>
      <c r="C9049"/>
      <c r="D9049"/>
      <c r="E9049" s="364"/>
      <c r="F9049"/>
    </row>
    <row r="9050" spans="1:6" x14ac:dyDescent="0.25">
      <c r="A9050" s="364"/>
      <c r="B9050"/>
      <c r="C9050"/>
      <c r="D9050"/>
      <c r="E9050" s="364"/>
      <c r="F9050"/>
    </row>
    <row r="9051" spans="1:6" x14ac:dyDescent="0.25">
      <c r="A9051" s="364"/>
      <c r="B9051"/>
      <c r="C9051"/>
      <c r="D9051"/>
      <c r="E9051" s="364"/>
      <c r="F9051"/>
    </row>
    <row r="9052" spans="1:6" x14ac:dyDescent="0.25">
      <c r="A9052" s="364"/>
      <c r="B9052"/>
      <c r="C9052"/>
      <c r="D9052"/>
      <c r="E9052" s="364"/>
      <c r="F9052"/>
    </row>
    <row r="9053" spans="1:6" x14ac:dyDescent="0.25">
      <c r="A9053" s="364"/>
      <c r="B9053"/>
      <c r="C9053"/>
      <c r="D9053"/>
      <c r="E9053" s="364"/>
      <c r="F9053"/>
    </row>
    <row r="9054" spans="1:6" x14ac:dyDescent="0.25">
      <c r="A9054" s="364"/>
      <c r="B9054"/>
      <c r="C9054"/>
      <c r="D9054"/>
      <c r="E9054" s="364"/>
      <c r="F9054"/>
    </row>
    <row r="9055" spans="1:6" x14ac:dyDescent="0.25">
      <c r="A9055" s="364"/>
      <c r="B9055"/>
      <c r="C9055"/>
      <c r="D9055"/>
      <c r="E9055" s="364"/>
      <c r="F9055"/>
    </row>
    <row r="9056" spans="1:6" x14ac:dyDescent="0.25">
      <c r="A9056" s="364"/>
      <c r="B9056"/>
      <c r="C9056"/>
      <c r="D9056"/>
      <c r="E9056" s="364"/>
      <c r="F9056"/>
    </row>
    <row r="9057" spans="1:6" x14ac:dyDescent="0.25">
      <c r="A9057" s="364"/>
      <c r="B9057"/>
      <c r="C9057"/>
      <c r="D9057"/>
      <c r="E9057" s="364"/>
      <c r="F9057"/>
    </row>
    <row r="9058" spans="1:6" x14ac:dyDescent="0.25">
      <c r="A9058" s="364"/>
      <c r="B9058"/>
      <c r="C9058"/>
      <c r="D9058"/>
      <c r="E9058" s="364"/>
      <c r="F9058"/>
    </row>
    <row r="9059" spans="1:6" x14ac:dyDescent="0.25">
      <c r="A9059" s="364"/>
      <c r="B9059"/>
      <c r="C9059"/>
      <c r="D9059"/>
      <c r="E9059" s="364"/>
      <c r="F9059"/>
    </row>
    <row r="9060" spans="1:6" x14ac:dyDescent="0.25">
      <c r="A9060" s="364"/>
      <c r="B9060"/>
      <c r="C9060"/>
      <c r="D9060"/>
      <c r="E9060" s="364"/>
      <c r="F9060"/>
    </row>
    <row r="9061" spans="1:6" x14ac:dyDescent="0.25">
      <c r="A9061" s="364"/>
      <c r="B9061"/>
      <c r="C9061"/>
      <c r="D9061"/>
      <c r="E9061" s="364"/>
      <c r="F9061"/>
    </row>
    <row r="9062" spans="1:6" x14ac:dyDescent="0.25">
      <c r="A9062" s="364"/>
      <c r="B9062"/>
      <c r="C9062"/>
      <c r="D9062"/>
      <c r="E9062" s="364"/>
      <c r="F9062"/>
    </row>
    <row r="9063" spans="1:6" x14ac:dyDescent="0.25">
      <c r="A9063" s="364"/>
      <c r="B9063"/>
      <c r="C9063"/>
      <c r="D9063"/>
      <c r="E9063" s="364"/>
      <c r="F9063"/>
    </row>
    <row r="9064" spans="1:6" x14ac:dyDescent="0.25">
      <c r="A9064" s="364"/>
      <c r="B9064"/>
      <c r="C9064"/>
      <c r="D9064"/>
      <c r="E9064" s="364"/>
      <c r="F9064"/>
    </row>
    <row r="9065" spans="1:6" x14ac:dyDescent="0.25">
      <c r="A9065" s="364"/>
      <c r="B9065"/>
      <c r="C9065"/>
      <c r="D9065"/>
      <c r="E9065" s="364"/>
      <c r="F9065"/>
    </row>
    <row r="9066" spans="1:6" x14ac:dyDescent="0.25">
      <c r="A9066" s="364"/>
      <c r="B9066"/>
      <c r="C9066"/>
      <c r="D9066"/>
      <c r="E9066" s="364"/>
      <c r="F9066"/>
    </row>
    <row r="9067" spans="1:6" x14ac:dyDescent="0.25">
      <c r="A9067" s="364"/>
      <c r="B9067"/>
      <c r="C9067"/>
      <c r="D9067"/>
      <c r="E9067" s="364"/>
      <c r="F9067"/>
    </row>
    <row r="9068" spans="1:6" x14ac:dyDescent="0.25">
      <c r="A9068" s="364"/>
      <c r="B9068"/>
      <c r="C9068"/>
      <c r="D9068"/>
      <c r="E9068" s="364"/>
      <c r="F9068"/>
    </row>
    <row r="9069" spans="1:6" x14ac:dyDescent="0.25">
      <c r="A9069" s="364"/>
      <c r="B9069"/>
      <c r="C9069"/>
      <c r="D9069"/>
      <c r="E9069" s="364"/>
      <c r="F9069"/>
    </row>
    <row r="9070" spans="1:6" x14ac:dyDescent="0.25">
      <c r="A9070" s="364"/>
      <c r="B9070"/>
      <c r="C9070"/>
      <c r="D9070"/>
      <c r="E9070" s="364"/>
      <c r="F9070"/>
    </row>
    <row r="9071" spans="1:6" x14ac:dyDescent="0.25">
      <c r="A9071" s="364"/>
      <c r="B9071"/>
      <c r="C9071"/>
      <c r="D9071"/>
      <c r="E9071" s="364"/>
      <c r="F9071"/>
    </row>
    <row r="9072" spans="1:6" x14ac:dyDescent="0.25">
      <c r="A9072" s="364"/>
      <c r="B9072"/>
      <c r="C9072"/>
      <c r="D9072"/>
      <c r="E9072" s="364"/>
      <c r="F9072"/>
    </row>
    <row r="9073" spans="1:6" x14ac:dyDescent="0.25">
      <c r="A9073" s="364"/>
      <c r="B9073"/>
      <c r="C9073"/>
      <c r="D9073"/>
      <c r="E9073" s="364"/>
      <c r="F9073"/>
    </row>
    <row r="9074" spans="1:6" x14ac:dyDescent="0.25">
      <c r="A9074" s="364"/>
      <c r="B9074"/>
      <c r="C9074"/>
      <c r="D9074"/>
      <c r="E9074" s="364"/>
      <c r="F9074"/>
    </row>
    <row r="9075" spans="1:6" x14ac:dyDescent="0.25">
      <c r="A9075" s="364"/>
      <c r="B9075"/>
      <c r="C9075"/>
      <c r="D9075"/>
      <c r="E9075" s="364"/>
      <c r="F9075"/>
    </row>
    <row r="9076" spans="1:6" x14ac:dyDescent="0.25">
      <c r="A9076" s="364"/>
      <c r="B9076"/>
      <c r="C9076"/>
      <c r="D9076"/>
      <c r="E9076" s="364"/>
      <c r="F9076"/>
    </row>
    <row r="9077" spans="1:6" x14ac:dyDescent="0.25">
      <c r="A9077" s="364"/>
      <c r="B9077"/>
      <c r="C9077"/>
      <c r="D9077"/>
      <c r="E9077" s="364"/>
      <c r="F9077"/>
    </row>
    <row r="9078" spans="1:6" x14ac:dyDescent="0.25">
      <c r="A9078" s="364"/>
      <c r="B9078"/>
      <c r="C9078"/>
      <c r="D9078"/>
      <c r="E9078" s="364"/>
      <c r="F9078"/>
    </row>
    <row r="9079" spans="1:6" x14ac:dyDescent="0.25">
      <c r="A9079" s="364"/>
      <c r="B9079"/>
      <c r="C9079"/>
      <c r="D9079"/>
      <c r="E9079" s="364"/>
      <c r="F9079"/>
    </row>
    <row r="9080" spans="1:6" x14ac:dyDescent="0.25">
      <c r="A9080" s="364"/>
      <c r="B9080"/>
      <c r="C9080"/>
      <c r="D9080"/>
      <c r="E9080" s="364"/>
      <c r="F9080"/>
    </row>
    <row r="9081" spans="1:6" x14ac:dyDescent="0.25">
      <c r="A9081" s="364"/>
      <c r="B9081"/>
      <c r="C9081"/>
      <c r="D9081"/>
      <c r="E9081" s="364"/>
      <c r="F9081"/>
    </row>
    <row r="9082" spans="1:6" x14ac:dyDescent="0.25">
      <c r="A9082" s="364"/>
      <c r="B9082"/>
      <c r="C9082"/>
      <c r="D9082"/>
      <c r="E9082" s="364"/>
      <c r="F9082"/>
    </row>
    <row r="9083" spans="1:6" x14ac:dyDescent="0.25">
      <c r="A9083" s="364"/>
      <c r="B9083"/>
      <c r="C9083"/>
      <c r="D9083"/>
      <c r="E9083" s="364"/>
      <c r="F9083"/>
    </row>
    <row r="9084" spans="1:6" x14ac:dyDescent="0.25">
      <c r="A9084" s="364"/>
      <c r="B9084"/>
      <c r="C9084"/>
      <c r="D9084"/>
      <c r="E9084" s="364"/>
      <c r="F9084"/>
    </row>
    <row r="9085" spans="1:6" x14ac:dyDescent="0.25">
      <c r="A9085" s="364"/>
      <c r="B9085"/>
      <c r="C9085"/>
      <c r="D9085"/>
      <c r="E9085" s="364"/>
      <c r="F9085"/>
    </row>
    <row r="9086" spans="1:6" x14ac:dyDescent="0.25">
      <c r="A9086" s="364"/>
      <c r="B9086"/>
      <c r="C9086"/>
      <c r="D9086"/>
      <c r="E9086" s="364"/>
      <c r="F9086"/>
    </row>
    <row r="9087" spans="1:6" x14ac:dyDescent="0.25">
      <c r="A9087" s="364"/>
      <c r="B9087"/>
      <c r="C9087"/>
      <c r="D9087"/>
      <c r="E9087" s="364"/>
      <c r="F9087"/>
    </row>
    <row r="9088" spans="1:6" x14ac:dyDescent="0.25">
      <c r="A9088" s="364"/>
      <c r="B9088"/>
      <c r="C9088"/>
      <c r="D9088"/>
      <c r="E9088" s="364"/>
      <c r="F9088"/>
    </row>
    <row r="9089" spans="1:6" x14ac:dyDescent="0.25">
      <c r="A9089" s="364"/>
      <c r="B9089"/>
      <c r="C9089"/>
      <c r="D9089"/>
      <c r="E9089" s="364"/>
      <c r="F9089"/>
    </row>
    <row r="9090" spans="1:6" x14ac:dyDescent="0.25">
      <c r="A9090" s="364"/>
      <c r="B9090"/>
      <c r="C9090"/>
      <c r="D9090"/>
      <c r="E9090" s="364"/>
      <c r="F9090"/>
    </row>
    <row r="9091" spans="1:6" x14ac:dyDescent="0.25">
      <c r="A9091" s="364"/>
      <c r="B9091"/>
      <c r="C9091"/>
      <c r="D9091"/>
      <c r="E9091" s="364"/>
      <c r="F9091"/>
    </row>
    <row r="9092" spans="1:6" x14ac:dyDescent="0.25">
      <c r="A9092" s="364"/>
      <c r="B9092"/>
      <c r="C9092"/>
      <c r="D9092"/>
      <c r="E9092" s="364"/>
      <c r="F9092"/>
    </row>
    <row r="9093" spans="1:6" x14ac:dyDescent="0.25">
      <c r="A9093" s="364"/>
      <c r="B9093"/>
      <c r="C9093"/>
      <c r="D9093"/>
      <c r="E9093" s="364"/>
      <c r="F9093"/>
    </row>
    <row r="9094" spans="1:6" x14ac:dyDescent="0.25">
      <c r="A9094" s="364"/>
      <c r="B9094"/>
      <c r="C9094"/>
      <c r="D9094"/>
      <c r="E9094" s="364"/>
      <c r="F9094"/>
    </row>
    <row r="9095" spans="1:6" x14ac:dyDescent="0.25">
      <c r="A9095" s="364"/>
      <c r="B9095"/>
      <c r="C9095"/>
      <c r="D9095"/>
      <c r="E9095" s="364"/>
      <c r="F9095"/>
    </row>
    <row r="9096" spans="1:6" x14ac:dyDescent="0.25">
      <c r="A9096" s="364"/>
      <c r="B9096"/>
      <c r="C9096"/>
      <c r="D9096"/>
      <c r="E9096" s="364"/>
      <c r="F9096"/>
    </row>
    <row r="9097" spans="1:6" x14ac:dyDescent="0.25">
      <c r="A9097" s="364"/>
      <c r="B9097"/>
      <c r="C9097"/>
      <c r="D9097"/>
      <c r="E9097" s="364"/>
      <c r="F9097"/>
    </row>
    <row r="9098" spans="1:6" x14ac:dyDescent="0.25">
      <c r="A9098" s="364"/>
      <c r="B9098"/>
      <c r="C9098"/>
      <c r="D9098"/>
      <c r="E9098" s="364"/>
      <c r="F9098"/>
    </row>
    <row r="9099" spans="1:6" x14ac:dyDescent="0.25">
      <c r="A9099" s="364"/>
      <c r="B9099"/>
      <c r="C9099"/>
      <c r="D9099"/>
      <c r="E9099" s="364"/>
      <c r="F9099"/>
    </row>
    <row r="9100" spans="1:6" x14ac:dyDescent="0.25">
      <c r="A9100" s="364"/>
      <c r="B9100"/>
      <c r="C9100"/>
      <c r="D9100"/>
      <c r="E9100" s="364"/>
      <c r="F9100"/>
    </row>
    <row r="9101" spans="1:6" x14ac:dyDescent="0.25">
      <c r="A9101" s="364"/>
      <c r="B9101"/>
      <c r="C9101"/>
      <c r="D9101"/>
      <c r="E9101" s="364"/>
      <c r="F9101"/>
    </row>
    <row r="9102" spans="1:6" x14ac:dyDescent="0.25">
      <c r="A9102" s="364"/>
      <c r="B9102"/>
      <c r="C9102"/>
      <c r="D9102"/>
      <c r="E9102" s="364"/>
      <c r="F9102"/>
    </row>
    <row r="9103" spans="1:6" x14ac:dyDescent="0.25">
      <c r="A9103" s="364"/>
      <c r="B9103"/>
      <c r="C9103"/>
      <c r="D9103"/>
      <c r="E9103" s="364"/>
      <c r="F9103"/>
    </row>
    <row r="9104" spans="1:6" x14ac:dyDescent="0.25">
      <c r="A9104" s="364"/>
      <c r="B9104"/>
      <c r="C9104"/>
      <c r="D9104"/>
      <c r="E9104" s="364"/>
      <c r="F9104"/>
    </row>
    <row r="9105" spans="1:6" x14ac:dyDescent="0.25">
      <c r="A9105" s="364"/>
      <c r="B9105"/>
      <c r="C9105"/>
      <c r="D9105"/>
      <c r="E9105" s="364"/>
      <c r="F9105"/>
    </row>
    <row r="9106" spans="1:6" x14ac:dyDescent="0.25">
      <c r="A9106" s="364"/>
      <c r="B9106"/>
      <c r="C9106"/>
      <c r="D9106"/>
      <c r="E9106" s="364"/>
      <c r="F9106"/>
    </row>
    <row r="9107" spans="1:6" x14ac:dyDescent="0.25">
      <c r="A9107" s="364"/>
      <c r="B9107"/>
      <c r="C9107"/>
      <c r="D9107"/>
      <c r="E9107" s="364"/>
      <c r="F9107"/>
    </row>
    <row r="9108" spans="1:6" x14ac:dyDescent="0.25">
      <c r="A9108" s="364"/>
      <c r="B9108"/>
      <c r="C9108"/>
      <c r="D9108"/>
      <c r="E9108" s="364"/>
      <c r="F9108"/>
    </row>
    <row r="9109" spans="1:6" x14ac:dyDescent="0.25">
      <c r="A9109" s="364"/>
      <c r="B9109"/>
      <c r="C9109"/>
      <c r="D9109"/>
      <c r="E9109" s="364"/>
      <c r="F9109"/>
    </row>
    <row r="9110" spans="1:6" x14ac:dyDescent="0.25">
      <c r="A9110" s="364"/>
      <c r="B9110"/>
      <c r="C9110"/>
      <c r="D9110"/>
      <c r="E9110" s="364"/>
      <c r="F9110"/>
    </row>
    <row r="9111" spans="1:6" x14ac:dyDescent="0.25">
      <c r="A9111" s="364"/>
      <c r="B9111"/>
      <c r="C9111"/>
      <c r="D9111"/>
      <c r="E9111" s="364"/>
      <c r="F9111"/>
    </row>
    <row r="9112" spans="1:6" x14ac:dyDescent="0.25">
      <c r="A9112" s="364"/>
      <c r="B9112"/>
      <c r="C9112"/>
      <c r="D9112"/>
      <c r="E9112" s="364"/>
      <c r="F9112"/>
    </row>
    <row r="9113" spans="1:6" x14ac:dyDescent="0.25">
      <c r="A9113" s="364"/>
      <c r="B9113"/>
      <c r="C9113"/>
      <c r="D9113"/>
      <c r="E9113" s="364"/>
      <c r="F9113"/>
    </row>
    <row r="9114" spans="1:6" x14ac:dyDescent="0.25">
      <c r="A9114" s="364"/>
      <c r="B9114"/>
      <c r="C9114"/>
      <c r="D9114"/>
      <c r="E9114" s="364"/>
      <c r="F9114"/>
    </row>
    <row r="9115" spans="1:6" x14ac:dyDescent="0.25">
      <c r="A9115" s="364"/>
      <c r="B9115"/>
      <c r="C9115"/>
      <c r="D9115"/>
      <c r="E9115" s="364"/>
      <c r="F9115"/>
    </row>
    <row r="9116" spans="1:6" x14ac:dyDescent="0.25">
      <c r="A9116" s="364"/>
      <c r="B9116"/>
      <c r="C9116"/>
      <c r="D9116"/>
      <c r="E9116" s="364"/>
      <c r="F9116"/>
    </row>
    <row r="9117" spans="1:6" x14ac:dyDescent="0.25">
      <c r="A9117" s="364"/>
      <c r="B9117"/>
      <c r="C9117"/>
      <c r="D9117"/>
      <c r="E9117" s="364"/>
      <c r="F9117"/>
    </row>
    <row r="9118" spans="1:6" x14ac:dyDescent="0.25">
      <c r="A9118" s="364"/>
      <c r="B9118"/>
      <c r="C9118"/>
      <c r="D9118"/>
      <c r="E9118" s="364"/>
      <c r="F9118"/>
    </row>
    <row r="9119" spans="1:6" x14ac:dyDescent="0.25">
      <c r="A9119" s="364"/>
      <c r="B9119"/>
      <c r="C9119"/>
      <c r="D9119"/>
      <c r="E9119" s="364"/>
      <c r="F9119"/>
    </row>
    <row r="9120" spans="1:6" x14ac:dyDescent="0.25">
      <c r="A9120" s="364"/>
      <c r="B9120"/>
      <c r="C9120"/>
      <c r="D9120"/>
      <c r="E9120" s="364"/>
      <c r="F9120"/>
    </row>
    <row r="9121" spans="1:6" x14ac:dyDescent="0.25">
      <c r="A9121" s="364"/>
      <c r="B9121"/>
      <c r="C9121"/>
      <c r="D9121"/>
      <c r="E9121" s="364"/>
      <c r="F9121"/>
    </row>
    <row r="9122" spans="1:6" x14ac:dyDescent="0.25">
      <c r="A9122" s="364"/>
      <c r="B9122"/>
      <c r="C9122"/>
      <c r="D9122"/>
      <c r="E9122" s="364"/>
      <c r="F9122"/>
    </row>
    <row r="9123" spans="1:6" x14ac:dyDescent="0.25">
      <c r="A9123" s="364"/>
      <c r="B9123"/>
      <c r="C9123"/>
      <c r="D9123"/>
      <c r="E9123" s="364"/>
      <c r="F91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5"/>
  <sheetViews>
    <sheetView workbookViewId="0">
      <selection activeCell="I20" sqref="I20"/>
    </sheetView>
  </sheetViews>
  <sheetFormatPr defaultRowHeight="12.75" x14ac:dyDescent="0.2"/>
  <cols>
    <col min="1" max="1" width="16.42578125" customWidth="1"/>
    <col min="2" max="2" width="34.140625" bestFit="1" customWidth="1"/>
    <col min="3" max="3" width="14.7109375" bestFit="1" customWidth="1"/>
    <col min="4" max="4" width="14.5703125" bestFit="1" customWidth="1"/>
    <col min="5" max="5" width="17.85546875" bestFit="1" customWidth="1"/>
    <col min="6" max="6" width="15.140625" bestFit="1" customWidth="1"/>
    <col min="7" max="7" width="17.85546875" bestFit="1" customWidth="1"/>
    <col min="8" max="8" width="21.7109375" bestFit="1" customWidth="1"/>
    <col min="9" max="9" width="16.7109375" bestFit="1" customWidth="1"/>
    <col min="10" max="10" width="21.7109375" bestFit="1" customWidth="1"/>
    <col min="11" max="11" width="14.7109375" customWidth="1"/>
  </cols>
  <sheetData>
    <row r="1" spans="1:11" ht="15" x14ac:dyDescent="0.25">
      <c r="A1" s="505" t="s">
        <v>91</v>
      </c>
      <c r="B1" s="505" t="s">
        <v>6646</v>
      </c>
      <c r="C1" s="505" t="s">
        <v>6647</v>
      </c>
      <c r="D1" s="505" t="s">
        <v>6605</v>
      </c>
      <c r="E1" s="505" t="s">
        <v>6648</v>
      </c>
      <c r="F1" s="505" t="s">
        <v>6649</v>
      </c>
      <c r="G1" s="505" t="s">
        <v>6650</v>
      </c>
      <c r="H1" s="505" t="s">
        <v>6651</v>
      </c>
    </row>
    <row r="2" spans="1:11" ht="15" x14ac:dyDescent="0.25">
      <c r="A2" s="506" t="s">
        <v>212</v>
      </c>
      <c r="B2" s="507" t="s">
        <v>757</v>
      </c>
      <c r="C2" s="507" t="s">
        <v>6652</v>
      </c>
      <c r="D2" s="508">
        <f>'Estimated Cost'!G24</f>
        <v>1033.56</v>
      </c>
      <c r="E2" s="509">
        <v>7815</v>
      </c>
      <c r="F2" s="508">
        <v>0.28999999999999998</v>
      </c>
      <c r="G2" s="508">
        <f>Simulator!D5</f>
        <v>0</v>
      </c>
      <c r="H2" s="508">
        <f>G2*'Estimated Cost'!F24</f>
        <v>0</v>
      </c>
      <c r="I2">
        <v>2266.35</v>
      </c>
    </row>
    <row r="3" spans="1:11" ht="15" x14ac:dyDescent="0.25">
      <c r="A3" s="507" t="s">
        <v>3</v>
      </c>
      <c r="B3" s="507" t="s">
        <v>1544</v>
      </c>
      <c r="C3" s="507" t="s">
        <v>6652</v>
      </c>
      <c r="D3" s="508">
        <f>'Estimated Cost'!G25</f>
        <v>74.52</v>
      </c>
      <c r="E3" s="509">
        <v>3502</v>
      </c>
      <c r="F3" s="508">
        <v>0.02</v>
      </c>
      <c r="G3" s="508">
        <f>Simulator!D6</f>
        <v>0</v>
      </c>
      <c r="H3" s="508">
        <f>G3*'Estimated Cost'!F25</f>
        <v>0</v>
      </c>
      <c r="I3">
        <v>70.040000000000006</v>
      </c>
    </row>
    <row r="4" spans="1:11" ht="15" x14ac:dyDescent="0.25">
      <c r="A4" s="506" t="s">
        <v>275</v>
      </c>
      <c r="B4" s="507" t="s">
        <v>1565</v>
      </c>
      <c r="C4" s="507" t="s">
        <v>6652</v>
      </c>
      <c r="D4" s="508">
        <f>'Estimated Cost'!G26</f>
        <v>66.13</v>
      </c>
      <c r="E4" s="510">
        <v>1632</v>
      </c>
      <c r="F4" s="511">
        <v>0.03</v>
      </c>
      <c r="G4" s="508">
        <f>Simulator!D7</f>
        <v>0</v>
      </c>
      <c r="H4" s="508">
        <f>G4*'Estimated Cost'!F26</f>
        <v>0</v>
      </c>
      <c r="I4">
        <v>48.96</v>
      </c>
    </row>
    <row r="5" spans="1:11" ht="15" x14ac:dyDescent="0.25">
      <c r="A5" s="506" t="s">
        <v>310</v>
      </c>
      <c r="B5" s="507" t="s">
        <v>1546</v>
      </c>
      <c r="C5" s="507" t="s">
        <v>6652</v>
      </c>
      <c r="D5" s="508">
        <f>'Estimated Cost'!G27</f>
        <v>5.09</v>
      </c>
      <c r="E5" s="509">
        <v>490</v>
      </c>
      <c r="F5" s="508">
        <v>7.0000000000000007E-2</v>
      </c>
      <c r="G5" s="508">
        <f>Simulator!D8</f>
        <v>0</v>
      </c>
      <c r="H5" s="508">
        <f>G5*'Estimated Cost'!F27</f>
        <v>0</v>
      </c>
      <c r="I5">
        <v>34.299999999999997</v>
      </c>
    </row>
    <row r="6" spans="1:11" ht="15" x14ac:dyDescent="0.25">
      <c r="A6" s="507" t="s">
        <v>177</v>
      </c>
      <c r="B6" s="507" t="s">
        <v>1758</v>
      </c>
      <c r="C6" s="507" t="s">
        <v>6652</v>
      </c>
      <c r="D6" s="508">
        <f>'Estimated Cost'!G28</f>
        <v>7.99</v>
      </c>
      <c r="E6" s="509">
        <v>4863</v>
      </c>
      <c r="F6" s="508">
        <v>0.01</v>
      </c>
      <c r="G6" s="508">
        <f>Simulator!D9</f>
        <v>0</v>
      </c>
      <c r="H6" s="508">
        <f>G6*'Estimated Cost'!F28</f>
        <v>0</v>
      </c>
      <c r="I6">
        <v>48.63</v>
      </c>
    </row>
    <row r="7" spans="1:11" ht="15" x14ac:dyDescent="0.25">
      <c r="A7" s="507" t="s">
        <v>297</v>
      </c>
      <c r="B7" s="507" t="s">
        <v>1534</v>
      </c>
      <c r="C7" s="507" t="s">
        <v>6652</v>
      </c>
      <c r="D7" s="508">
        <f>'Estimated Cost'!G29</f>
        <v>6.03</v>
      </c>
      <c r="E7" s="509">
        <v>179</v>
      </c>
      <c r="F7" s="508">
        <v>0.02</v>
      </c>
      <c r="G7" s="508">
        <f>Simulator!D10</f>
        <v>0</v>
      </c>
      <c r="H7" s="508">
        <f>G7*'Estimated Cost'!F29</f>
        <v>0</v>
      </c>
      <c r="I7">
        <v>3.58</v>
      </c>
    </row>
    <row r="8" spans="1:11" ht="15" x14ac:dyDescent="0.25">
      <c r="A8" s="507" t="s">
        <v>16</v>
      </c>
      <c r="B8" s="507" t="s">
        <v>1538</v>
      </c>
      <c r="C8" s="507" t="s">
        <v>6652</v>
      </c>
      <c r="D8" s="508">
        <f>'Estimated Cost'!G30</f>
        <v>136.57</v>
      </c>
      <c r="E8" s="509">
        <v>1656</v>
      </c>
      <c r="F8" s="508">
        <v>0.09</v>
      </c>
      <c r="G8" s="508">
        <f>Simulator!D11</f>
        <v>0</v>
      </c>
      <c r="H8" s="508">
        <f>G8*'Estimated Cost'!F30</f>
        <v>0</v>
      </c>
      <c r="I8">
        <v>149.04</v>
      </c>
    </row>
    <row r="9" spans="1:11" ht="15" x14ac:dyDescent="0.25">
      <c r="A9" s="507" t="s">
        <v>17</v>
      </c>
      <c r="B9" s="507" t="s">
        <v>1393</v>
      </c>
      <c r="C9" s="507" t="s">
        <v>6652</v>
      </c>
      <c r="D9" s="508">
        <f>'Estimated Cost'!G31</f>
        <v>92.34</v>
      </c>
      <c r="E9" s="509">
        <v>322</v>
      </c>
      <c r="F9" s="508">
        <v>0.16</v>
      </c>
      <c r="G9" s="508">
        <f>Simulator!D12</f>
        <v>0</v>
      </c>
      <c r="H9" s="508">
        <f>G9*'Estimated Cost'!F31</f>
        <v>0</v>
      </c>
      <c r="I9">
        <v>51.52</v>
      </c>
    </row>
    <row r="10" spans="1:11" ht="15" x14ac:dyDescent="0.25">
      <c r="A10" s="507" t="s">
        <v>134</v>
      </c>
      <c r="B10" s="507" t="s">
        <v>1543</v>
      </c>
      <c r="C10" s="507" t="s">
        <v>6652</v>
      </c>
      <c r="D10" s="508">
        <f>'Estimated Cost'!G32</f>
        <v>24.38</v>
      </c>
      <c r="E10" s="509">
        <v>120.72</v>
      </c>
      <c r="F10" s="508">
        <v>0.24</v>
      </c>
      <c r="G10" s="508">
        <f>Simulator!D13</f>
        <v>0</v>
      </c>
      <c r="H10" s="508">
        <f>G10*'Estimated Cost'!F32</f>
        <v>0</v>
      </c>
      <c r="I10">
        <v>28.97</v>
      </c>
    </row>
    <row r="11" spans="1:11" ht="15" x14ac:dyDescent="0.25">
      <c r="A11" s="506" t="s">
        <v>15</v>
      </c>
      <c r="B11" s="507" t="s">
        <v>1799</v>
      </c>
      <c r="C11" s="507" t="s">
        <v>6652</v>
      </c>
      <c r="D11" s="508">
        <f>'Estimated Cost'!G36</f>
        <v>0.03</v>
      </c>
      <c r="E11" s="509">
        <v>0</v>
      </c>
      <c r="F11" s="508">
        <v>0</v>
      </c>
      <c r="G11" s="508">
        <v>0</v>
      </c>
      <c r="H11" s="508">
        <f>G11*'Estimated Cost'!F36</f>
        <v>0</v>
      </c>
      <c r="I11">
        <v>0</v>
      </c>
    </row>
    <row r="12" spans="1:11" ht="15" x14ac:dyDescent="0.25">
      <c r="A12" s="506" t="s">
        <v>253</v>
      </c>
      <c r="B12" s="507" t="s">
        <v>756</v>
      </c>
      <c r="C12" s="507" t="s">
        <v>6652</v>
      </c>
      <c r="D12" s="508">
        <f>'Estimated Cost'!G37</f>
        <v>220.31</v>
      </c>
      <c r="E12" s="509">
        <v>101.98</v>
      </c>
      <c r="F12" s="508">
        <v>1</v>
      </c>
      <c r="G12" s="508">
        <f>Simulator!D14</f>
        <v>0</v>
      </c>
      <c r="H12" s="508">
        <f>G12*'Estimated Cost'!F37</f>
        <v>0</v>
      </c>
      <c r="I12">
        <v>101.98</v>
      </c>
    </row>
    <row r="13" spans="1:11" ht="15" x14ac:dyDescent="0.25">
      <c r="A13" s="506" t="s">
        <v>1619</v>
      </c>
      <c r="B13" s="507" t="s">
        <v>1620</v>
      </c>
      <c r="C13" s="507" t="s">
        <v>6652</v>
      </c>
      <c r="D13" s="508">
        <f>'Estimated Cost'!G38</f>
        <v>1.18</v>
      </c>
      <c r="E13" s="510">
        <v>11</v>
      </c>
      <c r="F13" s="511">
        <v>0.18</v>
      </c>
      <c r="G13" s="508">
        <f>Simulator!D15</f>
        <v>0</v>
      </c>
      <c r="H13" s="508">
        <f>G13*'Estimated Cost'!F38</f>
        <v>0</v>
      </c>
      <c r="I13">
        <v>1.98</v>
      </c>
      <c r="K13" s="520"/>
    </row>
    <row r="14" spans="1:11" ht="15" x14ac:dyDescent="0.25">
      <c r="A14" s="507"/>
      <c r="B14" s="507"/>
      <c r="C14" s="507"/>
      <c r="D14" s="512">
        <f>SUM(D2:D13)</f>
        <v>1668.13</v>
      </c>
      <c r="E14" s="507"/>
      <c r="F14" s="507"/>
      <c r="G14" s="507"/>
      <c r="H14" s="512">
        <f>SUM(H2:H13)</f>
        <v>0</v>
      </c>
      <c r="J14" s="508" t="s">
        <v>6659</v>
      </c>
      <c r="K14" s="521">
        <f>D14</f>
        <v>1668.13</v>
      </c>
    </row>
    <row r="15" spans="1:11" ht="15" x14ac:dyDescent="0.25">
      <c r="A15" s="507"/>
      <c r="B15" s="507"/>
      <c r="C15" s="507"/>
      <c r="D15" s="507"/>
      <c r="E15" s="507"/>
      <c r="F15" s="507"/>
      <c r="G15" s="507"/>
      <c r="H15" s="507"/>
      <c r="I15" s="507"/>
      <c r="J15" s="508" t="s">
        <v>6660</v>
      </c>
      <c r="K15" s="521">
        <f>G22</f>
        <v>3076.11</v>
      </c>
    </row>
    <row r="16" spans="1:11" ht="15" x14ac:dyDescent="0.25">
      <c r="A16" s="513" t="s">
        <v>498</v>
      </c>
      <c r="B16" s="513" t="s">
        <v>6653</v>
      </c>
      <c r="C16" s="514" t="s">
        <v>6654</v>
      </c>
      <c r="D16" s="513" t="s">
        <v>6655</v>
      </c>
      <c r="E16" s="513" t="s">
        <v>6656</v>
      </c>
      <c r="F16" s="513" t="s">
        <v>6657</v>
      </c>
      <c r="G16" s="513" t="s">
        <v>6605</v>
      </c>
      <c r="J16" s="508" t="s">
        <v>6661</v>
      </c>
      <c r="K16" s="521">
        <f>D29</f>
        <v>2298.2600000000002</v>
      </c>
    </row>
    <row r="17" spans="1:11" ht="15" x14ac:dyDescent="0.25">
      <c r="A17" s="515" t="s">
        <v>474</v>
      </c>
      <c r="B17" s="519">
        <f>(('Estimated Cost'!C49)-Simulator!K5)*25/Simulator!J5+Simulator!K5</f>
        <v>1.9</v>
      </c>
      <c r="C17" s="519">
        <f>B17</f>
        <v>1.9</v>
      </c>
      <c r="D17" s="516">
        <v>70.36</v>
      </c>
      <c r="E17" s="516">
        <v>5.6</v>
      </c>
      <c r="F17" s="516">
        <v>118.43</v>
      </c>
      <c r="G17" s="511">
        <f>B17*D17+E17*B17+F17*C17</f>
        <v>369.34</v>
      </c>
      <c r="J17" s="508" t="s">
        <v>6662</v>
      </c>
      <c r="K17" s="521">
        <f>G33</f>
        <v>997.99</v>
      </c>
    </row>
    <row r="18" spans="1:11" ht="15" x14ac:dyDescent="0.25">
      <c r="A18" s="515" t="s">
        <v>5</v>
      </c>
      <c r="B18" s="519">
        <f>(('Estimated Cost'!D49)-Simulator!K6)*25/Simulator!J6+Simulator!K6</f>
        <v>4.2</v>
      </c>
      <c r="C18" s="519">
        <f>(('Estimated Cost'!D50)-Simulator!K6)*25/Simulator!J6+Simulator!K6</f>
        <v>4.2</v>
      </c>
      <c r="D18" s="516">
        <v>70.36</v>
      </c>
      <c r="E18" s="516">
        <v>5.6</v>
      </c>
      <c r="F18" s="516">
        <v>135.33000000000001</v>
      </c>
      <c r="G18" s="511">
        <f>B18*D18+E18*B18+F18*C18</f>
        <v>887.42</v>
      </c>
      <c r="H18" s="507"/>
      <c r="I18" s="507"/>
      <c r="J18" s="508"/>
      <c r="K18" s="512">
        <f>SUM(K14:K17)</f>
        <v>8040.49</v>
      </c>
    </row>
    <row r="19" spans="1:11" ht="15" x14ac:dyDescent="0.25">
      <c r="A19" s="515" t="s">
        <v>7</v>
      </c>
      <c r="B19" s="519">
        <f>(('Estimated Cost'!E49)-Simulator!K7)*25/Simulator!J7+Simulator!K7</f>
        <v>2.8</v>
      </c>
      <c r="C19" s="519">
        <f>(('Estimated Cost'!E50-Simulator!K7)*25/Simulator!J7)+Simulator!K7</f>
        <v>2.7</v>
      </c>
      <c r="D19" s="516">
        <v>70.36</v>
      </c>
      <c r="E19" s="516">
        <v>5.6</v>
      </c>
      <c r="F19" s="516">
        <v>68.7</v>
      </c>
      <c r="G19" s="511">
        <f>B19*D19+E19*B19+F19*C19</f>
        <v>398.18</v>
      </c>
      <c r="H19" s="507"/>
      <c r="I19" s="507"/>
    </row>
    <row r="20" spans="1:11" ht="15" x14ac:dyDescent="0.25">
      <c r="A20" s="515" t="s">
        <v>9</v>
      </c>
      <c r="B20" s="519">
        <f>(('Estimated Cost'!F49)-Simulator!K8)*25/Simulator!J8+Simulator!K8</f>
        <v>2.2000000000000002</v>
      </c>
      <c r="C20" s="519">
        <f>(('Estimated Cost'!F50-Simulator!K8)*25/Simulator!J8)+Simulator!K8</f>
        <v>2.2000000000000002</v>
      </c>
      <c r="D20" s="516">
        <v>70.36</v>
      </c>
      <c r="E20" s="516">
        <v>5.6</v>
      </c>
      <c r="F20" s="516">
        <v>104.26</v>
      </c>
      <c r="G20" s="511">
        <f>B20*D20+E20*B20+F20*C20</f>
        <v>396.48</v>
      </c>
      <c r="H20" s="507"/>
      <c r="I20" s="507"/>
    </row>
    <row r="21" spans="1:11" ht="15" x14ac:dyDescent="0.25">
      <c r="A21" s="515" t="s">
        <v>1862</v>
      </c>
      <c r="B21" s="519">
        <v>0</v>
      </c>
      <c r="C21" s="519">
        <f>'Estimated Cost'!K49*25/Simulator!J9</f>
        <v>6.8</v>
      </c>
      <c r="D21" s="516">
        <v>0</v>
      </c>
      <c r="E21" s="516">
        <v>0</v>
      </c>
      <c r="F21" s="516">
        <v>150.69</v>
      </c>
      <c r="G21" s="511">
        <f>B21*D21+E21*B21+F21*C21</f>
        <v>1024.69</v>
      </c>
      <c r="H21" s="507"/>
      <c r="I21" s="507"/>
    </row>
    <row r="22" spans="1:11" ht="15" x14ac:dyDescent="0.25">
      <c r="A22" s="507"/>
      <c r="B22" s="507"/>
      <c r="C22" s="507"/>
      <c r="D22" s="507"/>
      <c r="E22" s="507"/>
      <c r="F22" s="507"/>
      <c r="G22" s="512">
        <f>SUM(G17:G21)</f>
        <v>3076.11</v>
      </c>
      <c r="H22" s="507"/>
      <c r="J22" s="507"/>
      <c r="K22" s="507"/>
    </row>
    <row r="23" spans="1:11" ht="15" x14ac:dyDescent="0.25">
      <c r="A23" s="507"/>
      <c r="B23" s="507"/>
      <c r="C23" s="507"/>
      <c r="D23" s="507"/>
      <c r="E23" s="507"/>
      <c r="F23" s="507"/>
      <c r="G23" s="507"/>
      <c r="H23" s="507"/>
      <c r="I23" s="507"/>
      <c r="J23" s="507"/>
      <c r="K23" s="507"/>
    </row>
    <row r="24" spans="1:11" ht="15" x14ac:dyDescent="0.25">
      <c r="A24" s="505" t="s">
        <v>91</v>
      </c>
      <c r="B24" s="505" t="s">
        <v>6646</v>
      </c>
      <c r="C24" s="505" t="s">
        <v>6647</v>
      </c>
      <c r="D24" s="505" t="s">
        <v>6605</v>
      </c>
      <c r="E24" s="505" t="s">
        <v>6648</v>
      </c>
      <c r="F24" s="505" t="s">
        <v>6649</v>
      </c>
      <c r="G24" s="505" t="s">
        <v>6650</v>
      </c>
      <c r="H24" s="505" t="s">
        <v>6651</v>
      </c>
      <c r="I24" s="507"/>
    </row>
    <row r="25" spans="1:11" ht="15" x14ac:dyDescent="0.25">
      <c r="A25" s="506" t="s">
        <v>2365</v>
      </c>
      <c r="B25" s="507" t="s">
        <v>2366</v>
      </c>
      <c r="C25" s="507" t="s">
        <v>1917</v>
      </c>
      <c r="D25" s="508">
        <f>'Estimated Cost'!R24*Packaging!$C$9</f>
        <v>307.33</v>
      </c>
      <c r="E25" s="508">
        <v>36.200000000000003</v>
      </c>
      <c r="F25" s="508">
        <v>0.37</v>
      </c>
      <c r="G25" s="508">
        <f>Simulator!D21</f>
        <v>0</v>
      </c>
      <c r="H25" s="508">
        <f>G25*'Estimated Cost'!Q24</f>
        <v>0</v>
      </c>
      <c r="I25" s="507">
        <v>13.39</v>
      </c>
    </row>
    <row r="26" spans="1:11" ht="15" x14ac:dyDescent="0.25">
      <c r="A26" s="507" t="s">
        <v>354</v>
      </c>
      <c r="B26" s="507" t="s">
        <v>2211</v>
      </c>
      <c r="C26" s="507" t="s">
        <v>1917</v>
      </c>
      <c r="D26" s="508">
        <f>'Estimated Cost'!R25*Packaging!$C$9</f>
        <v>293.95999999999998</v>
      </c>
      <c r="E26" s="508">
        <v>389.4</v>
      </c>
      <c r="F26" s="508">
        <v>0.16</v>
      </c>
      <c r="G26" s="508">
        <f>Simulator!D22</f>
        <v>0</v>
      </c>
      <c r="H26" s="508">
        <f>G26*'Estimated Cost'!Q25</f>
        <v>0</v>
      </c>
      <c r="I26" s="507">
        <v>62.3</v>
      </c>
    </row>
    <row r="27" spans="1:11" ht="15" x14ac:dyDescent="0.25">
      <c r="A27" s="506" t="s">
        <v>4524</v>
      </c>
      <c r="B27" s="507" t="s">
        <v>4525</v>
      </c>
      <c r="C27" s="507" t="s">
        <v>1921</v>
      </c>
      <c r="D27" s="508">
        <f>'Estimated Cost'!R26*Packaging!$C$9</f>
        <v>1670.25</v>
      </c>
      <c r="E27" s="511">
        <v>4322</v>
      </c>
      <c r="F27" s="511">
        <v>1</v>
      </c>
      <c r="G27" s="508">
        <f>Simulator!D23</f>
        <v>0</v>
      </c>
      <c r="H27" s="508">
        <f>G27*'Estimated Cost'!Q26</f>
        <v>0</v>
      </c>
      <c r="I27" s="507">
        <v>4322</v>
      </c>
    </row>
    <row r="28" spans="1:11" ht="15" x14ac:dyDescent="0.25">
      <c r="A28" s="506" t="s">
        <v>395</v>
      </c>
      <c r="B28" s="507" t="s">
        <v>2383</v>
      </c>
      <c r="C28" s="507" t="s">
        <v>1921</v>
      </c>
      <c r="D28" s="508">
        <f>'Estimated Cost'!R27*Packaging!$C$9</f>
        <v>26.72</v>
      </c>
      <c r="E28" s="508">
        <v>325</v>
      </c>
      <c r="F28" s="508">
        <v>0.13</v>
      </c>
      <c r="G28" s="508">
        <f>Simulator!D24</f>
        <v>0</v>
      </c>
      <c r="H28" s="508">
        <f>G28*'Estimated Cost'!Q27</f>
        <v>0</v>
      </c>
      <c r="I28" s="507">
        <v>42.25</v>
      </c>
    </row>
    <row r="29" spans="1:11" ht="15" x14ac:dyDescent="0.25">
      <c r="A29" s="507"/>
      <c r="B29" s="507"/>
      <c r="C29" s="507"/>
      <c r="D29" s="517">
        <f>SUM(D25:D28)</f>
        <v>2298.2600000000002</v>
      </c>
      <c r="E29" s="507"/>
      <c r="F29" s="507"/>
      <c r="G29" s="507"/>
      <c r="H29" s="512">
        <f>SUM(H25:H28)</f>
        <v>0</v>
      </c>
      <c r="I29" s="507"/>
    </row>
    <row r="30" spans="1:11" ht="15" x14ac:dyDescent="0.25">
      <c r="A30" s="507"/>
      <c r="B30" s="507"/>
      <c r="C30" s="507"/>
      <c r="D30" s="507"/>
      <c r="E30" s="507"/>
      <c r="F30" s="507"/>
      <c r="G30" s="507"/>
      <c r="H30" s="507"/>
      <c r="I30" s="507"/>
      <c r="J30" s="507"/>
      <c r="K30" s="507"/>
    </row>
    <row r="31" spans="1:11" ht="15" x14ac:dyDescent="0.25">
      <c r="A31" s="513" t="s">
        <v>498</v>
      </c>
      <c r="B31" s="513" t="s">
        <v>6653</v>
      </c>
      <c r="C31" s="513" t="s">
        <v>6654</v>
      </c>
      <c r="D31" s="513" t="s">
        <v>6655</v>
      </c>
      <c r="E31" s="513" t="s">
        <v>6656</v>
      </c>
      <c r="F31" s="513" t="s">
        <v>6657</v>
      </c>
      <c r="G31" s="513" t="s">
        <v>6605</v>
      </c>
    </row>
    <row r="32" spans="1:11" ht="15" x14ac:dyDescent="0.25">
      <c r="A32" s="507" t="s">
        <v>473</v>
      </c>
      <c r="B32" s="519">
        <f>(Packaging!C37*Packaging!C9/1000-2*Simulator!K21)*25/Simulator!J21+2*Simulator!K21</f>
        <v>4.5999999999999996</v>
      </c>
      <c r="C32" s="519">
        <f>(Packaging!C36*Packaging!C9/1000-Simulator!K21)*25/Simulator!J21+Simulator!K21</f>
        <v>2.2999999999999998</v>
      </c>
      <c r="D32" s="516">
        <v>70.36</v>
      </c>
      <c r="E32" s="516">
        <v>5.6</v>
      </c>
      <c r="F32" s="516">
        <v>281.99</v>
      </c>
      <c r="G32" s="511">
        <f>B32*D32+E32*B32+F32*C32</f>
        <v>997.99</v>
      </c>
    </row>
    <row r="33" spans="1:11" ht="15" x14ac:dyDescent="0.25">
      <c r="A33" s="507"/>
      <c r="B33" s="507"/>
      <c r="C33" s="507"/>
      <c r="D33" s="507"/>
      <c r="E33" s="507"/>
      <c r="F33" s="507"/>
      <c r="G33" s="512">
        <f>SUM(G32)</f>
        <v>997.99</v>
      </c>
      <c r="H33" s="507"/>
      <c r="J33" s="507"/>
      <c r="K33" s="507"/>
    </row>
    <row r="34" spans="1:11" ht="15" x14ac:dyDescent="0.25">
      <c r="A34" s="507"/>
      <c r="B34" s="507"/>
      <c r="C34" s="507"/>
      <c r="D34" s="507"/>
      <c r="E34" s="507"/>
      <c r="F34" s="507"/>
      <c r="G34" s="518"/>
      <c r="H34" s="507"/>
      <c r="I34" s="507"/>
      <c r="J34" s="507"/>
      <c r="K34" s="507"/>
    </row>
    <row r="35" spans="1:11" ht="15" x14ac:dyDescent="0.25">
      <c r="A35" s="507"/>
      <c r="B35" s="507"/>
      <c r="C35" s="507"/>
      <c r="D35" s="507"/>
      <c r="E35" s="507"/>
      <c r="F35" s="507"/>
      <c r="G35" s="507"/>
      <c r="I35" s="507"/>
      <c r="J35" s="507"/>
      <c r="K35" s="507"/>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2:S58"/>
  <sheetViews>
    <sheetView workbookViewId="0">
      <selection activeCell="I33" sqref="I33"/>
    </sheetView>
  </sheetViews>
  <sheetFormatPr defaultRowHeight="12.75" x14ac:dyDescent="0.2"/>
  <cols>
    <col min="1" max="1" width="9.140625" customWidth="1"/>
    <col min="2" max="2" width="10.140625" customWidth="1"/>
    <col min="4" max="4" width="16.140625" bestFit="1" customWidth="1"/>
    <col min="6" max="6" width="24.5703125" customWidth="1"/>
    <col min="7" max="7" width="18.85546875" customWidth="1"/>
    <col min="8" max="8" width="21.42578125" customWidth="1"/>
    <col min="9" max="9" width="19.5703125" customWidth="1"/>
    <col min="10" max="10" width="21" bestFit="1" customWidth="1"/>
    <col min="11" max="11" width="20.140625" customWidth="1"/>
    <col min="12" max="12" width="18.7109375" customWidth="1"/>
    <col min="13" max="13" width="12.42578125" customWidth="1"/>
    <col min="14" max="14" width="14.5703125" customWidth="1"/>
    <col min="15" max="15" width="10.42578125" customWidth="1"/>
    <col min="17" max="17" width="15.42578125" bestFit="1" customWidth="1"/>
    <col min="18" max="18" width="10.28515625" bestFit="1" customWidth="1"/>
  </cols>
  <sheetData>
    <row r="2" spans="1:19" x14ac:dyDescent="0.2">
      <c r="B2" s="358" t="s">
        <v>6646</v>
      </c>
      <c r="C2" s="358"/>
      <c r="J2" s="358" t="s">
        <v>6667</v>
      </c>
    </row>
    <row r="4" spans="1:19" x14ac:dyDescent="0.2">
      <c r="A4" s="526" t="s">
        <v>6719</v>
      </c>
      <c r="B4" s="524" t="s">
        <v>6673</v>
      </c>
      <c r="C4" s="524" t="s">
        <v>6663</v>
      </c>
      <c r="D4" s="524" t="s">
        <v>6648</v>
      </c>
      <c r="E4" s="524" t="s">
        <v>91</v>
      </c>
      <c r="F4" s="524" t="s">
        <v>19</v>
      </c>
      <c r="G4" s="524" t="s">
        <v>6664</v>
      </c>
      <c r="H4" s="524" t="s">
        <v>6605</v>
      </c>
      <c r="J4" s="526" t="s">
        <v>6658</v>
      </c>
      <c r="K4" s="526" t="s">
        <v>6716</v>
      </c>
      <c r="L4" s="526" t="s">
        <v>498</v>
      </c>
      <c r="M4" s="526" t="s">
        <v>6653</v>
      </c>
      <c r="N4" s="526" t="s">
        <v>6654</v>
      </c>
      <c r="O4" s="526" t="s">
        <v>6605</v>
      </c>
      <c r="Q4" s="526" t="s">
        <v>6699</v>
      </c>
      <c r="R4" s="526" t="s">
        <v>6700</v>
      </c>
    </row>
    <row r="5" spans="1:19" x14ac:dyDescent="0.2">
      <c r="A5" s="528">
        <v>0</v>
      </c>
      <c r="B5" s="557">
        <f>G5*$R$12</f>
        <v>64.8</v>
      </c>
      <c r="C5" s="558">
        <f>G5*$R$13</f>
        <v>64.8</v>
      </c>
      <c r="D5" s="557">
        <v>0</v>
      </c>
      <c r="E5" s="522" t="str">
        <f>'Estimated Cost'!A24</f>
        <v>007046</v>
      </c>
      <c r="F5" s="522" t="str">
        <f>'Estimated Cost'!B24</f>
        <v>IBUPROFEN BP 40UM (IAT)(HERRON</v>
      </c>
      <c r="G5" s="522">
        <f>'Estimated Cost'!C24</f>
        <v>64.8</v>
      </c>
      <c r="H5" s="523">
        <f>'Estimated Cost'!G24</f>
        <v>1033.56</v>
      </c>
      <c r="I5" s="356" t="s">
        <v>6722</v>
      </c>
      <c r="J5" s="549">
        <f>$R$10</f>
        <v>85</v>
      </c>
      <c r="K5" s="576">
        <f>R16</f>
        <v>0.45</v>
      </c>
      <c r="L5" s="525" t="s">
        <v>474</v>
      </c>
      <c r="M5" s="522">
        <f>'Split Cost'!B17</f>
        <v>1.9</v>
      </c>
      <c r="N5" s="522">
        <f>'Split Cost'!C17</f>
        <v>1.9</v>
      </c>
      <c r="O5" s="523">
        <f>'Split Cost'!G17</f>
        <v>369.34</v>
      </c>
      <c r="Q5" s="545" t="s">
        <v>6681</v>
      </c>
      <c r="R5" s="577">
        <v>2.5000000000000001E-2</v>
      </c>
      <c r="S5" s="358" t="s">
        <v>6709</v>
      </c>
    </row>
    <row r="6" spans="1:19" x14ac:dyDescent="0.2">
      <c r="A6" s="528">
        <v>0</v>
      </c>
      <c r="B6" s="557">
        <f t="shared" ref="B6:B15" si="0">G6*$R$12</f>
        <v>12.96</v>
      </c>
      <c r="C6" s="558">
        <f t="shared" ref="C6:C15" si="1">G6*$R$13</f>
        <v>12.96</v>
      </c>
      <c r="D6" s="557">
        <v>0</v>
      </c>
      <c r="E6" s="522" t="str">
        <f>'Estimated Cost'!A25</f>
        <v>EPN023</v>
      </c>
      <c r="F6" s="522" t="str">
        <f>'Estimated Cost'!B25</f>
        <v xml:space="preserve">LACTOSE (100 MESH)            </v>
      </c>
      <c r="G6" s="522">
        <f>'Estimated Cost'!C25</f>
        <v>12.96</v>
      </c>
      <c r="H6" s="523">
        <f>'Estimated Cost'!G25</f>
        <v>74.52</v>
      </c>
      <c r="I6" t="b">
        <f>IF(AND(D5&gt;=G5,D6&gt;=G6,D7&gt;=G7,D8&gt;=G8,D9&gt;=G9,D10&gt;=G10,D11&gt;=G11,D12&gt;=G12,D13&gt;=G13,D14&gt;=G14,D15&gt;=G15, D21&gt;=G21,D22&gt;=G22,D23&gt;=G23,D24&gt;=G24),TRUE,FALSE)</f>
        <v>0</v>
      </c>
      <c r="J6" s="549">
        <f>$R$10</f>
        <v>85</v>
      </c>
      <c r="K6" s="576">
        <f>R17</f>
        <v>1.6</v>
      </c>
      <c r="L6" s="525" t="s">
        <v>5</v>
      </c>
      <c r="M6" s="522">
        <f>'Split Cost'!B18</f>
        <v>4.2</v>
      </c>
      <c r="N6" s="522">
        <f>'Split Cost'!C18</f>
        <v>4.2</v>
      </c>
      <c r="O6" s="523">
        <f>'Split Cost'!G18</f>
        <v>887.42</v>
      </c>
      <c r="Q6" s="545" t="s">
        <v>6728</v>
      </c>
      <c r="R6" s="570">
        <v>0.08</v>
      </c>
      <c r="S6" s="358" t="s">
        <v>6709</v>
      </c>
    </row>
    <row r="7" spans="1:19" x14ac:dyDescent="0.2">
      <c r="A7" s="528">
        <v>0</v>
      </c>
      <c r="B7" s="557">
        <f t="shared" si="0"/>
        <v>2.1059999999999999</v>
      </c>
      <c r="C7" s="558">
        <f t="shared" si="1"/>
        <v>2.1059999999999999</v>
      </c>
      <c r="D7" s="557">
        <v>0</v>
      </c>
      <c r="E7" s="522" t="str">
        <f>'Estimated Cost'!A26</f>
        <v>EPN152</v>
      </c>
      <c r="F7" s="522" t="str">
        <f>'Estimated Cost'!B26</f>
        <v xml:space="preserve">POVIDONE (K29-32)             </v>
      </c>
      <c r="G7" s="522">
        <f>'Estimated Cost'!C26</f>
        <v>2.1059999999999999</v>
      </c>
      <c r="H7" s="523">
        <f>'Estimated Cost'!G26</f>
        <v>66.13</v>
      </c>
      <c r="J7" s="549">
        <f>$R$10</f>
        <v>85</v>
      </c>
      <c r="K7" s="576">
        <f>R18</f>
        <v>1.6</v>
      </c>
      <c r="L7" s="525" t="s">
        <v>7</v>
      </c>
      <c r="M7" s="522">
        <f>'Split Cost'!B19</f>
        <v>2.8</v>
      </c>
      <c r="N7" s="522">
        <f>'Split Cost'!C19</f>
        <v>2.7</v>
      </c>
      <c r="O7" s="523">
        <f>'Split Cost'!G19</f>
        <v>398.18</v>
      </c>
      <c r="Q7" s="545" t="s">
        <v>6701</v>
      </c>
      <c r="R7" s="546">
        <v>10</v>
      </c>
      <c r="S7" t="s">
        <v>6709</v>
      </c>
    </row>
    <row r="8" spans="1:19" x14ac:dyDescent="0.2">
      <c r="A8" s="528">
        <v>0</v>
      </c>
      <c r="B8" s="557">
        <f t="shared" si="0"/>
        <v>3.24</v>
      </c>
      <c r="C8" s="558">
        <f t="shared" si="1"/>
        <v>3.24</v>
      </c>
      <c r="D8" s="557">
        <v>0</v>
      </c>
      <c r="E8" s="522" t="str">
        <f>'Estimated Cost'!A27</f>
        <v>EPN030</v>
      </c>
      <c r="F8" s="522" t="str">
        <f>'Estimated Cost'!B27</f>
        <v xml:space="preserve">STARCH MAIZE                  </v>
      </c>
      <c r="G8" s="522">
        <f>'Estimated Cost'!C27</f>
        <v>3.24</v>
      </c>
      <c r="H8" s="523">
        <f>'Estimated Cost'!G27</f>
        <v>5.09</v>
      </c>
      <c r="J8" s="549">
        <f>$R$10</f>
        <v>85</v>
      </c>
      <c r="K8" s="576">
        <f>R19</f>
        <v>1.3</v>
      </c>
      <c r="L8" s="525" t="s">
        <v>9</v>
      </c>
      <c r="M8" s="522">
        <f>'Split Cost'!B20</f>
        <v>2.2000000000000002</v>
      </c>
      <c r="N8" s="522">
        <f>'Split Cost'!C20</f>
        <v>2.2000000000000002</v>
      </c>
      <c r="O8" s="523">
        <f>'Split Cost'!G20</f>
        <v>396.48</v>
      </c>
      <c r="Q8" s="547" t="s">
        <v>6702</v>
      </c>
      <c r="R8" s="546">
        <v>5</v>
      </c>
      <c r="S8" s="358" t="s">
        <v>6709</v>
      </c>
    </row>
    <row r="9" spans="1:19" x14ac:dyDescent="0.2">
      <c r="A9" s="528">
        <v>0</v>
      </c>
      <c r="B9" s="557">
        <f t="shared" si="0"/>
        <v>3.5670000000000002</v>
      </c>
      <c r="C9" s="558">
        <f t="shared" si="1"/>
        <v>3.5670000000000002</v>
      </c>
      <c r="D9" s="557">
        <v>0</v>
      </c>
      <c r="E9" s="522" t="str">
        <f>'Estimated Cost'!A28</f>
        <v>SLH002</v>
      </c>
      <c r="F9" s="522" t="str">
        <f>'Estimated Cost'!B28</f>
        <v xml:space="preserve">ETHANOL (DENATURED)           </v>
      </c>
      <c r="G9" s="522">
        <f>'Estimated Cost'!C28</f>
        <v>3.5670000000000002</v>
      </c>
      <c r="H9" s="523">
        <f>'Estimated Cost'!G28</f>
        <v>7.99</v>
      </c>
      <c r="J9" s="549">
        <f>$R$10</f>
        <v>85</v>
      </c>
      <c r="K9" s="576">
        <v>0</v>
      </c>
      <c r="L9" s="525" t="s">
        <v>6665</v>
      </c>
      <c r="M9" s="522">
        <f>'Split Cost'!B21</f>
        <v>0</v>
      </c>
      <c r="N9" s="522">
        <f>'Split Cost'!C21</f>
        <v>6.8</v>
      </c>
      <c r="O9" s="523">
        <f>'Split Cost'!G21</f>
        <v>1024.69</v>
      </c>
      <c r="Q9" s="547" t="s">
        <v>6703</v>
      </c>
      <c r="R9" s="546">
        <v>10</v>
      </c>
      <c r="S9" s="358" t="s">
        <v>6709</v>
      </c>
    </row>
    <row r="10" spans="1:19" x14ac:dyDescent="0.2">
      <c r="A10" s="528">
        <v>0</v>
      </c>
      <c r="B10" s="557">
        <f t="shared" si="0"/>
        <v>0.32400000000000001</v>
      </c>
      <c r="C10" s="558">
        <f t="shared" si="1"/>
        <v>0.32400000000000001</v>
      </c>
      <c r="D10" s="557">
        <v>0</v>
      </c>
      <c r="E10" s="522" t="str">
        <f>'Estimated Cost'!A29</f>
        <v>EPH001</v>
      </c>
      <c r="F10" s="522" t="str">
        <f>'Estimated Cost'!B29</f>
        <v xml:space="preserve">SILICON DIOXIDE (AEROSIL)     </v>
      </c>
      <c r="G10" s="522">
        <f>'Estimated Cost'!C29</f>
        <v>0.32400000000000001</v>
      </c>
      <c r="H10" s="523">
        <f>'Estimated Cost'!G29</f>
        <v>6.03</v>
      </c>
      <c r="M10" s="522">
        <f>SUM(M5:M9)</f>
        <v>11.1</v>
      </c>
      <c r="N10" s="522">
        <f>SUM(N5:N9)</f>
        <v>17.8</v>
      </c>
      <c r="O10" s="527">
        <f>SUM(O5:O9)</f>
        <v>3076.11</v>
      </c>
      <c r="Q10" s="547" t="s">
        <v>6704</v>
      </c>
      <c r="R10" s="546">
        <v>85</v>
      </c>
      <c r="S10" s="358" t="s">
        <v>6709</v>
      </c>
    </row>
    <row r="11" spans="1:19" x14ac:dyDescent="0.2">
      <c r="A11" s="528">
        <v>0</v>
      </c>
      <c r="B11" s="557">
        <f t="shared" si="0"/>
        <v>14.256</v>
      </c>
      <c r="C11" s="558">
        <f t="shared" si="1"/>
        <v>14.256</v>
      </c>
      <c r="D11" s="557">
        <v>0</v>
      </c>
      <c r="E11" s="522" t="str">
        <f>'Estimated Cost'!A30</f>
        <v>EPN002</v>
      </c>
      <c r="F11" s="522" t="str">
        <f>'Estimated Cost'!B30</f>
        <v>CELLULOSE MICROCRYST'INE PH102</v>
      </c>
      <c r="G11" s="522">
        <f>'Estimated Cost'!C30</f>
        <v>14.256</v>
      </c>
      <c r="H11" s="523">
        <f>'Estimated Cost'!G30</f>
        <v>136.57</v>
      </c>
      <c r="Q11" s="547" t="s">
        <v>6675</v>
      </c>
      <c r="R11" s="546">
        <v>99</v>
      </c>
      <c r="S11" s="358" t="s">
        <v>6709</v>
      </c>
    </row>
    <row r="12" spans="1:19" x14ac:dyDescent="0.2">
      <c r="A12" s="528">
        <v>0</v>
      </c>
      <c r="B12" s="557">
        <f t="shared" si="0"/>
        <v>4.8600000000000003</v>
      </c>
      <c r="C12" s="558">
        <f t="shared" si="1"/>
        <v>4.8600000000000003</v>
      </c>
      <c r="D12" s="557">
        <v>0</v>
      </c>
      <c r="E12" s="522" t="str">
        <f>'Estimated Cost'!A31</f>
        <v>EPN045</v>
      </c>
      <c r="F12" s="522" t="str">
        <f>'Estimated Cost'!B31</f>
        <v xml:space="preserve">SODIUM STARCH GLYCOLLATE      </v>
      </c>
      <c r="G12" s="522">
        <f>'Estimated Cost'!C31</f>
        <v>4.8600000000000003</v>
      </c>
      <c r="H12" s="523">
        <f>'Estimated Cost'!G31</f>
        <v>92.34</v>
      </c>
      <c r="I12" s="578"/>
      <c r="Q12" s="547" t="s">
        <v>6705</v>
      </c>
      <c r="R12" s="570">
        <v>1</v>
      </c>
      <c r="S12" s="358" t="s">
        <v>6709</v>
      </c>
    </row>
    <row r="13" spans="1:19" x14ac:dyDescent="0.2">
      <c r="A13" s="528">
        <v>0</v>
      </c>
      <c r="B13" s="557">
        <f t="shared" si="0"/>
        <v>1.1339999999999999</v>
      </c>
      <c r="C13" s="558">
        <f t="shared" si="1"/>
        <v>1.1339999999999999</v>
      </c>
      <c r="D13" s="557">
        <v>0</v>
      </c>
      <c r="E13" s="522" t="str">
        <f>'Estimated Cost'!A32</f>
        <v>EPN020</v>
      </c>
      <c r="F13" s="522" t="str">
        <f>'Estimated Cost'!B32</f>
        <v xml:space="preserve">CALCIUM STEARATE              </v>
      </c>
      <c r="G13" s="522">
        <f>'Estimated Cost'!C32</f>
        <v>1.1339999999999999</v>
      </c>
      <c r="H13" s="523">
        <f>'Estimated Cost'!G32</f>
        <v>24.38</v>
      </c>
      <c r="Q13" s="547" t="s">
        <v>6708</v>
      </c>
      <c r="R13" s="570">
        <v>1</v>
      </c>
      <c r="S13" s="358" t="s">
        <v>6709</v>
      </c>
    </row>
    <row r="14" spans="1:19" x14ac:dyDescent="0.2">
      <c r="A14" s="528">
        <v>0</v>
      </c>
      <c r="B14" s="557">
        <f t="shared" si="0"/>
        <v>3.5379999999999998</v>
      </c>
      <c r="C14" s="558">
        <f t="shared" si="1"/>
        <v>3.5379999999999998</v>
      </c>
      <c r="D14" s="557">
        <v>0</v>
      </c>
      <c r="E14" s="522" t="str">
        <f>'Estimated Cost'!A37</f>
        <v>006945</v>
      </c>
      <c r="F14" s="522" t="str">
        <f>'Estimated Cost'!B37</f>
        <v xml:space="preserve">OPADRY OY-LS-58900 WHITE      </v>
      </c>
      <c r="G14" s="522">
        <f>'Estimated Cost'!C37</f>
        <v>3.5379999999999998</v>
      </c>
      <c r="H14" s="523">
        <f>'Estimated Cost'!G37</f>
        <v>220.31</v>
      </c>
      <c r="L14" s="579" t="s">
        <v>6729</v>
      </c>
      <c r="M14" t="b">
        <v>0</v>
      </c>
      <c r="Q14" s="547" t="s">
        <v>6706</v>
      </c>
      <c r="R14" s="570">
        <v>0.5</v>
      </c>
      <c r="S14" s="358" t="s">
        <v>6709</v>
      </c>
    </row>
    <row r="15" spans="1:19" x14ac:dyDescent="0.2">
      <c r="A15" s="528">
        <v>0</v>
      </c>
      <c r="B15" s="557">
        <f t="shared" si="0"/>
        <v>3.2000000000000001E-2</v>
      </c>
      <c r="C15" s="558">
        <f t="shared" si="1"/>
        <v>3.2000000000000001E-2</v>
      </c>
      <c r="D15" s="557">
        <v>0</v>
      </c>
      <c r="E15" s="522" t="str">
        <f>'Estimated Cost'!A38</f>
        <v>J4521</v>
      </c>
      <c r="F15" s="522" t="str">
        <f>'Estimated Cost'!B38</f>
        <v xml:space="preserve">CARNAUBA WAX B.P/E.P          </v>
      </c>
      <c r="G15" s="522">
        <f>'Estimated Cost'!C38</f>
        <v>3.2000000000000001E-2</v>
      </c>
      <c r="H15" s="523">
        <f>'Estimated Cost'!G38</f>
        <v>1.18</v>
      </c>
      <c r="L15" s="579" t="s">
        <v>6730</v>
      </c>
      <c r="M15" t="b">
        <v>0</v>
      </c>
      <c r="Q15" s="547" t="s">
        <v>6686</v>
      </c>
      <c r="R15" s="546">
        <v>324000</v>
      </c>
      <c r="S15" s="358" t="s">
        <v>6709</v>
      </c>
    </row>
    <row r="16" spans="1:19" x14ac:dyDescent="0.2">
      <c r="D16" s="554">
        <f>'Split Cost'!H14</f>
        <v>0</v>
      </c>
      <c r="H16" s="527">
        <f>SUM(H5:H15)</f>
        <v>1668.1</v>
      </c>
      <c r="Q16" s="547" t="s">
        <v>6711</v>
      </c>
      <c r="R16" s="570">
        <v>0.45</v>
      </c>
      <c r="S16" s="358" t="s">
        <v>6709</v>
      </c>
    </row>
    <row r="17" spans="1:19" x14ac:dyDescent="0.2">
      <c r="Q17" s="547" t="s">
        <v>6712</v>
      </c>
      <c r="R17" s="571">
        <v>1.6</v>
      </c>
      <c r="S17" s="358" t="s">
        <v>6709</v>
      </c>
    </row>
    <row r="18" spans="1:19" x14ac:dyDescent="0.2">
      <c r="B18" s="358" t="s">
        <v>6677</v>
      </c>
      <c r="C18" s="358"/>
      <c r="F18" s="579" t="s">
        <v>6729</v>
      </c>
      <c r="G18" s="356" t="b">
        <v>0</v>
      </c>
      <c r="J18" s="358" t="s">
        <v>6668</v>
      </c>
      <c r="Q18" s="547" t="s">
        <v>6713</v>
      </c>
      <c r="R18" s="571">
        <v>1.6</v>
      </c>
      <c r="S18" s="358" t="s">
        <v>6709</v>
      </c>
    </row>
    <row r="19" spans="1:19" x14ac:dyDescent="0.2">
      <c r="Q19" s="547" t="s">
        <v>6714</v>
      </c>
      <c r="R19" s="571">
        <v>1.3</v>
      </c>
      <c r="S19" s="358" t="s">
        <v>6709</v>
      </c>
    </row>
    <row r="20" spans="1:19" x14ac:dyDescent="0.2">
      <c r="A20" s="526" t="s">
        <v>6719</v>
      </c>
      <c r="B20" s="524" t="s">
        <v>6673</v>
      </c>
      <c r="C20" s="524" t="s">
        <v>6663</v>
      </c>
      <c r="D20" s="524" t="s">
        <v>6648</v>
      </c>
      <c r="E20" s="524" t="s">
        <v>91</v>
      </c>
      <c r="F20" s="524" t="s">
        <v>19</v>
      </c>
      <c r="G20" s="524" t="s">
        <v>6664</v>
      </c>
      <c r="H20" s="524" t="s">
        <v>6605</v>
      </c>
      <c r="I20" s="356"/>
      <c r="J20" s="526" t="s">
        <v>6658</v>
      </c>
      <c r="K20" s="526" t="s">
        <v>6716</v>
      </c>
      <c r="L20" s="526" t="s">
        <v>498</v>
      </c>
      <c r="M20" s="526" t="s">
        <v>6653</v>
      </c>
      <c r="N20" s="526" t="s">
        <v>6654</v>
      </c>
      <c r="O20" s="526" t="s">
        <v>6605</v>
      </c>
      <c r="Q20" s="548" t="s">
        <v>6715</v>
      </c>
      <c r="R20" s="572">
        <v>0.5</v>
      </c>
      <c r="S20" s="358" t="s">
        <v>6709</v>
      </c>
    </row>
    <row r="21" spans="1:19" x14ac:dyDescent="0.2">
      <c r="A21" s="528">
        <v>0</v>
      </c>
      <c r="B21" s="522">
        <f>G21*$R$12</f>
        <v>9</v>
      </c>
      <c r="C21" s="539">
        <f>G21*$R$13</f>
        <v>9</v>
      </c>
      <c r="D21" s="557">
        <v>0</v>
      </c>
      <c r="E21" s="522" t="str">
        <f>'Estimated Cost'!K24</f>
        <v>007055</v>
      </c>
      <c r="F21" s="522" t="str">
        <f>'Estimated Cost'!L24</f>
        <v>FOIL 116MM AMC IBUPROFEN 200MG</v>
      </c>
      <c r="G21" s="528">
        <f>'Estimated Cost'!N24*Packaging!C9</f>
        <v>9</v>
      </c>
      <c r="H21" s="522">
        <f>'Split Cost'!D25</f>
        <v>307.33</v>
      </c>
      <c r="J21" s="549">
        <f>$R$10</f>
        <v>85</v>
      </c>
      <c r="K21" s="576">
        <f>$R$20</f>
        <v>0.5</v>
      </c>
      <c r="L21" s="525" t="s">
        <v>6666</v>
      </c>
      <c r="M21" s="522">
        <f>'Split Cost'!B32</f>
        <v>4.5999999999999996</v>
      </c>
      <c r="N21" s="522">
        <f>'Split Cost'!C32</f>
        <v>2.2999999999999998</v>
      </c>
      <c r="O21" s="527">
        <f>'Split Cost'!G32</f>
        <v>997.99</v>
      </c>
    </row>
    <row r="22" spans="1:19" x14ac:dyDescent="0.2">
      <c r="A22" s="528">
        <v>0</v>
      </c>
      <c r="B22" s="522">
        <f>G22*$R$12</f>
        <v>52</v>
      </c>
      <c r="C22" s="539">
        <f>G22*$R$13</f>
        <v>52</v>
      </c>
      <c r="D22" s="557">
        <v>0</v>
      </c>
      <c r="E22" s="522" t="str">
        <f>'Estimated Cost'!K25</f>
        <v>005707</v>
      </c>
      <c r="F22" s="522" t="str">
        <f>'Estimated Cost'!L25</f>
        <v xml:space="preserve">FILM 116MM PVC/PVDC 250UM/40  </v>
      </c>
      <c r="G22" s="528">
        <f>'Estimated Cost'!N25*Packaging!C9</f>
        <v>52</v>
      </c>
      <c r="H22" s="522">
        <f>'Split Cost'!D26</f>
        <v>293.95999999999998</v>
      </c>
    </row>
    <row r="23" spans="1:19" x14ac:dyDescent="0.2">
      <c r="A23" s="528">
        <v>0</v>
      </c>
      <c r="B23" s="522">
        <f>G23*$R$12</f>
        <v>13362</v>
      </c>
      <c r="C23" s="539">
        <f>G23*$R$13</f>
        <v>13362</v>
      </c>
      <c r="D23" s="557">
        <v>0</v>
      </c>
      <c r="E23" s="522" t="str">
        <f>'Estimated Cost'!K26</f>
        <v>013969</v>
      </c>
      <c r="F23" s="522" t="str">
        <f>'Estimated Cost'!L26</f>
        <v>CTN AMC IBUPROFEN TAB 200MG 24</v>
      </c>
      <c r="G23" s="528">
        <f>'Estimated Cost'!N26*Packaging!C9</f>
        <v>13362</v>
      </c>
      <c r="H23" s="522">
        <f>'Split Cost'!D27</f>
        <v>1670.25</v>
      </c>
    </row>
    <row r="24" spans="1:19" x14ac:dyDescent="0.2">
      <c r="A24" s="528">
        <v>0</v>
      </c>
      <c r="B24" s="522">
        <f>G24*$R$12</f>
        <v>25</v>
      </c>
      <c r="C24" s="539">
        <f>G24*$R$13</f>
        <v>25</v>
      </c>
      <c r="D24" s="557">
        <v>0</v>
      </c>
      <c r="E24" s="522" t="str">
        <f>'Estimated Cost'!K27</f>
        <v>007093</v>
      </c>
      <c r="F24" s="522" t="str">
        <f>'Estimated Cost'!L27</f>
        <v xml:space="preserve">OUTER 562X378X236MM           </v>
      </c>
      <c r="G24" s="528">
        <f>'Estimated Cost'!N27*Packaging!C9</f>
        <v>25</v>
      </c>
      <c r="H24" s="522">
        <f>'Split Cost'!D28</f>
        <v>26.72</v>
      </c>
      <c r="K24" s="524" t="s">
        <v>6724</v>
      </c>
      <c r="L24" s="555">
        <v>0</v>
      </c>
    </row>
    <row r="25" spans="1:19" x14ac:dyDescent="0.2">
      <c r="D25" s="289">
        <f>'Split Cost'!H29</f>
        <v>0</v>
      </c>
      <c r="H25" s="527">
        <f>SUM(H21:H24)</f>
        <v>2298.2600000000002</v>
      </c>
      <c r="K25" s="524" t="s">
        <v>6721</v>
      </c>
      <c r="L25" s="580">
        <v>0</v>
      </c>
    </row>
    <row r="27" spans="1:19" x14ac:dyDescent="0.2">
      <c r="F27" s="356"/>
      <c r="Q27" s="556"/>
    </row>
    <row r="28" spans="1:19" x14ac:dyDescent="0.2">
      <c r="D28" s="524" t="s">
        <v>6718</v>
      </c>
      <c r="E28" s="555" t="b">
        <v>0</v>
      </c>
      <c r="Q28" s="556"/>
    </row>
    <row r="29" spans="1:19" x14ac:dyDescent="0.2">
      <c r="D29" s="524" t="s">
        <v>6720</v>
      </c>
      <c r="E29" s="555">
        <v>0</v>
      </c>
      <c r="H29" s="358" t="s">
        <v>6698</v>
      </c>
      <c r="Q29" s="556"/>
    </row>
    <row r="30" spans="1:19" x14ac:dyDescent="0.2">
      <c r="Q30" s="556"/>
    </row>
    <row r="31" spans="1:19" x14ac:dyDescent="0.2">
      <c r="G31" s="531" t="s">
        <v>6674</v>
      </c>
      <c r="H31" s="531" t="s">
        <v>6676</v>
      </c>
      <c r="I31" s="531" t="s">
        <v>6670</v>
      </c>
      <c r="J31" s="531" t="s">
        <v>6669</v>
      </c>
      <c r="K31" s="531" t="s">
        <v>6605</v>
      </c>
    </row>
    <row r="32" spans="1:19" x14ac:dyDescent="0.2">
      <c r="G32" s="632">
        <f>'Graphical Simulator'!I24</f>
        <v>1.5</v>
      </c>
      <c r="H32" s="569">
        <f>'Graphical Simulator'!I23</f>
        <v>300</v>
      </c>
      <c r="I32" s="551">
        <f>H32*30*R14</f>
        <v>4500</v>
      </c>
      <c r="J32" s="549">
        <v>0</v>
      </c>
      <c r="K32" s="550">
        <f>J32*K38</f>
        <v>0</v>
      </c>
    </row>
    <row r="34" spans="1:15" x14ac:dyDescent="0.2">
      <c r="N34" s="358"/>
    </row>
    <row r="35" spans="1:15" x14ac:dyDescent="0.2">
      <c r="J35" s="358"/>
    </row>
    <row r="37" spans="1:15" x14ac:dyDescent="0.2">
      <c r="E37" s="531" t="s">
        <v>6680</v>
      </c>
      <c r="F37" s="531" t="s">
        <v>6731</v>
      </c>
      <c r="G37" s="531" t="s">
        <v>6651</v>
      </c>
      <c r="H37" s="532" t="s">
        <v>6671</v>
      </c>
      <c r="I37" s="531" t="s">
        <v>6678</v>
      </c>
      <c r="J37" s="531" t="s">
        <v>6679</v>
      </c>
      <c r="K37" s="532" t="s">
        <v>6672</v>
      </c>
      <c r="L37" s="532" t="s">
        <v>6717</v>
      </c>
      <c r="M37" s="532" t="s">
        <v>6723</v>
      </c>
      <c r="N37" s="532" t="s">
        <v>6790</v>
      </c>
    </row>
    <row r="38" spans="1:15" ht="23.25" x14ac:dyDescent="0.35">
      <c r="E38" s="533">
        <f>(10-(1000000-H38)/100000)/2</f>
        <v>5</v>
      </c>
      <c r="F38" s="581">
        <v>0</v>
      </c>
      <c r="G38" s="530">
        <f>SUM(D16,D25)</f>
        <v>0</v>
      </c>
      <c r="H38" s="530">
        <v>1000000</v>
      </c>
      <c r="I38" s="530">
        <f>K32</f>
        <v>0</v>
      </c>
      <c r="J38" s="530">
        <f>SUM(H16,O10,O21,H25)</f>
        <v>8040</v>
      </c>
      <c r="K38" s="529">
        <f>J38/Packaging!C9*(1-R5/100)</f>
        <v>0.6</v>
      </c>
      <c r="L38" s="553">
        <f>'Graphical Simulator'!L4</f>
        <v>500</v>
      </c>
      <c r="M38" s="553">
        <v>500</v>
      </c>
      <c r="N38" s="617">
        <f>'Graphical Simulator'!L6</f>
        <v>0.05</v>
      </c>
    </row>
    <row r="40" spans="1:15" ht="13.5" thickBot="1" x14ac:dyDescent="0.25">
      <c r="N40" s="616" t="s">
        <v>1898</v>
      </c>
      <c r="O40" s="616" t="s">
        <v>6605</v>
      </c>
    </row>
    <row r="41" spans="1:15" ht="13.5" thickTop="1" x14ac:dyDescent="0.2">
      <c r="A41" s="358" t="s">
        <v>6697</v>
      </c>
      <c r="C41" s="714" t="s">
        <v>6697</v>
      </c>
      <c r="D41" s="715"/>
      <c r="E41" s="716"/>
      <c r="F41" s="534"/>
      <c r="G41" s="534"/>
      <c r="H41" s="534"/>
      <c r="I41" s="534"/>
      <c r="J41" s="534"/>
      <c r="K41" s="559"/>
      <c r="L41" s="564"/>
      <c r="N41" s="616" t="s">
        <v>6646</v>
      </c>
      <c r="O41" s="624">
        <f>H16</f>
        <v>1668</v>
      </c>
    </row>
    <row r="42" spans="1:15" x14ac:dyDescent="0.2">
      <c r="A42" s="358" t="s">
        <v>6768</v>
      </c>
      <c r="C42" s="717"/>
      <c r="D42" s="718"/>
      <c r="E42" s="719"/>
      <c r="F42" s="536"/>
      <c r="G42" s="536"/>
      <c r="H42" s="537"/>
      <c r="I42" s="538"/>
      <c r="J42" s="535"/>
      <c r="K42" s="560"/>
      <c r="L42" s="565"/>
      <c r="N42" s="616" t="s">
        <v>4</v>
      </c>
      <c r="O42" s="624">
        <f>O5</f>
        <v>369</v>
      </c>
    </row>
    <row r="43" spans="1:15" ht="14.25" customHeight="1" x14ac:dyDescent="0.2">
      <c r="A43" s="358" t="s">
        <v>6769</v>
      </c>
      <c r="C43" s="706" t="s">
        <v>6688</v>
      </c>
      <c r="D43" s="708" t="s">
        <v>6727</v>
      </c>
      <c r="E43" s="711"/>
      <c r="F43" s="541">
        <v>0.8</v>
      </c>
      <c r="G43" s="541">
        <v>0.4</v>
      </c>
      <c r="H43" s="541">
        <v>0.2</v>
      </c>
      <c r="I43" s="541">
        <v>0.1</v>
      </c>
      <c r="J43" s="541">
        <v>0.05</v>
      </c>
      <c r="K43" s="561">
        <v>2.5000000000000001E-2</v>
      </c>
      <c r="L43" s="567">
        <v>2.5000000000000001E-2</v>
      </c>
      <c r="M43" s="287"/>
      <c r="N43" s="616" t="s">
        <v>5</v>
      </c>
      <c r="O43" s="624">
        <f>O6</f>
        <v>887</v>
      </c>
    </row>
    <row r="44" spans="1:15" ht="26.25" customHeight="1" x14ac:dyDescent="0.2">
      <c r="A44" s="358" t="s">
        <v>6770</v>
      </c>
      <c r="C44" s="707"/>
      <c r="D44" s="708" t="s">
        <v>6726</v>
      </c>
      <c r="E44" s="711"/>
      <c r="F44" s="541">
        <v>10</v>
      </c>
      <c r="G44" s="541">
        <v>8</v>
      </c>
      <c r="H44" s="573">
        <v>5</v>
      </c>
      <c r="I44" s="573">
        <v>1</v>
      </c>
      <c r="J44" s="541">
        <v>0.33</v>
      </c>
      <c r="K44" s="561">
        <v>0.08</v>
      </c>
      <c r="L44" s="567">
        <v>0.08</v>
      </c>
      <c r="M44" s="287"/>
      <c r="N44" s="616" t="s">
        <v>7</v>
      </c>
      <c r="O44" s="624">
        <f>O7</f>
        <v>398</v>
      </c>
    </row>
    <row r="45" spans="1:15" ht="12.75" customHeight="1" x14ac:dyDescent="0.2">
      <c r="A45" s="358" t="s">
        <v>6771</v>
      </c>
      <c r="C45" s="706" t="s">
        <v>6682</v>
      </c>
      <c r="D45" s="708" t="s">
        <v>6689</v>
      </c>
      <c r="E45" s="711"/>
      <c r="F45" s="541">
        <v>60</v>
      </c>
      <c r="G45" s="541">
        <v>50</v>
      </c>
      <c r="H45" s="541">
        <v>40</v>
      </c>
      <c r="I45" s="541">
        <v>30</v>
      </c>
      <c r="J45" s="541">
        <v>20</v>
      </c>
      <c r="K45" s="561">
        <v>10</v>
      </c>
      <c r="L45" s="567">
        <v>10</v>
      </c>
      <c r="N45" s="616" t="s">
        <v>9</v>
      </c>
      <c r="O45" s="624">
        <f>O8</f>
        <v>396</v>
      </c>
    </row>
    <row r="46" spans="1:15" x14ac:dyDescent="0.2">
      <c r="A46" s="358" t="s">
        <v>6772</v>
      </c>
      <c r="C46" s="720"/>
      <c r="D46" s="708" t="s">
        <v>6690</v>
      </c>
      <c r="E46" s="711"/>
      <c r="F46" s="541">
        <v>30</v>
      </c>
      <c r="G46" s="541">
        <v>25</v>
      </c>
      <c r="H46" s="541">
        <v>20</v>
      </c>
      <c r="I46" s="541">
        <v>15</v>
      </c>
      <c r="J46" s="541">
        <v>10</v>
      </c>
      <c r="K46" s="561">
        <v>5</v>
      </c>
      <c r="L46" s="567">
        <v>5</v>
      </c>
      <c r="N46" s="616" t="s">
        <v>6665</v>
      </c>
      <c r="O46" s="624">
        <f>O9</f>
        <v>1025</v>
      </c>
    </row>
    <row r="47" spans="1:15" x14ac:dyDescent="0.2">
      <c r="A47" s="358" t="s">
        <v>6773</v>
      </c>
      <c r="C47" s="707"/>
      <c r="D47" s="708" t="s">
        <v>6691</v>
      </c>
      <c r="E47" s="711"/>
      <c r="F47" s="541">
        <v>60</v>
      </c>
      <c r="G47" s="541">
        <v>50</v>
      </c>
      <c r="H47" s="541">
        <v>40</v>
      </c>
      <c r="I47" s="541">
        <v>30</v>
      </c>
      <c r="J47" s="541">
        <v>20</v>
      </c>
      <c r="K47" s="561">
        <v>10</v>
      </c>
      <c r="L47" s="567">
        <v>10</v>
      </c>
      <c r="N47" s="616" t="s">
        <v>6677</v>
      </c>
      <c r="O47" s="624">
        <f>H25</f>
        <v>2298</v>
      </c>
    </row>
    <row r="48" spans="1:15" x14ac:dyDescent="0.2">
      <c r="A48" s="358" t="s">
        <v>6774</v>
      </c>
      <c r="C48" s="706" t="s">
        <v>6683</v>
      </c>
      <c r="D48" s="708" t="s">
        <v>6692</v>
      </c>
      <c r="E48" s="711"/>
      <c r="F48" s="541">
        <v>25</v>
      </c>
      <c r="G48" s="541">
        <v>40</v>
      </c>
      <c r="H48" s="541">
        <v>50</v>
      </c>
      <c r="I48" s="541">
        <v>60</v>
      </c>
      <c r="J48" s="541">
        <v>75</v>
      </c>
      <c r="K48" s="561">
        <v>85</v>
      </c>
      <c r="L48" s="567">
        <v>85</v>
      </c>
      <c r="N48" s="616" t="s">
        <v>6666</v>
      </c>
      <c r="O48" s="624">
        <f>O21</f>
        <v>998</v>
      </c>
    </row>
    <row r="49" spans="1:12" x14ac:dyDescent="0.2">
      <c r="C49" s="720"/>
      <c r="D49" s="708" t="s">
        <v>6693</v>
      </c>
      <c r="E49" s="711"/>
      <c r="F49" s="541">
        <v>94</v>
      </c>
      <c r="G49" s="541">
        <v>95</v>
      </c>
      <c r="H49" s="541">
        <v>96</v>
      </c>
      <c r="I49" s="541">
        <v>97</v>
      </c>
      <c r="J49" s="541">
        <v>98</v>
      </c>
      <c r="K49" s="561">
        <v>99</v>
      </c>
      <c r="L49" s="567">
        <v>99</v>
      </c>
    </row>
    <row r="50" spans="1:12" ht="27" customHeight="1" x14ac:dyDescent="0.2">
      <c r="C50" s="720"/>
      <c r="D50" s="708" t="s">
        <v>6694</v>
      </c>
      <c r="E50" s="711"/>
      <c r="F50" s="541">
        <v>6</v>
      </c>
      <c r="G50" s="541">
        <v>5</v>
      </c>
      <c r="H50" s="541">
        <v>4</v>
      </c>
      <c r="I50" s="541">
        <v>3</v>
      </c>
      <c r="J50" s="541">
        <v>2</v>
      </c>
      <c r="K50" s="561">
        <v>1</v>
      </c>
      <c r="L50" s="567">
        <v>1</v>
      </c>
    </row>
    <row r="51" spans="1:12" ht="38.25" customHeight="1" x14ac:dyDescent="0.2">
      <c r="A51" t="s">
        <v>6790</v>
      </c>
      <c r="C51" s="720"/>
      <c r="D51" s="708" t="s">
        <v>6707</v>
      </c>
      <c r="E51" s="711"/>
      <c r="F51" s="541">
        <v>6</v>
      </c>
      <c r="G51" s="541">
        <v>5</v>
      </c>
      <c r="H51" s="541">
        <v>4</v>
      </c>
      <c r="I51" s="541">
        <v>3</v>
      </c>
      <c r="J51" s="541">
        <v>2</v>
      </c>
      <c r="K51" s="561">
        <v>1</v>
      </c>
      <c r="L51" s="567">
        <v>1</v>
      </c>
    </row>
    <row r="52" spans="1:12" ht="39" customHeight="1" x14ac:dyDescent="0.2">
      <c r="A52">
        <v>1E-3</v>
      </c>
      <c r="C52" s="707"/>
      <c r="D52" s="708" t="s">
        <v>6695</v>
      </c>
      <c r="E52" s="711"/>
      <c r="F52" s="541">
        <v>5</v>
      </c>
      <c r="G52" s="541">
        <v>4</v>
      </c>
      <c r="H52" s="541">
        <v>3</v>
      </c>
      <c r="I52" s="541">
        <v>2</v>
      </c>
      <c r="J52" s="541">
        <v>1</v>
      </c>
      <c r="K52" s="561">
        <v>0.5</v>
      </c>
      <c r="L52" s="567">
        <v>0.5</v>
      </c>
    </row>
    <row r="53" spans="1:12" ht="25.5" customHeight="1" x14ac:dyDescent="0.2">
      <c r="A53">
        <v>5.0000000000000001E-3</v>
      </c>
      <c r="C53" s="706" t="s">
        <v>6684</v>
      </c>
      <c r="D53" s="708" t="s">
        <v>6710</v>
      </c>
      <c r="E53" s="711"/>
      <c r="F53" s="552">
        <v>12</v>
      </c>
      <c r="G53" s="552">
        <v>8</v>
      </c>
      <c r="H53" s="552">
        <v>5.3</v>
      </c>
      <c r="I53" s="552">
        <v>3.5</v>
      </c>
      <c r="J53" s="552">
        <v>2.2999999999999998</v>
      </c>
      <c r="K53" s="562">
        <v>1.5</v>
      </c>
      <c r="L53" s="568">
        <v>8</v>
      </c>
    </row>
    <row r="54" spans="1:12" ht="27" customHeight="1" x14ac:dyDescent="0.2">
      <c r="A54">
        <v>0.01</v>
      </c>
      <c r="C54" s="707"/>
      <c r="D54" s="708" t="s">
        <v>6696</v>
      </c>
      <c r="E54" s="711"/>
      <c r="F54" s="573">
        <v>40</v>
      </c>
      <c r="G54" s="573">
        <v>30</v>
      </c>
      <c r="H54" s="573">
        <v>25</v>
      </c>
      <c r="I54" s="573">
        <v>20</v>
      </c>
      <c r="J54" s="573">
        <v>15</v>
      </c>
      <c r="K54" s="574">
        <v>10</v>
      </c>
      <c r="L54" s="575">
        <v>40</v>
      </c>
    </row>
    <row r="55" spans="1:12" ht="13.5" thickBot="1" x14ac:dyDescent="0.25">
      <c r="A55">
        <v>0.05</v>
      </c>
      <c r="C55" s="708" t="s">
        <v>6685</v>
      </c>
      <c r="D55" s="709"/>
      <c r="E55" s="710"/>
      <c r="F55" s="540" t="s">
        <v>6687</v>
      </c>
      <c r="G55" s="542" t="s">
        <v>6687</v>
      </c>
      <c r="H55" s="540" t="s">
        <v>6687</v>
      </c>
      <c r="I55" s="543" t="s">
        <v>6687</v>
      </c>
      <c r="J55" s="544" t="s">
        <v>6687</v>
      </c>
      <c r="K55" s="563" t="s">
        <v>6687</v>
      </c>
      <c r="L55" s="566" t="s">
        <v>6687</v>
      </c>
    </row>
    <row r="56" spans="1:12" ht="12.75" customHeight="1" thickTop="1" x14ac:dyDescent="0.2">
      <c r="A56">
        <v>0.1</v>
      </c>
      <c r="D56" s="712" t="s">
        <v>6725</v>
      </c>
      <c r="E56" s="713"/>
      <c r="F56" s="531">
        <v>0.79</v>
      </c>
      <c r="G56" s="531">
        <v>0.66</v>
      </c>
      <c r="H56" s="531">
        <v>0.61</v>
      </c>
      <c r="I56" s="531">
        <v>0.59</v>
      </c>
      <c r="J56" s="531">
        <v>0.56000000000000005</v>
      </c>
      <c r="K56" s="531">
        <v>0.56999999999999995</v>
      </c>
    </row>
    <row r="57" spans="1:12" x14ac:dyDescent="0.2">
      <c r="A57">
        <v>0.5</v>
      </c>
      <c r="D57" s="712" t="s">
        <v>6732</v>
      </c>
      <c r="E57" s="713" t="s">
        <v>6732</v>
      </c>
      <c r="F57" s="582">
        <v>191700</v>
      </c>
      <c r="G57" s="582">
        <v>231084</v>
      </c>
      <c r="H57" s="582">
        <v>249645</v>
      </c>
      <c r="I57" s="582">
        <v>260442</v>
      </c>
      <c r="J57" s="582">
        <v>269592</v>
      </c>
      <c r="K57" s="582">
        <v>268956</v>
      </c>
    </row>
    <row r="58" spans="1:12" x14ac:dyDescent="0.2">
      <c r="D58" s="712" t="s">
        <v>6734</v>
      </c>
      <c r="E58" s="713" t="s">
        <v>6733</v>
      </c>
      <c r="F58" s="582">
        <v>890857</v>
      </c>
      <c r="G58" s="582">
        <v>1085541</v>
      </c>
      <c r="H58" s="582">
        <v>1158720</v>
      </c>
      <c r="I58" s="582">
        <v>1203105</v>
      </c>
      <c r="J58" s="582">
        <v>1242919</v>
      </c>
      <c r="K58" s="582">
        <v>1262128</v>
      </c>
    </row>
  </sheetData>
  <mergeCells count="21">
    <mergeCell ref="C41:E42"/>
    <mergeCell ref="D51:E51"/>
    <mergeCell ref="D46:E46"/>
    <mergeCell ref="D47:E47"/>
    <mergeCell ref="D48:E48"/>
    <mergeCell ref="D49:E49"/>
    <mergeCell ref="C45:C47"/>
    <mergeCell ref="C48:C52"/>
    <mergeCell ref="C43:C44"/>
    <mergeCell ref="D58:E58"/>
    <mergeCell ref="D50:E50"/>
    <mergeCell ref="D52:E52"/>
    <mergeCell ref="D43:E43"/>
    <mergeCell ref="D45:E45"/>
    <mergeCell ref="D57:E57"/>
    <mergeCell ref="D44:E44"/>
    <mergeCell ref="C53:C54"/>
    <mergeCell ref="C55:E55"/>
    <mergeCell ref="D53:E53"/>
    <mergeCell ref="D54:E54"/>
    <mergeCell ref="D56:E56"/>
  </mergeCells>
  <dataValidations count="12">
    <dataValidation type="list" allowBlank="1" showInputMessage="1" showErrorMessage="1" sqref="L43">
      <formula1>$F$43:$K$43</formula1>
    </dataValidation>
    <dataValidation type="list" allowBlank="1" showInputMessage="1" showErrorMessage="1" sqref="L45">
      <formula1>$F$45:$K$45</formula1>
    </dataValidation>
    <dataValidation type="list" allowBlank="1" showInputMessage="1" showErrorMessage="1" sqref="L46">
      <formula1>$F$46:$K$46</formula1>
    </dataValidation>
    <dataValidation type="list" allowBlank="1" showInputMessage="1" showErrorMessage="1" sqref="L47">
      <formula1>$F$47:$K$47</formula1>
    </dataValidation>
    <dataValidation type="list" allowBlank="1" showInputMessage="1" showErrorMessage="1" sqref="L48">
      <formula1>$F$48:$K$48</formula1>
    </dataValidation>
    <dataValidation type="list" allowBlank="1" showInputMessage="1" showErrorMessage="1" sqref="L49">
      <formula1>$F$49:$K$49</formula1>
    </dataValidation>
    <dataValidation type="list" allowBlank="1" showInputMessage="1" showErrorMessage="1" sqref="L50">
      <formula1>$F$50:$K$50</formula1>
    </dataValidation>
    <dataValidation type="list" allowBlank="1" showInputMessage="1" showErrorMessage="1" sqref="L51">
      <formula1>$F$51:$K$51</formula1>
    </dataValidation>
    <dataValidation type="list" allowBlank="1" showInputMessage="1" showErrorMessage="1" sqref="L52">
      <formula1>$F$52:$K$52</formula1>
    </dataValidation>
    <dataValidation type="list" allowBlank="1" showInputMessage="1" showErrorMessage="1" sqref="L53">
      <formula1>$F$53:$K$53</formula1>
    </dataValidation>
    <dataValidation type="list" allowBlank="1" showInputMessage="1" showErrorMessage="1" sqref="L54">
      <formula1>$F$54:$K$54</formula1>
    </dataValidation>
    <dataValidation type="list" allowBlank="1" showInputMessage="1" showErrorMessage="1" sqref="L44">
      <formula1>$F$44:$K$44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2" r:id="rId4" name="Button 32">
              <controlPr defaultSize="0" print="0" autoFill="0" autoPict="0" macro="[0]!Sheet8.StillOpen">
                <anchor moveWithCells="1" sizeWithCells="1">
                  <from>
                    <xdr:col>5</xdr:col>
                    <xdr:colOff>342900</xdr:colOff>
                    <xdr:row>40</xdr:row>
                    <xdr:rowOff>19050</xdr:rowOff>
                  </from>
                  <to>
                    <xdr:col>5</xdr:col>
                    <xdr:colOff>1200150</xdr:colOff>
                    <xdr:row>41</xdr:row>
                    <xdr:rowOff>152400</xdr:rowOff>
                  </to>
                </anchor>
              </controlPr>
            </control>
          </mc:Choice>
        </mc:AlternateContent>
        <mc:AlternateContent xmlns:mc="http://schemas.openxmlformats.org/markup-compatibility/2006">
          <mc:Choice Requires="x14">
            <control shapeId="10745" r:id="rId5" name="Button 505">
              <controlPr defaultSize="0" print="0" autoFill="0" autoPict="0" macro="[0]!Sheet8.WhatShouldIdo">
                <anchor moveWithCells="1" sizeWithCells="1">
                  <from>
                    <xdr:col>6</xdr:col>
                    <xdr:colOff>114300</xdr:colOff>
                    <xdr:row>40</xdr:row>
                    <xdr:rowOff>19050</xdr:rowOff>
                  </from>
                  <to>
                    <xdr:col>6</xdr:col>
                    <xdr:colOff>1076325</xdr:colOff>
                    <xdr:row>41</xdr:row>
                    <xdr:rowOff>152400</xdr:rowOff>
                  </to>
                </anchor>
              </controlPr>
            </control>
          </mc:Choice>
        </mc:AlternateContent>
        <mc:AlternateContent xmlns:mc="http://schemas.openxmlformats.org/markup-compatibility/2006">
          <mc:Choice Requires="x14">
            <control shapeId="10746" r:id="rId6" name="Button 506">
              <controlPr defaultSize="0" print="0" autoFill="0" autoPict="0" macro="[0]!Sheet8.GettingThere">
                <anchor moveWithCells="1" sizeWithCells="1">
                  <from>
                    <xdr:col>7</xdr:col>
                    <xdr:colOff>257175</xdr:colOff>
                    <xdr:row>40</xdr:row>
                    <xdr:rowOff>19050</xdr:rowOff>
                  </from>
                  <to>
                    <xdr:col>7</xdr:col>
                    <xdr:colOff>1219200</xdr:colOff>
                    <xdr:row>41</xdr:row>
                    <xdr:rowOff>152400</xdr:rowOff>
                  </to>
                </anchor>
              </controlPr>
            </control>
          </mc:Choice>
        </mc:AlternateContent>
        <mc:AlternateContent xmlns:mc="http://schemas.openxmlformats.org/markup-compatibility/2006">
          <mc:Choice Requires="x14">
            <control shapeId="10747" r:id="rId7" name="Button 507">
              <controlPr defaultSize="0" print="0" autoFill="0" autoPict="0" macro="[0]!Sheet8.Excellent">
                <anchor moveWithCells="1" sizeWithCells="1">
                  <from>
                    <xdr:col>8</xdr:col>
                    <xdr:colOff>190500</xdr:colOff>
                    <xdr:row>40</xdr:row>
                    <xdr:rowOff>19050</xdr:rowOff>
                  </from>
                  <to>
                    <xdr:col>8</xdr:col>
                    <xdr:colOff>1152525</xdr:colOff>
                    <xdr:row>41</xdr:row>
                    <xdr:rowOff>152400</xdr:rowOff>
                  </to>
                </anchor>
              </controlPr>
            </control>
          </mc:Choice>
        </mc:AlternateContent>
        <mc:AlternateContent xmlns:mc="http://schemas.openxmlformats.org/markup-compatibility/2006">
          <mc:Choice Requires="x14">
            <control shapeId="10748" r:id="rId8" name="Button 508">
              <controlPr defaultSize="0" print="0" autoFill="0" autoPict="0" macro="[0]!Sheet8.Extraordinary">
                <anchor moveWithCells="1" sizeWithCells="1">
                  <from>
                    <xdr:col>9</xdr:col>
                    <xdr:colOff>247650</xdr:colOff>
                    <xdr:row>40</xdr:row>
                    <xdr:rowOff>19050</xdr:rowOff>
                  </from>
                  <to>
                    <xdr:col>9</xdr:col>
                    <xdr:colOff>1209675</xdr:colOff>
                    <xdr:row>41</xdr:row>
                    <xdr:rowOff>152400</xdr:rowOff>
                  </to>
                </anchor>
              </controlPr>
            </control>
          </mc:Choice>
        </mc:AlternateContent>
        <mc:AlternateContent xmlns:mc="http://schemas.openxmlformats.org/markup-compatibility/2006">
          <mc:Choice Requires="x14">
            <control shapeId="10749" r:id="rId9" name="Button 509">
              <controlPr defaultSize="0" print="0" autoFill="0" autoPict="0" macro="[0]!Sheet8.WorldClass">
                <anchor moveWithCells="1" sizeWithCells="1">
                  <from>
                    <xdr:col>10</xdr:col>
                    <xdr:colOff>200025</xdr:colOff>
                    <xdr:row>40</xdr:row>
                    <xdr:rowOff>9525</xdr:rowOff>
                  </from>
                  <to>
                    <xdr:col>10</xdr:col>
                    <xdr:colOff>1162050</xdr:colOff>
                    <xdr:row>41</xdr:row>
                    <xdr:rowOff>142875</xdr:rowOff>
                  </to>
                </anchor>
              </controlPr>
            </control>
          </mc:Choice>
        </mc:AlternateContent>
        <mc:AlternateContent xmlns:mc="http://schemas.openxmlformats.org/markup-compatibility/2006">
          <mc:Choice Requires="x14">
            <control shapeId="11597" r:id="rId10" name="Button 1357">
              <controlPr defaultSize="0" print="0" autoFill="0" autoPict="0" macro="[0]!Sheet8.TrialFactory">
                <anchor moveWithCells="1" sizeWithCells="1">
                  <from>
                    <xdr:col>11</xdr:col>
                    <xdr:colOff>161925</xdr:colOff>
                    <xdr:row>40</xdr:row>
                    <xdr:rowOff>19050</xdr:rowOff>
                  </from>
                  <to>
                    <xdr:col>11</xdr:col>
                    <xdr:colOff>1123950</xdr:colOff>
                    <xdr:row>41</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46"/>
  <sheetViews>
    <sheetView showGridLines="0" tabSelected="1" zoomScale="90" zoomScaleNormal="90" workbookViewId="0">
      <selection activeCell="L3" sqref="L3"/>
    </sheetView>
  </sheetViews>
  <sheetFormatPr defaultColWidth="0" defaultRowHeight="12.75" zeroHeight="1" x14ac:dyDescent="0.2"/>
  <cols>
    <col min="1" max="1" width="4.85546875" customWidth="1"/>
    <col min="2" max="2" width="26.85546875" customWidth="1"/>
    <col min="3" max="3" width="22.140625" customWidth="1"/>
    <col min="4" max="4" width="4.42578125" customWidth="1"/>
    <col min="5" max="5" width="25" customWidth="1"/>
    <col min="6" max="6" width="19.5703125" bestFit="1" customWidth="1"/>
    <col min="7" max="7" width="4.7109375" customWidth="1"/>
    <col min="8" max="8" width="26.140625" customWidth="1"/>
    <col min="9" max="9" width="22.5703125" customWidth="1"/>
    <col min="10" max="10" width="4.5703125" customWidth="1"/>
    <col min="11" max="11" width="28.140625" customWidth="1"/>
    <col min="12" max="12" width="18" customWidth="1"/>
    <col min="13" max="13" width="9.5703125" customWidth="1"/>
    <col min="14" max="18" width="9.140625" customWidth="1"/>
    <col min="19" max="16384" width="9.140625" hidden="1"/>
  </cols>
  <sheetData>
    <row r="1" spans="2:13" ht="20.100000000000001" customHeight="1" x14ac:dyDescent="0.2"/>
    <row r="2" spans="2:13" ht="20.100000000000001" customHeight="1" thickBot="1" x14ac:dyDescent="0.25"/>
    <row r="3" spans="2:13" ht="20.100000000000001" customHeight="1" thickTop="1" x14ac:dyDescent="0.2">
      <c r="B3" s="591" t="s">
        <v>6737</v>
      </c>
      <c r="C3" s="592"/>
      <c r="E3" s="594" t="s">
        <v>474</v>
      </c>
      <c r="F3" s="595"/>
      <c r="H3" s="594" t="s">
        <v>5</v>
      </c>
      <c r="I3" s="595"/>
      <c r="K3" s="602" t="s">
        <v>6767</v>
      </c>
      <c r="L3" s="618" t="s">
        <v>6773</v>
      </c>
      <c r="M3" s="622" t="s">
        <v>6796</v>
      </c>
    </row>
    <row r="4" spans="2:13" ht="20.100000000000001" customHeight="1" x14ac:dyDescent="0.2">
      <c r="B4" s="586" t="s">
        <v>6735</v>
      </c>
      <c r="C4" s="587" t="str">
        <f>"Equivalent to " &amp; Simulator!R13 &amp; " batches"</f>
        <v>Equivalent to 1 batches</v>
      </c>
      <c r="E4" s="596" t="s">
        <v>6742</v>
      </c>
      <c r="F4" s="597" t="str">
        <f>"$" &amp; SUM('Estimated Cost'!C44:C46) &amp; " per hour"</f>
        <v>$194.39 per hour</v>
      </c>
      <c r="H4" s="596" t="s">
        <v>6742</v>
      </c>
      <c r="I4" s="597" t="str">
        <f>"$" &amp; SUM('Estimated Cost'!D44:D46) &amp; " per hour"</f>
        <v>$211.29 per hour</v>
      </c>
      <c r="K4" s="602" t="s">
        <v>6779</v>
      </c>
      <c r="L4" s="619">
        <v>500</v>
      </c>
      <c r="M4" s="622" t="s">
        <v>6797</v>
      </c>
    </row>
    <row r="5" spans="2:13" ht="20.100000000000001" customHeight="1" x14ac:dyDescent="0.2">
      <c r="B5" s="586" t="s">
        <v>6736</v>
      </c>
      <c r="C5" s="587" t="str">
        <f>"Equivalent to " &amp; Simulator!R12 &amp; " batches"</f>
        <v>Equivalent to 1 batches</v>
      </c>
      <c r="E5" s="596" t="s">
        <v>6744</v>
      </c>
      <c r="F5" s="598" t="str">
        <f>(Simulator!M5 - Simulator!K5) &amp; " hours"</f>
        <v>1.45 hours</v>
      </c>
      <c r="H5" s="596" t="s">
        <v>6744</v>
      </c>
      <c r="I5" s="598" t="str">
        <f>(Simulator!N6-Simulator!K6) &amp; " hours"</f>
        <v>2.6 hours</v>
      </c>
      <c r="K5" s="602" t="s">
        <v>6781</v>
      </c>
      <c r="L5" s="606">
        <f>Simulator!M38</f>
        <v>500</v>
      </c>
      <c r="M5" s="623"/>
    </row>
    <row r="6" spans="2:13" ht="26.25" customHeight="1" x14ac:dyDescent="0.2">
      <c r="B6" s="588" t="s">
        <v>6741</v>
      </c>
      <c r="C6" s="589">
        <f>Simulator!D16</f>
        <v>0</v>
      </c>
      <c r="E6" s="596" t="s">
        <v>6745</v>
      </c>
      <c r="F6" s="599" t="str">
        <f>Simulator!K5 &amp; " hours"</f>
        <v>0.45 hours</v>
      </c>
      <c r="H6" s="596" t="s">
        <v>6745</v>
      </c>
      <c r="I6" s="599" t="str">
        <f>Simulator!K6 &amp; " hours"</f>
        <v>1.6 hours</v>
      </c>
      <c r="K6" s="602" t="s">
        <v>6780</v>
      </c>
      <c r="L6" s="620">
        <v>0.05</v>
      </c>
      <c r="M6" s="622" t="s">
        <v>6798</v>
      </c>
    </row>
    <row r="7" spans="2:13" ht="20.100000000000001" customHeight="1" x14ac:dyDescent="0.2">
      <c r="B7" s="590" t="s">
        <v>6740</v>
      </c>
      <c r="C7" s="589">
        <f>Simulator!H16</f>
        <v>1668.1</v>
      </c>
      <c r="E7" s="596" t="s">
        <v>6747</v>
      </c>
      <c r="F7" s="600" t="str">
        <f>Simulator!J5 &amp;"%"</f>
        <v>85%</v>
      </c>
      <c r="H7" s="596" t="s">
        <v>6747</v>
      </c>
      <c r="I7" s="600" t="str">
        <f>Simulator!J6 &amp; "%"</f>
        <v>85%</v>
      </c>
      <c r="K7" s="603" t="s">
        <v>6778</v>
      </c>
      <c r="L7" s="633">
        <v>2.5000000000000001E-2</v>
      </c>
      <c r="M7" s="615"/>
    </row>
    <row r="8" spans="2:13" ht="20.100000000000001" customHeight="1" x14ac:dyDescent="0.2">
      <c r="B8" s="584" t="s">
        <v>6738</v>
      </c>
      <c r="C8" s="584"/>
      <c r="E8" s="601" t="s">
        <v>6746</v>
      </c>
      <c r="F8" s="597">
        <f>Simulator!O5</f>
        <v>369.34</v>
      </c>
      <c r="H8" s="601" t="s">
        <v>6748</v>
      </c>
      <c r="I8" s="597">
        <f>Simulator!O6</f>
        <v>887.42</v>
      </c>
      <c r="K8" s="604" t="s">
        <v>6726</v>
      </c>
      <c r="L8" s="633">
        <v>0.08</v>
      </c>
      <c r="M8" s="615"/>
    </row>
    <row r="9" spans="2:13" ht="20.100000000000001" customHeight="1" x14ac:dyDescent="0.2">
      <c r="B9" s="584" t="s">
        <v>6739</v>
      </c>
      <c r="C9" s="584"/>
      <c r="E9" s="593" t="s">
        <v>6743</v>
      </c>
      <c r="F9" s="583"/>
      <c r="H9" s="593" t="s">
        <v>6750</v>
      </c>
      <c r="I9" s="583"/>
      <c r="K9" s="604" t="s">
        <v>6689</v>
      </c>
      <c r="L9" s="633">
        <v>10</v>
      </c>
      <c r="M9" s="615"/>
    </row>
    <row r="10" spans="2:13" ht="20.100000000000001" customHeight="1" x14ac:dyDescent="0.2">
      <c r="K10" s="604" t="s">
        <v>6690</v>
      </c>
      <c r="L10" s="633">
        <v>5</v>
      </c>
      <c r="M10" s="615"/>
    </row>
    <row r="11" spans="2:13" ht="20.100000000000001" customHeight="1" x14ac:dyDescent="0.2">
      <c r="K11" s="604" t="s">
        <v>6691</v>
      </c>
      <c r="L11" s="633">
        <v>10</v>
      </c>
      <c r="M11" s="615"/>
    </row>
    <row r="12" spans="2:13" ht="20.100000000000001" customHeight="1" x14ac:dyDescent="0.2">
      <c r="B12" s="594" t="s">
        <v>7</v>
      </c>
      <c r="C12" s="595"/>
      <c r="E12" s="594" t="s">
        <v>9</v>
      </c>
      <c r="F12" s="595"/>
      <c r="H12" s="594" t="s">
        <v>6665</v>
      </c>
      <c r="I12" s="595"/>
      <c r="K12" s="604" t="s">
        <v>6692</v>
      </c>
      <c r="L12" s="633">
        <v>85</v>
      </c>
      <c r="M12" s="615"/>
    </row>
    <row r="13" spans="2:13" ht="20.100000000000001" customHeight="1" x14ac:dyDescent="0.2">
      <c r="B13" s="596" t="s">
        <v>6742</v>
      </c>
      <c r="C13" s="597" t="str">
        <f>"$" &amp; SUM('Estimated Cost'!E44:E46) &amp; " per hour"</f>
        <v>$144.66 per hour</v>
      </c>
      <c r="E13" s="596" t="s">
        <v>6742</v>
      </c>
      <c r="F13" s="597" t="str">
        <f>"$" &amp; SUM('Estimated Cost'!F44:F46) &amp; " per hour"</f>
        <v>$180.22 per hour</v>
      </c>
      <c r="H13" s="596" t="s">
        <v>6742</v>
      </c>
      <c r="I13" s="597" t="str">
        <f>"$" &amp; SUM('Estimated Cost'!K44:K46) &amp; " per hour"</f>
        <v>$150.69 per hour</v>
      </c>
      <c r="K13" s="603" t="s">
        <v>6789</v>
      </c>
      <c r="L13" s="633">
        <v>99</v>
      </c>
      <c r="M13" s="615"/>
    </row>
    <row r="14" spans="2:13" ht="20.100000000000001" customHeight="1" x14ac:dyDescent="0.2">
      <c r="B14" s="596" t="s">
        <v>6744</v>
      </c>
      <c r="C14" s="598" t="str">
        <f>(Simulator!N7-Simulator!K7) &amp; " hours"</f>
        <v>1.1 hours</v>
      </c>
      <c r="E14" s="596" t="s">
        <v>6744</v>
      </c>
      <c r="F14" s="598" t="str">
        <f>Simulator!N8-Simulator!K8 &amp; " hours"</f>
        <v>0.9 hours</v>
      </c>
      <c r="H14" s="596" t="s">
        <v>6744</v>
      </c>
      <c r="I14" s="598" t="str">
        <f>Simulator!N9 &amp; " hours"</f>
        <v>6.8 hours</v>
      </c>
      <c r="K14" s="605" t="s">
        <v>6775</v>
      </c>
      <c r="L14" s="633">
        <v>1</v>
      </c>
      <c r="M14" s="614"/>
    </row>
    <row r="15" spans="2:13" ht="20.100000000000001" customHeight="1" x14ac:dyDescent="0.2">
      <c r="B15" s="596" t="s">
        <v>6745</v>
      </c>
      <c r="C15" s="599" t="str">
        <f>Simulator!K7 &amp; " hours"</f>
        <v>1.6 hours</v>
      </c>
      <c r="E15" s="596" t="s">
        <v>6745</v>
      </c>
      <c r="F15" s="599" t="str">
        <f>Simulator!K8 &amp; " hours"</f>
        <v>1.3 hours</v>
      </c>
      <c r="H15" s="596" t="s">
        <v>6745</v>
      </c>
      <c r="I15" s="599" t="str">
        <f>Simulator!K9 &amp; " hours"</f>
        <v>0 hours</v>
      </c>
      <c r="K15" s="605" t="s">
        <v>6777</v>
      </c>
      <c r="L15" s="633">
        <v>1</v>
      </c>
      <c r="M15" s="614"/>
    </row>
    <row r="16" spans="2:13" ht="20.100000000000001" customHeight="1" x14ac:dyDescent="0.2">
      <c r="B16" s="596" t="s">
        <v>6747</v>
      </c>
      <c r="C16" s="600" t="str">
        <f>Simulator!J7 &amp; "%"</f>
        <v>85%</v>
      </c>
      <c r="E16" s="596" t="s">
        <v>6747</v>
      </c>
      <c r="F16" s="600" t="str">
        <f>Simulator!J8 &amp; "%"</f>
        <v>85%</v>
      </c>
      <c r="H16" s="596" t="s">
        <v>6747</v>
      </c>
      <c r="I16" s="600" t="str">
        <f>Simulator!J9 &amp; "%"</f>
        <v>85%</v>
      </c>
      <c r="K16" s="605" t="s">
        <v>6776</v>
      </c>
      <c r="L16" s="633">
        <v>0.5</v>
      </c>
      <c r="M16" s="614"/>
    </row>
    <row r="17" spans="2:13" ht="20.100000000000001" customHeight="1" x14ac:dyDescent="0.2">
      <c r="B17" s="601" t="s">
        <v>6749</v>
      </c>
      <c r="C17" s="597">
        <f>Simulator!O7</f>
        <v>398.18</v>
      </c>
      <c r="E17" s="601" t="s">
        <v>6754</v>
      </c>
      <c r="F17" s="597">
        <f>Simulator!O8</f>
        <v>396.48</v>
      </c>
      <c r="H17" s="601" t="s">
        <v>6755</v>
      </c>
      <c r="I17" s="597">
        <f>Simulator!O9</f>
        <v>1024.69</v>
      </c>
      <c r="K17" s="605" t="s">
        <v>6686</v>
      </c>
      <c r="L17" s="634">
        <v>1.5</v>
      </c>
      <c r="M17" s="614"/>
    </row>
    <row r="18" spans="2:13" ht="20.100000000000001" customHeight="1" thickBot="1" x14ac:dyDescent="0.25">
      <c r="B18" s="593" t="s">
        <v>6751</v>
      </c>
      <c r="C18" s="583"/>
      <c r="E18" s="593" t="s">
        <v>6752</v>
      </c>
      <c r="F18" s="583"/>
      <c r="H18" s="593" t="s">
        <v>6753</v>
      </c>
      <c r="I18" s="583"/>
      <c r="K18" s="621" t="s">
        <v>6795</v>
      </c>
      <c r="L18" s="635">
        <v>10</v>
      </c>
      <c r="M18" s="614"/>
    </row>
    <row r="19" spans="2:13" ht="20.100000000000001" customHeight="1" thickTop="1" x14ac:dyDescent="0.2">
      <c r="M19" s="622" t="s">
        <v>6799</v>
      </c>
    </row>
    <row r="20" spans="2:13" ht="20.100000000000001" customHeight="1" thickBot="1" x14ac:dyDescent="0.25"/>
    <row r="21" spans="2:13" ht="20.100000000000001" customHeight="1" thickTop="1" x14ac:dyDescent="0.2">
      <c r="B21" s="591" t="s">
        <v>6756</v>
      </c>
      <c r="C21" s="592"/>
      <c r="E21" s="594" t="s">
        <v>6759</v>
      </c>
      <c r="F21" s="595"/>
      <c r="H21" s="591" t="s">
        <v>6762</v>
      </c>
      <c r="I21" s="592"/>
      <c r="K21" s="721" t="s">
        <v>6782</v>
      </c>
      <c r="L21" s="722"/>
    </row>
    <row r="22" spans="2:13" ht="20.100000000000001" customHeight="1" thickBot="1" x14ac:dyDescent="0.25">
      <c r="B22" s="586" t="s">
        <v>6735</v>
      </c>
      <c r="C22" s="587" t="str">
        <f>"Equivalent to " &amp; Simulator!R13 &amp; " batches"</f>
        <v>Equivalent to 1 batches</v>
      </c>
      <c r="E22" s="596" t="s">
        <v>6742</v>
      </c>
      <c r="F22" s="597" t="str">
        <f>"$" &amp; SUM('Estimated Cost'!G44:G46) &amp; " per hour"</f>
        <v>$357.95 per hour</v>
      </c>
      <c r="H22" s="590" t="s">
        <v>6763</v>
      </c>
      <c r="I22" s="628" t="str">
        <f>Simulator!I32 &amp; " units"</f>
        <v>4500 units</v>
      </c>
      <c r="K22" s="607" t="s">
        <v>6783</v>
      </c>
      <c r="L22" s="609">
        <f>Simulator!K38</f>
        <v>0.6</v>
      </c>
    </row>
    <row r="23" spans="2:13" ht="20.100000000000001" customHeight="1" thickTop="1" x14ac:dyDescent="0.2">
      <c r="B23" s="586" t="s">
        <v>6736</v>
      </c>
      <c r="C23" s="587" t="str">
        <f>"Equivalent to " &amp; Simulator!R12 &amp; " batches"</f>
        <v>Equivalent to 1 batches</v>
      </c>
      <c r="E23" s="596" t="s">
        <v>6744</v>
      </c>
      <c r="F23" s="598" t="str">
        <f>(Simulator!N21-Simulator!K21) &amp; " hours"</f>
        <v>1.8 hours</v>
      </c>
      <c r="H23" s="627" t="s">
        <v>6801</v>
      </c>
      <c r="I23" s="630">
        <v>300</v>
      </c>
      <c r="K23" s="607" t="s">
        <v>6785</v>
      </c>
      <c r="L23" s="610">
        <f>Simulator!R15</f>
        <v>324000</v>
      </c>
    </row>
    <row r="24" spans="2:13" ht="26.25" customHeight="1" thickBot="1" x14ac:dyDescent="0.25">
      <c r="B24" s="588" t="s">
        <v>6757</v>
      </c>
      <c r="C24" s="589">
        <f>Simulator!D25</f>
        <v>0</v>
      </c>
      <c r="E24" s="596" t="s">
        <v>6745</v>
      </c>
      <c r="F24" s="599" t="str">
        <f>Simulator!K21 &amp; " hours"</f>
        <v>0.5 hours</v>
      </c>
      <c r="H24" s="627" t="s">
        <v>6802</v>
      </c>
      <c r="I24" s="631">
        <v>1.5</v>
      </c>
      <c r="K24" s="607" t="s">
        <v>6784</v>
      </c>
      <c r="L24" s="610">
        <f>Packaging!C9</f>
        <v>13362</v>
      </c>
    </row>
    <row r="25" spans="2:13" ht="24.75" customHeight="1" thickTop="1" x14ac:dyDescent="0.2">
      <c r="B25" s="588" t="s">
        <v>6758</v>
      </c>
      <c r="C25" s="589">
        <f>Simulator!H25</f>
        <v>2298.2600000000002</v>
      </c>
      <c r="E25" s="596" t="s">
        <v>6747</v>
      </c>
      <c r="F25" s="600" t="str">
        <f>Simulator!J21 &amp; "%"</f>
        <v>85%</v>
      </c>
      <c r="H25" s="590" t="s">
        <v>6764</v>
      </c>
      <c r="I25" s="629">
        <f>Simulator!J32</f>
        <v>0</v>
      </c>
      <c r="K25" s="607" t="s">
        <v>6786</v>
      </c>
      <c r="L25" s="612">
        <f>Simulator!J38</f>
        <v>8040</v>
      </c>
    </row>
    <row r="26" spans="2:13" ht="19.5" customHeight="1" x14ac:dyDescent="0.2">
      <c r="B26" s="584" t="s">
        <v>6738</v>
      </c>
      <c r="C26" s="584"/>
      <c r="E26" s="601" t="s">
        <v>6760</v>
      </c>
      <c r="F26" s="597">
        <f>Simulator!O21</f>
        <v>997.99</v>
      </c>
      <c r="H26" s="625" t="s">
        <v>6800</v>
      </c>
      <c r="I26" s="589">
        <f>Simulator!K32</f>
        <v>0</v>
      </c>
      <c r="K26" s="607" t="s">
        <v>6787</v>
      </c>
      <c r="L26" s="611">
        <f>Simulator!F38</f>
        <v>0</v>
      </c>
    </row>
    <row r="27" spans="2:13" ht="20.100000000000001" customHeight="1" thickBot="1" x14ac:dyDescent="0.25">
      <c r="B27" s="584" t="s">
        <v>6739</v>
      </c>
      <c r="C27" s="584"/>
      <c r="E27" s="593" t="s">
        <v>6761</v>
      </c>
      <c r="F27" s="583"/>
      <c r="H27" s="585" t="s">
        <v>6765</v>
      </c>
      <c r="I27" s="585" t="s">
        <v>6766</v>
      </c>
      <c r="K27" s="608" t="s">
        <v>6788</v>
      </c>
      <c r="L27" s="613">
        <f>Simulator!H38</f>
        <v>1000000</v>
      </c>
    </row>
    <row r="28" spans="2:13" ht="20.100000000000001" customHeight="1" thickTop="1" x14ac:dyDescent="0.2"/>
    <row r="29" spans="2:13" ht="20.100000000000001" customHeight="1" x14ac:dyDescent="0.2"/>
    <row r="30" spans="2:13" x14ac:dyDescent="0.2"/>
    <row r="31" spans="2:13" x14ac:dyDescent="0.2"/>
    <row r="32" spans="2:13"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sheetData>
  <sheetProtection sheet="1" objects="1" scenarios="1" selectLockedCells="1"/>
  <mergeCells count="1">
    <mergeCell ref="K21:L21"/>
  </mergeCells>
  <dataValidations count="1">
    <dataValidation type="whole" allowBlank="1" showInputMessage="1" showErrorMessage="1" sqref="L4">
      <formula1>199</formula1>
      <formula2>5001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10" r:id="rId4" name="Button 22">
              <controlPr locked="0" defaultSize="0" print="0" autoFill="0" autoPict="0" macro="[0]!Sheet9.RunSimulator">
                <anchor moveWithCells="1" sizeWithCells="1">
                  <from>
                    <xdr:col>11</xdr:col>
                    <xdr:colOff>114300</xdr:colOff>
                    <xdr:row>18</xdr:row>
                    <xdr:rowOff>47625</xdr:rowOff>
                  </from>
                  <to>
                    <xdr:col>11</xdr:col>
                    <xdr:colOff>1123950</xdr:colOff>
                    <xdr:row>18</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14:formula1>
            <xm:f>Simulator!$A$42:$A$48</xm:f>
          </x14:formula1>
          <xm:sqref>L3</xm:sqref>
        </x14:dataValidation>
        <x14:dataValidation type="list" allowBlank="1" showInputMessage="1" showErrorMessage="1">
          <x14:formula1>
            <xm:f>Simulator!$A$52:$A$57</xm:f>
          </x14:formula1>
          <xm:sqref>L6</xm:sqref>
        </x14:dataValidation>
        <x14:dataValidation type="list" allowBlank="1" showInputMessage="1" showErrorMessage="1">
          <x14:formula1>
            <xm:f>Simulator!$F$44:$K$44</xm:f>
          </x14:formula1>
          <xm:sqref>L8</xm:sqref>
        </x14:dataValidation>
        <x14:dataValidation type="list" allowBlank="1" showInputMessage="1" showErrorMessage="1">
          <x14:formula1>
            <xm:f>Simulator!$F$54:$K$54</xm:f>
          </x14:formula1>
          <xm:sqref>L18</xm:sqref>
        </x14:dataValidation>
        <x14:dataValidation type="list" allowBlank="1" showInputMessage="1" showErrorMessage="1">
          <x14:formula1>
            <xm:f>Simulator!$F$53:$K$53</xm:f>
          </x14:formula1>
          <xm:sqref>L17</xm:sqref>
        </x14:dataValidation>
        <x14:dataValidation type="list" allowBlank="1" showInputMessage="1" showErrorMessage="1">
          <x14:formula1>
            <xm:f>Simulator!$F$52:$K$52</xm:f>
          </x14:formula1>
          <xm:sqref>L16</xm:sqref>
        </x14:dataValidation>
        <x14:dataValidation type="list" allowBlank="1" showInputMessage="1" showErrorMessage="1">
          <x14:formula1>
            <xm:f>Simulator!$F$51:$K$51</xm:f>
          </x14:formula1>
          <xm:sqref>L15</xm:sqref>
        </x14:dataValidation>
        <x14:dataValidation type="list" allowBlank="1" showInputMessage="1" showErrorMessage="1">
          <x14:formula1>
            <xm:f>Simulator!$F$50:$K$50</xm:f>
          </x14:formula1>
          <xm:sqref>L14</xm:sqref>
        </x14:dataValidation>
        <x14:dataValidation type="list" allowBlank="1" showInputMessage="1" showErrorMessage="1">
          <x14:formula1>
            <xm:f>Simulator!$F$49:$K$49</xm:f>
          </x14:formula1>
          <xm:sqref>L13</xm:sqref>
        </x14:dataValidation>
        <x14:dataValidation type="list" allowBlank="1" showInputMessage="1" showErrorMessage="1">
          <x14:formula1>
            <xm:f>Simulator!$F$48:$K$48</xm:f>
          </x14:formula1>
          <xm:sqref>L12</xm:sqref>
        </x14:dataValidation>
        <x14:dataValidation type="list" allowBlank="1" showInputMessage="1" showErrorMessage="1">
          <x14:formula1>
            <xm:f>Simulator!$F$47:$K$47</xm:f>
          </x14:formula1>
          <xm:sqref>L11</xm:sqref>
        </x14:dataValidation>
        <x14:dataValidation type="list" allowBlank="1" showInputMessage="1" showErrorMessage="1">
          <x14:formula1>
            <xm:f>Simulator!$F$46:$K$46</xm:f>
          </x14:formula1>
          <xm:sqref>L10</xm:sqref>
        </x14:dataValidation>
        <x14:dataValidation type="list" allowBlank="1" showInputMessage="1" showErrorMessage="1">
          <x14:formula1>
            <xm:f>Simulator!$F$45:$K$45</xm:f>
          </x14:formula1>
          <xm:sqref>L9</xm:sqref>
        </x14:dataValidation>
        <x14:dataValidation type="list" allowBlank="1" showInputMessage="1" showErrorMessage="1">
          <x14:formula1>
            <xm:f>Simulator!$F$43:$K$43</xm:f>
          </x14:formula1>
          <xm:sqref>L7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5001"/>
  <sheetViews>
    <sheetView workbookViewId="0">
      <selection activeCell="D27" sqref="D27"/>
    </sheetView>
  </sheetViews>
  <sheetFormatPr defaultRowHeight="12.75" x14ac:dyDescent="0.2"/>
  <cols>
    <col min="2" max="2" width="22.140625" customWidth="1"/>
    <col min="3" max="3" width="26.7109375" customWidth="1"/>
    <col min="4" max="4" width="32" customWidth="1"/>
  </cols>
  <sheetData>
    <row r="1" spans="1:4" x14ac:dyDescent="0.2">
      <c r="A1" s="616" t="s">
        <v>6791</v>
      </c>
      <c r="B1" s="616" t="s">
        <v>6792</v>
      </c>
      <c r="C1" s="616" t="s">
        <v>6793</v>
      </c>
      <c r="D1" s="616" t="s">
        <v>6794</v>
      </c>
    </row>
    <row r="2" spans="1:4" x14ac:dyDescent="0.2">
      <c r="A2">
        <v>1</v>
      </c>
      <c r="B2" s="626">
        <v>0</v>
      </c>
      <c r="C2" s="626">
        <v>1000000</v>
      </c>
      <c r="D2" s="626">
        <v>0</v>
      </c>
    </row>
    <row r="3" spans="1:4" x14ac:dyDescent="0.2">
      <c r="A3">
        <v>2</v>
      </c>
      <c r="B3" s="626">
        <v>0</v>
      </c>
      <c r="C3" s="626">
        <v>1000000</v>
      </c>
      <c r="D3" s="626">
        <v>0</v>
      </c>
    </row>
    <row r="4" spans="1:4" x14ac:dyDescent="0.2">
      <c r="A4">
        <v>3</v>
      </c>
      <c r="B4" s="626">
        <v>0</v>
      </c>
      <c r="C4" s="626">
        <v>1000000</v>
      </c>
      <c r="D4" s="626">
        <v>0</v>
      </c>
    </row>
    <row r="5" spans="1:4" x14ac:dyDescent="0.2">
      <c r="A5">
        <v>4</v>
      </c>
      <c r="B5" s="626">
        <v>0</v>
      </c>
      <c r="C5" s="626">
        <v>1000000</v>
      </c>
      <c r="D5" s="626">
        <v>0</v>
      </c>
    </row>
    <row r="6" spans="1:4" x14ac:dyDescent="0.2">
      <c r="A6">
        <v>5</v>
      </c>
      <c r="B6" s="626">
        <v>0</v>
      </c>
      <c r="C6" s="626">
        <v>1000000</v>
      </c>
      <c r="D6" s="626">
        <v>0</v>
      </c>
    </row>
    <row r="7" spans="1:4" x14ac:dyDescent="0.2">
      <c r="A7">
        <v>6</v>
      </c>
      <c r="B7" s="626">
        <v>0</v>
      </c>
      <c r="C7" s="626">
        <v>1000000</v>
      </c>
      <c r="D7" s="626">
        <v>0</v>
      </c>
    </row>
    <row r="8" spans="1:4" x14ac:dyDescent="0.2">
      <c r="A8">
        <v>7</v>
      </c>
      <c r="B8" s="626">
        <v>0</v>
      </c>
      <c r="C8" s="626">
        <v>1000000</v>
      </c>
      <c r="D8" s="626">
        <v>0</v>
      </c>
    </row>
    <row r="9" spans="1:4" x14ac:dyDescent="0.2">
      <c r="A9">
        <v>8</v>
      </c>
      <c r="B9" s="626">
        <v>0</v>
      </c>
      <c r="C9" s="626">
        <v>1000000</v>
      </c>
      <c r="D9" s="626">
        <v>0</v>
      </c>
    </row>
    <row r="10" spans="1:4" x14ac:dyDescent="0.2">
      <c r="A10">
        <v>9</v>
      </c>
      <c r="B10" s="626">
        <v>0</v>
      </c>
      <c r="C10" s="626">
        <v>1000000</v>
      </c>
      <c r="D10" s="626">
        <v>0</v>
      </c>
    </row>
    <row r="11" spans="1:4" x14ac:dyDescent="0.2">
      <c r="A11">
        <v>10</v>
      </c>
      <c r="B11" s="626">
        <v>0</v>
      </c>
      <c r="C11" s="626">
        <v>1000000</v>
      </c>
      <c r="D11" s="626">
        <v>0</v>
      </c>
    </row>
    <row r="12" spans="1:4" x14ac:dyDescent="0.2">
      <c r="A12">
        <v>11</v>
      </c>
      <c r="B12" s="626">
        <v>0</v>
      </c>
      <c r="C12" s="626">
        <v>1000000</v>
      </c>
      <c r="D12" s="626">
        <v>0</v>
      </c>
    </row>
    <row r="13" spans="1:4" x14ac:dyDescent="0.2">
      <c r="A13">
        <v>12</v>
      </c>
      <c r="B13" s="626">
        <v>0</v>
      </c>
      <c r="C13" s="626">
        <v>1000000</v>
      </c>
      <c r="D13" s="626">
        <v>0</v>
      </c>
    </row>
    <row r="14" spans="1:4" x14ac:dyDescent="0.2">
      <c r="A14">
        <v>13</v>
      </c>
      <c r="B14" s="626">
        <v>0</v>
      </c>
      <c r="C14" s="626">
        <v>1000000</v>
      </c>
      <c r="D14" s="626">
        <v>0</v>
      </c>
    </row>
    <row r="15" spans="1:4" x14ac:dyDescent="0.2">
      <c r="A15">
        <v>14</v>
      </c>
      <c r="B15" s="626">
        <v>0</v>
      </c>
      <c r="C15" s="626">
        <v>1000000</v>
      </c>
      <c r="D15" s="626">
        <v>0</v>
      </c>
    </row>
    <row r="16" spans="1:4" x14ac:dyDescent="0.2">
      <c r="A16">
        <v>15</v>
      </c>
      <c r="B16" s="626">
        <v>0</v>
      </c>
      <c r="C16" s="626">
        <v>1000000</v>
      </c>
      <c r="D16" s="626">
        <v>0</v>
      </c>
    </row>
    <row r="17" spans="1:4" x14ac:dyDescent="0.2">
      <c r="A17">
        <v>16</v>
      </c>
      <c r="B17" s="626">
        <v>0</v>
      </c>
      <c r="C17" s="626">
        <v>1000000</v>
      </c>
      <c r="D17" s="626">
        <v>0</v>
      </c>
    </row>
    <row r="18" spans="1:4" x14ac:dyDescent="0.2">
      <c r="A18">
        <v>17</v>
      </c>
      <c r="B18" s="626">
        <v>0</v>
      </c>
      <c r="C18" s="626">
        <v>1000000</v>
      </c>
      <c r="D18" s="626">
        <v>0</v>
      </c>
    </row>
    <row r="19" spans="1:4" x14ac:dyDescent="0.2">
      <c r="A19">
        <v>18</v>
      </c>
      <c r="B19" s="626">
        <v>0</v>
      </c>
      <c r="C19" s="626">
        <v>1000000</v>
      </c>
      <c r="D19" s="626">
        <v>0</v>
      </c>
    </row>
    <row r="20" spans="1:4" x14ac:dyDescent="0.2">
      <c r="A20">
        <v>19</v>
      </c>
      <c r="B20" s="626">
        <v>0</v>
      </c>
      <c r="C20" s="626">
        <v>1000000</v>
      </c>
      <c r="D20" s="626">
        <v>0</v>
      </c>
    </row>
    <row r="21" spans="1:4" x14ac:dyDescent="0.2">
      <c r="A21">
        <v>20</v>
      </c>
      <c r="B21" s="626">
        <v>0</v>
      </c>
      <c r="C21" s="626">
        <v>1000000</v>
      </c>
      <c r="D21" s="626">
        <v>0</v>
      </c>
    </row>
    <row r="22" spans="1:4" x14ac:dyDescent="0.2">
      <c r="A22">
        <v>21</v>
      </c>
      <c r="B22" s="626">
        <v>0</v>
      </c>
      <c r="C22" s="626">
        <v>1000000</v>
      </c>
      <c r="D22" s="626">
        <v>0</v>
      </c>
    </row>
    <row r="23" spans="1:4" x14ac:dyDescent="0.2">
      <c r="A23">
        <v>22</v>
      </c>
      <c r="B23" s="626">
        <v>0</v>
      </c>
      <c r="C23" s="626">
        <v>1000000</v>
      </c>
      <c r="D23" s="626">
        <v>0</v>
      </c>
    </row>
    <row r="24" spans="1:4" x14ac:dyDescent="0.2">
      <c r="A24">
        <v>23</v>
      </c>
      <c r="B24" s="626">
        <v>0</v>
      </c>
      <c r="C24" s="626">
        <v>1000000</v>
      </c>
      <c r="D24" s="626">
        <v>0</v>
      </c>
    </row>
    <row r="25" spans="1:4" x14ac:dyDescent="0.2">
      <c r="A25">
        <v>24</v>
      </c>
      <c r="B25" s="626">
        <v>0</v>
      </c>
      <c r="C25" s="626">
        <v>1000000</v>
      </c>
      <c r="D25" s="626">
        <v>0</v>
      </c>
    </row>
    <row r="26" spans="1:4" x14ac:dyDescent="0.2">
      <c r="A26">
        <v>25</v>
      </c>
      <c r="B26" s="626">
        <v>0</v>
      </c>
      <c r="C26" s="626">
        <v>1000000</v>
      </c>
      <c r="D26" s="626">
        <v>0</v>
      </c>
    </row>
    <row r="27" spans="1:4" x14ac:dyDescent="0.2">
      <c r="A27">
        <v>26</v>
      </c>
      <c r="B27" s="626">
        <v>0</v>
      </c>
      <c r="C27" s="626">
        <v>1000000</v>
      </c>
      <c r="D27" s="626">
        <v>0</v>
      </c>
    </row>
    <row r="28" spans="1:4" x14ac:dyDescent="0.2">
      <c r="A28">
        <v>27</v>
      </c>
      <c r="B28" s="626">
        <v>0</v>
      </c>
      <c r="C28" s="626">
        <v>1000000</v>
      </c>
      <c r="D28" s="626">
        <v>0</v>
      </c>
    </row>
    <row r="29" spans="1:4" x14ac:dyDescent="0.2">
      <c r="A29">
        <v>28</v>
      </c>
      <c r="B29" s="626">
        <v>0</v>
      </c>
      <c r="C29" s="626">
        <v>1000000</v>
      </c>
      <c r="D29" s="626">
        <v>0</v>
      </c>
    </row>
    <row r="30" spans="1:4" x14ac:dyDescent="0.2">
      <c r="A30">
        <v>29</v>
      </c>
      <c r="B30" s="626">
        <v>0</v>
      </c>
      <c r="C30" s="626">
        <v>1000000</v>
      </c>
      <c r="D30" s="626">
        <v>0</v>
      </c>
    </row>
    <row r="31" spans="1:4" x14ac:dyDescent="0.2">
      <c r="A31">
        <v>30</v>
      </c>
      <c r="B31" s="626">
        <v>0</v>
      </c>
      <c r="C31" s="626">
        <v>1000000</v>
      </c>
      <c r="D31" s="626">
        <v>0</v>
      </c>
    </row>
    <row r="32" spans="1:4" x14ac:dyDescent="0.2">
      <c r="A32">
        <v>31</v>
      </c>
      <c r="B32" s="626">
        <v>0</v>
      </c>
      <c r="C32" s="626">
        <v>1000000</v>
      </c>
      <c r="D32" s="626">
        <v>0</v>
      </c>
    </row>
    <row r="33" spans="1:4" x14ac:dyDescent="0.2">
      <c r="A33">
        <v>32</v>
      </c>
      <c r="B33" s="626">
        <v>0</v>
      </c>
      <c r="C33" s="626">
        <v>1000000</v>
      </c>
      <c r="D33" s="626">
        <v>0</v>
      </c>
    </row>
    <row r="34" spans="1:4" x14ac:dyDescent="0.2">
      <c r="A34">
        <v>33</v>
      </c>
      <c r="B34" s="626">
        <v>0</v>
      </c>
      <c r="C34" s="626">
        <v>1000000</v>
      </c>
      <c r="D34" s="626">
        <v>0</v>
      </c>
    </row>
    <row r="35" spans="1:4" x14ac:dyDescent="0.2">
      <c r="A35">
        <v>34</v>
      </c>
      <c r="B35" s="626">
        <v>0</v>
      </c>
      <c r="C35" s="626">
        <v>1000000</v>
      </c>
      <c r="D35" s="626">
        <v>0</v>
      </c>
    </row>
    <row r="36" spans="1:4" x14ac:dyDescent="0.2">
      <c r="A36">
        <v>35</v>
      </c>
      <c r="B36" s="626">
        <v>0</v>
      </c>
      <c r="C36" s="626">
        <v>1000000</v>
      </c>
      <c r="D36" s="626">
        <v>0</v>
      </c>
    </row>
    <row r="37" spans="1:4" x14ac:dyDescent="0.2">
      <c r="A37">
        <v>36</v>
      </c>
      <c r="B37" s="626">
        <v>0</v>
      </c>
      <c r="C37" s="626">
        <v>1000000</v>
      </c>
      <c r="D37" s="626">
        <v>0</v>
      </c>
    </row>
    <row r="38" spans="1:4" x14ac:dyDescent="0.2">
      <c r="A38">
        <v>37</v>
      </c>
      <c r="B38" s="626">
        <v>0</v>
      </c>
      <c r="C38" s="626">
        <v>1000000</v>
      </c>
      <c r="D38" s="626">
        <v>0</v>
      </c>
    </row>
    <row r="39" spans="1:4" x14ac:dyDescent="0.2">
      <c r="A39">
        <v>38</v>
      </c>
      <c r="B39" s="626">
        <v>0</v>
      </c>
      <c r="C39" s="626">
        <v>1000000</v>
      </c>
      <c r="D39" s="626">
        <v>0</v>
      </c>
    </row>
    <row r="40" spans="1:4" x14ac:dyDescent="0.2">
      <c r="A40">
        <v>39</v>
      </c>
      <c r="B40" s="626">
        <v>0</v>
      </c>
      <c r="C40" s="626">
        <v>1000000</v>
      </c>
      <c r="D40" s="626">
        <v>0</v>
      </c>
    </row>
    <row r="41" spans="1:4" x14ac:dyDescent="0.2">
      <c r="A41">
        <v>40</v>
      </c>
      <c r="B41" s="626">
        <v>0</v>
      </c>
      <c r="C41" s="626">
        <v>1000000</v>
      </c>
      <c r="D41" s="626">
        <v>0</v>
      </c>
    </row>
    <row r="42" spans="1:4" x14ac:dyDescent="0.2">
      <c r="A42">
        <v>41</v>
      </c>
      <c r="B42" s="626">
        <v>0</v>
      </c>
      <c r="C42" s="626">
        <v>1000000</v>
      </c>
      <c r="D42" s="626">
        <v>0</v>
      </c>
    </row>
    <row r="43" spans="1:4" x14ac:dyDescent="0.2">
      <c r="A43">
        <v>42</v>
      </c>
      <c r="B43" s="626">
        <v>0</v>
      </c>
      <c r="C43" s="626">
        <v>1000000</v>
      </c>
      <c r="D43" s="626">
        <v>0</v>
      </c>
    </row>
    <row r="44" spans="1:4" x14ac:dyDescent="0.2">
      <c r="A44">
        <v>43</v>
      </c>
      <c r="B44" s="626">
        <v>0</v>
      </c>
      <c r="C44" s="626">
        <v>1000000</v>
      </c>
      <c r="D44" s="626">
        <v>0</v>
      </c>
    </row>
    <row r="45" spans="1:4" x14ac:dyDescent="0.2">
      <c r="A45">
        <v>44</v>
      </c>
      <c r="B45" s="626">
        <v>0</v>
      </c>
      <c r="C45" s="626">
        <v>1000000</v>
      </c>
      <c r="D45" s="626">
        <v>0</v>
      </c>
    </row>
    <row r="46" spans="1:4" x14ac:dyDescent="0.2">
      <c r="A46">
        <v>45</v>
      </c>
      <c r="B46" s="626">
        <v>0</v>
      </c>
      <c r="C46" s="626">
        <v>1000000</v>
      </c>
      <c r="D46" s="626">
        <v>0</v>
      </c>
    </row>
    <row r="47" spans="1:4" x14ac:dyDescent="0.2">
      <c r="A47">
        <v>46</v>
      </c>
      <c r="B47" s="626">
        <v>0</v>
      </c>
      <c r="C47" s="626">
        <v>1000000</v>
      </c>
      <c r="D47" s="626">
        <v>0</v>
      </c>
    </row>
    <row r="48" spans="1:4" x14ac:dyDescent="0.2">
      <c r="A48">
        <v>47</v>
      </c>
      <c r="B48" s="626">
        <v>0</v>
      </c>
      <c r="C48" s="626">
        <v>1000000</v>
      </c>
      <c r="D48" s="626">
        <v>0</v>
      </c>
    </row>
    <row r="49" spans="1:4" x14ac:dyDescent="0.2">
      <c r="A49">
        <v>48</v>
      </c>
      <c r="B49" s="626">
        <v>0</v>
      </c>
      <c r="C49" s="626">
        <v>1000000</v>
      </c>
      <c r="D49" s="626">
        <v>0</v>
      </c>
    </row>
    <row r="50" spans="1:4" x14ac:dyDescent="0.2">
      <c r="A50">
        <v>49</v>
      </c>
      <c r="B50" s="626">
        <v>0</v>
      </c>
      <c r="C50" s="626">
        <v>1000000</v>
      </c>
      <c r="D50" s="626">
        <v>0</v>
      </c>
    </row>
    <row r="51" spans="1:4" x14ac:dyDescent="0.2">
      <c r="A51">
        <v>50</v>
      </c>
      <c r="B51" s="626">
        <v>0</v>
      </c>
      <c r="C51" s="626">
        <v>1000000</v>
      </c>
      <c r="D51" s="626">
        <v>0</v>
      </c>
    </row>
    <row r="52" spans="1:4" x14ac:dyDescent="0.2">
      <c r="A52">
        <v>51</v>
      </c>
      <c r="B52" s="626">
        <v>0</v>
      </c>
      <c r="C52" s="626">
        <v>1000000</v>
      </c>
      <c r="D52" s="626">
        <v>0</v>
      </c>
    </row>
    <row r="53" spans="1:4" x14ac:dyDescent="0.2">
      <c r="A53">
        <v>52</v>
      </c>
      <c r="B53" s="626">
        <v>0</v>
      </c>
      <c r="C53" s="626">
        <v>1000000</v>
      </c>
      <c r="D53" s="626">
        <v>0</v>
      </c>
    </row>
    <row r="54" spans="1:4" x14ac:dyDescent="0.2">
      <c r="A54">
        <v>53</v>
      </c>
      <c r="B54" s="626">
        <v>0</v>
      </c>
      <c r="C54" s="626">
        <v>1000000</v>
      </c>
      <c r="D54" s="626">
        <v>0</v>
      </c>
    </row>
    <row r="55" spans="1:4" x14ac:dyDescent="0.2">
      <c r="A55">
        <v>54</v>
      </c>
      <c r="B55" s="626">
        <v>0</v>
      </c>
      <c r="C55" s="626">
        <v>1000000</v>
      </c>
      <c r="D55" s="626">
        <v>0</v>
      </c>
    </row>
    <row r="56" spans="1:4" x14ac:dyDescent="0.2">
      <c r="A56">
        <v>55</v>
      </c>
      <c r="B56" s="626">
        <v>0</v>
      </c>
      <c r="C56" s="626">
        <v>1000000</v>
      </c>
      <c r="D56" s="626">
        <v>0</v>
      </c>
    </row>
    <row r="57" spans="1:4" x14ac:dyDescent="0.2">
      <c r="A57">
        <v>56</v>
      </c>
      <c r="B57" s="626">
        <v>0</v>
      </c>
      <c r="C57" s="626">
        <v>1000000</v>
      </c>
      <c r="D57" s="626">
        <v>0</v>
      </c>
    </row>
    <row r="58" spans="1:4" x14ac:dyDescent="0.2">
      <c r="A58">
        <v>57</v>
      </c>
      <c r="B58" s="626">
        <v>0</v>
      </c>
      <c r="C58" s="626">
        <v>1000000</v>
      </c>
      <c r="D58" s="626">
        <v>0</v>
      </c>
    </row>
    <row r="59" spans="1:4" x14ac:dyDescent="0.2">
      <c r="A59">
        <v>58</v>
      </c>
      <c r="B59" s="626">
        <v>0</v>
      </c>
      <c r="C59" s="626">
        <v>1000000</v>
      </c>
      <c r="D59" s="626">
        <v>0</v>
      </c>
    </row>
    <row r="60" spans="1:4" x14ac:dyDescent="0.2">
      <c r="A60">
        <v>59</v>
      </c>
      <c r="B60" s="626">
        <v>0</v>
      </c>
      <c r="C60" s="626">
        <v>1000000</v>
      </c>
      <c r="D60" s="626">
        <v>0</v>
      </c>
    </row>
    <row r="61" spans="1:4" x14ac:dyDescent="0.2">
      <c r="A61">
        <v>60</v>
      </c>
      <c r="B61" s="626">
        <v>0</v>
      </c>
      <c r="C61" s="626">
        <v>1000000</v>
      </c>
      <c r="D61" s="626">
        <v>0</v>
      </c>
    </row>
    <row r="62" spans="1:4" x14ac:dyDescent="0.2">
      <c r="A62">
        <v>61</v>
      </c>
      <c r="B62" s="626">
        <v>0</v>
      </c>
      <c r="C62" s="626">
        <v>1000000</v>
      </c>
      <c r="D62" s="626">
        <v>0</v>
      </c>
    </row>
    <row r="63" spans="1:4" x14ac:dyDescent="0.2">
      <c r="A63">
        <v>62</v>
      </c>
      <c r="B63" s="626">
        <v>0</v>
      </c>
      <c r="C63" s="626">
        <v>1000000</v>
      </c>
      <c r="D63" s="626">
        <v>0</v>
      </c>
    </row>
    <row r="64" spans="1:4" x14ac:dyDescent="0.2">
      <c r="A64">
        <v>63</v>
      </c>
      <c r="B64" s="626">
        <v>0</v>
      </c>
      <c r="C64" s="626">
        <v>1000000</v>
      </c>
      <c r="D64" s="626">
        <v>0</v>
      </c>
    </row>
    <row r="65" spans="1:4" x14ac:dyDescent="0.2">
      <c r="A65">
        <v>64</v>
      </c>
      <c r="B65" s="626">
        <v>0</v>
      </c>
      <c r="C65" s="626">
        <v>1000000</v>
      </c>
      <c r="D65" s="626">
        <v>0</v>
      </c>
    </row>
    <row r="66" spans="1:4" x14ac:dyDescent="0.2">
      <c r="A66">
        <v>65</v>
      </c>
      <c r="B66" s="626">
        <v>0</v>
      </c>
      <c r="C66" s="626">
        <v>1000000</v>
      </c>
      <c r="D66" s="626">
        <v>0</v>
      </c>
    </row>
    <row r="67" spans="1:4" x14ac:dyDescent="0.2">
      <c r="A67">
        <v>66</v>
      </c>
      <c r="B67" s="626">
        <v>0</v>
      </c>
      <c r="C67" s="626">
        <v>1000000</v>
      </c>
      <c r="D67" s="626">
        <v>0</v>
      </c>
    </row>
    <row r="68" spans="1:4" x14ac:dyDescent="0.2">
      <c r="A68">
        <v>67</v>
      </c>
      <c r="B68" s="626">
        <v>0</v>
      </c>
      <c r="C68" s="626">
        <v>1000000</v>
      </c>
      <c r="D68" s="626">
        <v>0</v>
      </c>
    </row>
    <row r="69" spans="1:4" x14ac:dyDescent="0.2">
      <c r="A69">
        <v>68</v>
      </c>
      <c r="B69" s="626">
        <v>0</v>
      </c>
      <c r="C69" s="626">
        <v>1000000</v>
      </c>
      <c r="D69" s="626">
        <v>0</v>
      </c>
    </row>
    <row r="70" spans="1:4" x14ac:dyDescent="0.2">
      <c r="A70">
        <v>69</v>
      </c>
      <c r="B70" s="626">
        <v>0</v>
      </c>
      <c r="C70" s="626">
        <v>1000000</v>
      </c>
      <c r="D70" s="626">
        <v>0</v>
      </c>
    </row>
    <row r="71" spans="1:4" x14ac:dyDescent="0.2">
      <c r="A71">
        <v>70</v>
      </c>
      <c r="B71" s="626">
        <v>0</v>
      </c>
      <c r="C71" s="626">
        <v>1000000</v>
      </c>
      <c r="D71" s="626">
        <v>0</v>
      </c>
    </row>
    <row r="72" spans="1:4" x14ac:dyDescent="0.2">
      <c r="A72">
        <v>71</v>
      </c>
      <c r="B72" s="626">
        <v>0</v>
      </c>
      <c r="C72" s="626">
        <v>1000000</v>
      </c>
      <c r="D72" s="626">
        <v>0</v>
      </c>
    </row>
    <row r="73" spans="1:4" x14ac:dyDescent="0.2">
      <c r="A73">
        <v>72</v>
      </c>
      <c r="B73" s="626">
        <v>0</v>
      </c>
      <c r="C73" s="626">
        <v>1000000</v>
      </c>
      <c r="D73" s="626">
        <v>0</v>
      </c>
    </row>
    <row r="74" spans="1:4" x14ac:dyDescent="0.2">
      <c r="A74">
        <v>73</v>
      </c>
      <c r="B74" s="626">
        <v>0</v>
      </c>
      <c r="C74" s="626">
        <v>1000000</v>
      </c>
      <c r="D74" s="626">
        <v>0</v>
      </c>
    </row>
    <row r="75" spans="1:4" x14ac:dyDescent="0.2">
      <c r="A75">
        <v>74</v>
      </c>
      <c r="B75" s="626">
        <v>0</v>
      </c>
      <c r="C75" s="626">
        <v>1000000</v>
      </c>
      <c r="D75" s="626">
        <v>0</v>
      </c>
    </row>
    <row r="76" spans="1:4" x14ac:dyDescent="0.2">
      <c r="A76">
        <v>75</v>
      </c>
      <c r="B76" s="626">
        <v>0</v>
      </c>
      <c r="C76" s="626">
        <v>1000000</v>
      </c>
      <c r="D76" s="626">
        <v>0</v>
      </c>
    </row>
    <row r="77" spans="1:4" x14ac:dyDescent="0.2">
      <c r="A77">
        <v>76</v>
      </c>
      <c r="B77" s="626">
        <v>0</v>
      </c>
      <c r="C77" s="626">
        <v>1000000</v>
      </c>
      <c r="D77" s="626">
        <v>0</v>
      </c>
    </row>
    <row r="78" spans="1:4" x14ac:dyDescent="0.2">
      <c r="A78">
        <v>77</v>
      </c>
      <c r="B78" s="626">
        <v>0</v>
      </c>
      <c r="C78" s="626">
        <v>1000000</v>
      </c>
      <c r="D78" s="626">
        <v>0</v>
      </c>
    </row>
    <row r="79" spans="1:4" x14ac:dyDescent="0.2">
      <c r="A79">
        <v>78</v>
      </c>
      <c r="B79" s="626">
        <v>0</v>
      </c>
      <c r="C79" s="626">
        <v>1000000</v>
      </c>
      <c r="D79" s="626">
        <v>0</v>
      </c>
    </row>
    <row r="80" spans="1:4" x14ac:dyDescent="0.2">
      <c r="A80">
        <v>79</v>
      </c>
      <c r="B80" s="626">
        <v>0</v>
      </c>
      <c r="C80" s="626">
        <v>1000000</v>
      </c>
      <c r="D80" s="626">
        <v>0</v>
      </c>
    </row>
    <row r="81" spans="1:4" x14ac:dyDescent="0.2">
      <c r="A81">
        <v>80</v>
      </c>
      <c r="B81" s="626">
        <v>0</v>
      </c>
      <c r="C81" s="626">
        <v>1000000</v>
      </c>
      <c r="D81" s="626">
        <v>0</v>
      </c>
    </row>
    <row r="82" spans="1:4" x14ac:dyDescent="0.2">
      <c r="A82">
        <v>81</v>
      </c>
      <c r="B82" s="626">
        <v>0</v>
      </c>
      <c r="C82" s="626">
        <v>1000000</v>
      </c>
      <c r="D82" s="626">
        <v>0</v>
      </c>
    </row>
    <row r="83" spans="1:4" x14ac:dyDescent="0.2">
      <c r="A83">
        <v>82</v>
      </c>
      <c r="B83" s="626">
        <v>0</v>
      </c>
      <c r="C83" s="626">
        <v>1000000</v>
      </c>
      <c r="D83" s="626">
        <v>0</v>
      </c>
    </row>
    <row r="84" spans="1:4" x14ac:dyDescent="0.2">
      <c r="A84">
        <v>83</v>
      </c>
      <c r="B84" s="626">
        <v>0</v>
      </c>
      <c r="C84" s="626">
        <v>1000000</v>
      </c>
      <c r="D84" s="626">
        <v>0</v>
      </c>
    </row>
    <row r="85" spans="1:4" x14ac:dyDescent="0.2">
      <c r="A85">
        <v>84</v>
      </c>
      <c r="B85" s="626">
        <v>0</v>
      </c>
      <c r="C85" s="626">
        <v>1000000</v>
      </c>
      <c r="D85" s="626">
        <v>0</v>
      </c>
    </row>
    <row r="86" spans="1:4" x14ac:dyDescent="0.2">
      <c r="A86">
        <v>85</v>
      </c>
      <c r="B86" s="626">
        <v>0</v>
      </c>
      <c r="C86" s="626">
        <v>1000000</v>
      </c>
      <c r="D86" s="626">
        <v>0</v>
      </c>
    </row>
    <row r="87" spans="1:4" x14ac:dyDescent="0.2">
      <c r="A87">
        <v>86</v>
      </c>
      <c r="B87" s="626">
        <v>0</v>
      </c>
      <c r="C87" s="626">
        <v>1000000</v>
      </c>
      <c r="D87" s="626">
        <v>0</v>
      </c>
    </row>
    <row r="88" spans="1:4" x14ac:dyDescent="0.2">
      <c r="A88">
        <v>87</v>
      </c>
      <c r="B88" s="626">
        <v>0</v>
      </c>
      <c r="C88" s="626">
        <v>1000000</v>
      </c>
      <c r="D88" s="626">
        <v>0</v>
      </c>
    </row>
    <row r="89" spans="1:4" x14ac:dyDescent="0.2">
      <c r="A89">
        <v>88</v>
      </c>
      <c r="B89" s="626">
        <v>0</v>
      </c>
      <c r="C89" s="626">
        <v>1000000</v>
      </c>
      <c r="D89" s="626">
        <v>0</v>
      </c>
    </row>
    <row r="90" spans="1:4" x14ac:dyDescent="0.2">
      <c r="A90">
        <v>89</v>
      </c>
      <c r="B90" s="626">
        <v>0</v>
      </c>
      <c r="C90" s="626">
        <v>1000000</v>
      </c>
      <c r="D90" s="626">
        <v>0</v>
      </c>
    </row>
    <row r="91" spans="1:4" x14ac:dyDescent="0.2">
      <c r="A91">
        <v>90</v>
      </c>
      <c r="B91" s="626">
        <v>0</v>
      </c>
      <c r="C91" s="626">
        <v>1000000</v>
      </c>
      <c r="D91" s="626">
        <v>0</v>
      </c>
    </row>
    <row r="92" spans="1:4" x14ac:dyDescent="0.2">
      <c r="A92">
        <v>91</v>
      </c>
      <c r="B92" s="626">
        <v>0</v>
      </c>
      <c r="C92" s="626">
        <v>1000000</v>
      </c>
      <c r="D92" s="626">
        <v>0</v>
      </c>
    </row>
    <row r="93" spans="1:4" x14ac:dyDescent="0.2">
      <c r="A93">
        <v>92</v>
      </c>
      <c r="B93" s="626">
        <v>0</v>
      </c>
      <c r="C93" s="626">
        <v>1000000</v>
      </c>
      <c r="D93" s="626">
        <v>0</v>
      </c>
    </row>
    <row r="94" spans="1:4" x14ac:dyDescent="0.2">
      <c r="A94">
        <v>93</v>
      </c>
      <c r="B94" s="626">
        <v>0</v>
      </c>
      <c r="C94" s="626">
        <v>1000000</v>
      </c>
      <c r="D94" s="626">
        <v>0</v>
      </c>
    </row>
    <row r="95" spans="1:4" x14ac:dyDescent="0.2">
      <c r="A95">
        <v>94</v>
      </c>
      <c r="B95" s="626">
        <v>0</v>
      </c>
      <c r="C95" s="626">
        <v>1000000</v>
      </c>
      <c r="D95" s="626">
        <v>0</v>
      </c>
    </row>
    <row r="96" spans="1:4" x14ac:dyDescent="0.2">
      <c r="A96">
        <v>95</v>
      </c>
      <c r="B96" s="626">
        <v>0</v>
      </c>
      <c r="C96" s="626">
        <v>1000000</v>
      </c>
      <c r="D96" s="626">
        <v>0</v>
      </c>
    </row>
    <row r="97" spans="1:4" x14ac:dyDescent="0.2">
      <c r="A97">
        <v>96</v>
      </c>
      <c r="B97" s="626">
        <v>0</v>
      </c>
      <c r="C97" s="626">
        <v>1000000</v>
      </c>
      <c r="D97" s="626">
        <v>0</v>
      </c>
    </row>
    <row r="98" spans="1:4" x14ac:dyDescent="0.2">
      <c r="A98">
        <v>97</v>
      </c>
      <c r="B98" s="626">
        <v>0</v>
      </c>
      <c r="C98" s="626">
        <v>1000000</v>
      </c>
      <c r="D98" s="626">
        <v>0</v>
      </c>
    </row>
    <row r="99" spans="1:4" x14ac:dyDescent="0.2">
      <c r="A99">
        <v>98</v>
      </c>
      <c r="B99" s="626">
        <v>0</v>
      </c>
      <c r="C99" s="626">
        <v>1000000</v>
      </c>
      <c r="D99" s="626">
        <v>0</v>
      </c>
    </row>
    <row r="100" spans="1:4" x14ac:dyDescent="0.2">
      <c r="A100">
        <v>99</v>
      </c>
      <c r="B100" s="626">
        <v>0</v>
      </c>
      <c r="C100" s="626">
        <v>1000000</v>
      </c>
      <c r="D100" s="626">
        <v>0</v>
      </c>
    </row>
    <row r="101" spans="1:4" x14ac:dyDescent="0.2">
      <c r="A101">
        <v>100</v>
      </c>
      <c r="B101" s="626">
        <v>0</v>
      </c>
      <c r="C101" s="626">
        <v>1000000</v>
      </c>
      <c r="D101" s="626">
        <v>0</v>
      </c>
    </row>
    <row r="102" spans="1:4" x14ac:dyDescent="0.2">
      <c r="A102">
        <v>101</v>
      </c>
      <c r="B102" s="626">
        <v>0</v>
      </c>
      <c r="C102" s="626">
        <v>1000000</v>
      </c>
      <c r="D102" s="626">
        <v>0</v>
      </c>
    </row>
    <row r="103" spans="1:4" x14ac:dyDescent="0.2">
      <c r="A103">
        <v>102</v>
      </c>
      <c r="B103" s="626">
        <v>0</v>
      </c>
      <c r="C103" s="626">
        <v>1000000</v>
      </c>
      <c r="D103" s="626">
        <v>0</v>
      </c>
    </row>
    <row r="104" spans="1:4" x14ac:dyDescent="0.2">
      <c r="A104">
        <v>103</v>
      </c>
      <c r="B104" s="626">
        <v>0</v>
      </c>
      <c r="C104" s="626">
        <v>1000000</v>
      </c>
      <c r="D104" s="626">
        <v>0</v>
      </c>
    </row>
    <row r="105" spans="1:4" x14ac:dyDescent="0.2">
      <c r="A105">
        <v>104</v>
      </c>
      <c r="B105" s="626">
        <v>0</v>
      </c>
      <c r="C105" s="626">
        <v>1000000</v>
      </c>
      <c r="D105" s="626">
        <v>0</v>
      </c>
    </row>
    <row r="106" spans="1:4" x14ac:dyDescent="0.2">
      <c r="A106">
        <v>105</v>
      </c>
      <c r="B106" s="626">
        <v>0</v>
      </c>
      <c r="C106" s="626">
        <v>1000000</v>
      </c>
      <c r="D106" s="626">
        <v>0</v>
      </c>
    </row>
    <row r="107" spans="1:4" x14ac:dyDescent="0.2">
      <c r="A107">
        <v>106</v>
      </c>
      <c r="B107" s="626">
        <v>0</v>
      </c>
      <c r="C107" s="626">
        <v>1000000</v>
      </c>
      <c r="D107" s="626">
        <v>0</v>
      </c>
    </row>
    <row r="108" spans="1:4" x14ac:dyDescent="0.2">
      <c r="A108">
        <v>107</v>
      </c>
      <c r="B108" s="626">
        <v>0</v>
      </c>
      <c r="C108" s="626">
        <v>1000000</v>
      </c>
      <c r="D108" s="626">
        <v>0</v>
      </c>
    </row>
    <row r="109" spans="1:4" x14ac:dyDescent="0.2">
      <c r="A109">
        <v>108</v>
      </c>
      <c r="B109" s="626">
        <v>0</v>
      </c>
      <c r="C109" s="626">
        <v>1000000</v>
      </c>
      <c r="D109" s="626">
        <v>0</v>
      </c>
    </row>
    <row r="110" spans="1:4" x14ac:dyDescent="0.2">
      <c r="A110">
        <v>109</v>
      </c>
      <c r="B110" s="626">
        <v>0</v>
      </c>
      <c r="C110" s="626">
        <v>1000000</v>
      </c>
      <c r="D110" s="626">
        <v>0</v>
      </c>
    </row>
    <row r="111" spans="1:4" x14ac:dyDescent="0.2">
      <c r="A111">
        <v>110</v>
      </c>
      <c r="B111" s="626">
        <v>0</v>
      </c>
      <c r="C111" s="626">
        <v>1000000</v>
      </c>
      <c r="D111" s="626">
        <v>0</v>
      </c>
    </row>
    <row r="112" spans="1:4" x14ac:dyDescent="0.2">
      <c r="A112">
        <v>111</v>
      </c>
      <c r="B112" s="626">
        <v>0</v>
      </c>
      <c r="C112" s="626">
        <v>1000000</v>
      </c>
      <c r="D112" s="626">
        <v>0</v>
      </c>
    </row>
    <row r="113" spans="1:4" x14ac:dyDescent="0.2">
      <c r="A113">
        <v>112</v>
      </c>
      <c r="B113" s="626">
        <v>0</v>
      </c>
      <c r="C113" s="626">
        <v>1000000</v>
      </c>
      <c r="D113" s="626">
        <v>0</v>
      </c>
    </row>
    <row r="114" spans="1:4" x14ac:dyDescent="0.2">
      <c r="A114">
        <v>113</v>
      </c>
      <c r="B114" s="626">
        <v>0</v>
      </c>
      <c r="C114" s="626">
        <v>1000000</v>
      </c>
      <c r="D114" s="626">
        <v>0</v>
      </c>
    </row>
    <row r="115" spans="1:4" x14ac:dyDescent="0.2">
      <c r="A115">
        <v>114</v>
      </c>
      <c r="B115" s="626">
        <v>0</v>
      </c>
      <c r="C115" s="626">
        <v>1000000</v>
      </c>
      <c r="D115" s="626">
        <v>0</v>
      </c>
    </row>
    <row r="116" spans="1:4" x14ac:dyDescent="0.2">
      <c r="A116">
        <v>115</v>
      </c>
      <c r="B116" s="626">
        <v>0</v>
      </c>
      <c r="C116" s="626">
        <v>1000000</v>
      </c>
      <c r="D116" s="626">
        <v>0</v>
      </c>
    </row>
    <row r="117" spans="1:4" x14ac:dyDescent="0.2">
      <c r="A117">
        <v>116</v>
      </c>
      <c r="B117" s="626">
        <v>0</v>
      </c>
      <c r="C117" s="626">
        <v>1000000</v>
      </c>
      <c r="D117" s="626">
        <v>0</v>
      </c>
    </row>
    <row r="118" spans="1:4" x14ac:dyDescent="0.2">
      <c r="A118">
        <v>117</v>
      </c>
      <c r="B118" s="626">
        <v>0</v>
      </c>
      <c r="C118" s="626">
        <v>1000000</v>
      </c>
      <c r="D118" s="626">
        <v>0</v>
      </c>
    </row>
    <row r="119" spans="1:4" x14ac:dyDescent="0.2">
      <c r="A119">
        <v>118</v>
      </c>
      <c r="B119" s="626">
        <v>0</v>
      </c>
      <c r="C119" s="626">
        <v>1000000</v>
      </c>
      <c r="D119" s="626">
        <v>0</v>
      </c>
    </row>
    <row r="120" spans="1:4" x14ac:dyDescent="0.2">
      <c r="A120">
        <v>119</v>
      </c>
      <c r="B120" s="626">
        <v>0</v>
      </c>
      <c r="C120" s="626">
        <v>1000000</v>
      </c>
      <c r="D120" s="626">
        <v>0</v>
      </c>
    </row>
    <row r="121" spans="1:4" x14ac:dyDescent="0.2">
      <c r="A121">
        <v>120</v>
      </c>
      <c r="B121" s="626">
        <v>0</v>
      </c>
      <c r="C121" s="626">
        <v>1000000</v>
      </c>
      <c r="D121" s="626">
        <v>0</v>
      </c>
    </row>
    <row r="122" spans="1:4" x14ac:dyDescent="0.2">
      <c r="A122">
        <v>121</v>
      </c>
      <c r="B122" s="626">
        <v>0</v>
      </c>
      <c r="C122" s="626">
        <v>1000000</v>
      </c>
      <c r="D122" s="626">
        <v>0</v>
      </c>
    </row>
    <row r="123" spans="1:4" x14ac:dyDescent="0.2">
      <c r="A123">
        <v>122</v>
      </c>
      <c r="B123" s="626">
        <v>0</v>
      </c>
      <c r="C123" s="626">
        <v>1000000</v>
      </c>
      <c r="D123" s="626">
        <v>0</v>
      </c>
    </row>
    <row r="124" spans="1:4" x14ac:dyDescent="0.2">
      <c r="A124">
        <v>123</v>
      </c>
      <c r="B124" s="626">
        <v>0</v>
      </c>
      <c r="C124" s="626">
        <v>1000000</v>
      </c>
      <c r="D124" s="626">
        <v>0</v>
      </c>
    </row>
    <row r="125" spans="1:4" x14ac:dyDescent="0.2">
      <c r="A125">
        <v>124</v>
      </c>
      <c r="B125" s="626">
        <v>0</v>
      </c>
      <c r="C125" s="626">
        <v>1000000</v>
      </c>
      <c r="D125" s="626">
        <v>0</v>
      </c>
    </row>
    <row r="126" spans="1:4" x14ac:dyDescent="0.2">
      <c r="A126">
        <v>125</v>
      </c>
      <c r="B126" s="626">
        <v>0</v>
      </c>
      <c r="C126" s="626">
        <v>1000000</v>
      </c>
      <c r="D126" s="626">
        <v>0</v>
      </c>
    </row>
    <row r="127" spans="1:4" x14ac:dyDescent="0.2">
      <c r="A127">
        <v>126</v>
      </c>
      <c r="B127" s="626">
        <v>0</v>
      </c>
      <c r="C127" s="626">
        <v>1000000</v>
      </c>
      <c r="D127" s="626">
        <v>0</v>
      </c>
    </row>
    <row r="128" spans="1:4" x14ac:dyDescent="0.2">
      <c r="A128">
        <v>127</v>
      </c>
      <c r="B128" s="626">
        <v>0</v>
      </c>
      <c r="C128" s="626">
        <v>1000000</v>
      </c>
      <c r="D128" s="626">
        <v>0</v>
      </c>
    </row>
    <row r="129" spans="1:4" x14ac:dyDescent="0.2">
      <c r="A129">
        <v>128</v>
      </c>
      <c r="B129" s="626">
        <v>0</v>
      </c>
      <c r="C129" s="626">
        <v>1000000</v>
      </c>
      <c r="D129" s="626">
        <v>0</v>
      </c>
    </row>
    <row r="130" spans="1:4" x14ac:dyDescent="0.2">
      <c r="A130">
        <v>129</v>
      </c>
      <c r="B130" s="626">
        <v>0</v>
      </c>
      <c r="C130" s="626">
        <v>1000000</v>
      </c>
      <c r="D130" s="626">
        <v>0</v>
      </c>
    </row>
    <row r="131" spans="1:4" x14ac:dyDescent="0.2">
      <c r="A131">
        <v>130</v>
      </c>
      <c r="B131" s="626">
        <v>0</v>
      </c>
      <c r="C131" s="626">
        <v>1000000</v>
      </c>
      <c r="D131" s="626">
        <v>0</v>
      </c>
    </row>
    <row r="132" spans="1:4" x14ac:dyDescent="0.2">
      <c r="A132">
        <v>131</v>
      </c>
      <c r="B132" s="626">
        <v>0</v>
      </c>
      <c r="C132" s="626">
        <v>1000000</v>
      </c>
      <c r="D132" s="626">
        <v>0</v>
      </c>
    </row>
    <row r="133" spans="1:4" x14ac:dyDescent="0.2">
      <c r="A133">
        <v>132</v>
      </c>
      <c r="B133" s="626">
        <v>0</v>
      </c>
      <c r="C133" s="626">
        <v>1000000</v>
      </c>
      <c r="D133" s="626">
        <v>0</v>
      </c>
    </row>
    <row r="134" spans="1:4" x14ac:dyDescent="0.2">
      <c r="A134">
        <v>133</v>
      </c>
      <c r="B134" s="626">
        <v>0</v>
      </c>
      <c r="C134" s="626">
        <v>1000000</v>
      </c>
      <c r="D134" s="626">
        <v>0</v>
      </c>
    </row>
    <row r="135" spans="1:4" x14ac:dyDescent="0.2">
      <c r="A135">
        <v>134</v>
      </c>
      <c r="B135" s="626">
        <v>0</v>
      </c>
      <c r="C135" s="626">
        <v>1000000</v>
      </c>
      <c r="D135" s="626">
        <v>0</v>
      </c>
    </row>
    <row r="136" spans="1:4" x14ac:dyDescent="0.2">
      <c r="A136">
        <v>135</v>
      </c>
      <c r="B136" s="626">
        <v>0</v>
      </c>
      <c r="C136" s="626">
        <v>1000000</v>
      </c>
      <c r="D136" s="626">
        <v>0</v>
      </c>
    </row>
    <row r="137" spans="1:4" x14ac:dyDescent="0.2">
      <c r="A137">
        <v>136</v>
      </c>
      <c r="B137" s="626">
        <v>0</v>
      </c>
      <c r="C137" s="626">
        <v>1000000</v>
      </c>
      <c r="D137" s="626">
        <v>0</v>
      </c>
    </row>
    <row r="138" spans="1:4" x14ac:dyDescent="0.2">
      <c r="A138">
        <v>137</v>
      </c>
      <c r="B138" s="626">
        <v>0</v>
      </c>
      <c r="C138" s="626">
        <v>1000000</v>
      </c>
      <c r="D138" s="626">
        <v>0</v>
      </c>
    </row>
    <row r="139" spans="1:4" x14ac:dyDescent="0.2">
      <c r="A139">
        <v>138</v>
      </c>
      <c r="B139" s="626">
        <v>0</v>
      </c>
      <c r="C139" s="626">
        <v>1000000</v>
      </c>
      <c r="D139" s="626">
        <v>0</v>
      </c>
    </row>
    <row r="140" spans="1:4" x14ac:dyDescent="0.2">
      <c r="A140">
        <v>139</v>
      </c>
      <c r="B140" s="626">
        <v>0</v>
      </c>
      <c r="C140" s="626">
        <v>1000000</v>
      </c>
      <c r="D140" s="626">
        <v>0</v>
      </c>
    </row>
    <row r="141" spans="1:4" x14ac:dyDescent="0.2">
      <c r="A141">
        <v>140</v>
      </c>
      <c r="B141" s="626">
        <v>0</v>
      </c>
      <c r="C141" s="626">
        <v>1000000</v>
      </c>
      <c r="D141" s="626">
        <v>0</v>
      </c>
    </row>
    <row r="142" spans="1:4" x14ac:dyDescent="0.2">
      <c r="A142">
        <v>141</v>
      </c>
      <c r="B142" s="626">
        <v>0</v>
      </c>
      <c r="C142" s="626">
        <v>1000000</v>
      </c>
      <c r="D142" s="626">
        <v>0</v>
      </c>
    </row>
    <row r="143" spans="1:4" x14ac:dyDescent="0.2">
      <c r="A143">
        <v>142</v>
      </c>
      <c r="B143" s="626">
        <v>0</v>
      </c>
      <c r="C143" s="626">
        <v>1000000</v>
      </c>
      <c r="D143" s="626">
        <v>0</v>
      </c>
    </row>
    <row r="144" spans="1:4" x14ac:dyDescent="0.2">
      <c r="A144">
        <v>143</v>
      </c>
      <c r="B144" s="626">
        <v>0</v>
      </c>
      <c r="C144" s="626">
        <v>1000000</v>
      </c>
      <c r="D144" s="626">
        <v>0</v>
      </c>
    </row>
    <row r="145" spans="1:4" x14ac:dyDescent="0.2">
      <c r="A145">
        <v>144</v>
      </c>
      <c r="B145" s="626">
        <v>0</v>
      </c>
      <c r="C145" s="626">
        <v>1000000</v>
      </c>
      <c r="D145" s="626">
        <v>0</v>
      </c>
    </row>
    <row r="146" spans="1:4" x14ac:dyDescent="0.2">
      <c r="A146">
        <v>145</v>
      </c>
      <c r="B146" s="626">
        <v>0</v>
      </c>
      <c r="C146" s="626">
        <v>1000000</v>
      </c>
      <c r="D146" s="626">
        <v>0</v>
      </c>
    </row>
    <row r="147" spans="1:4" x14ac:dyDescent="0.2">
      <c r="A147">
        <v>146</v>
      </c>
      <c r="B147" s="626">
        <v>0</v>
      </c>
      <c r="C147" s="626">
        <v>1000000</v>
      </c>
      <c r="D147" s="626">
        <v>0</v>
      </c>
    </row>
    <row r="148" spans="1:4" x14ac:dyDescent="0.2">
      <c r="A148">
        <v>147</v>
      </c>
      <c r="B148" s="626">
        <v>0</v>
      </c>
      <c r="C148" s="626">
        <v>1000000</v>
      </c>
      <c r="D148" s="626">
        <v>0</v>
      </c>
    </row>
    <row r="149" spans="1:4" x14ac:dyDescent="0.2">
      <c r="A149">
        <v>148</v>
      </c>
      <c r="B149" s="626">
        <v>0</v>
      </c>
      <c r="C149" s="626">
        <v>1000000</v>
      </c>
      <c r="D149" s="626">
        <v>0</v>
      </c>
    </row>
    <row r="150" spans="1:4" x14ac:dyDescent="0.2">
      <c r="A150">
        <v>149</v>
      </c>
      <c r="B150" s="626">
        <v>0</v>
      </c>
      <c r="C150" s="626">
        <v>1000000</v>
      </c>
      <c r="D150" s="626">
        <v>0</v>
      </c>
    </row>
    <row r="151" spans="1:4" x14ac:dyDescent="0.2">
      <c r="A151">
        <v>150</v>
      </c>
      <c r="B151" s="626">
        <v>0</v>
      </c>
      <c r="C151" s="626">
        <v>1000000</v>
      </c>
      <c r="D151" s="626">
        <v>0</v>
      </c>
    </row>
    <row r="152" spans="1:4" x14ac:dyDescent="0.2">
      <c r="A152">
        <v>151</v>
      </c>
      <c r="B152" s="626">
        <v>0</v>
      </c>
      <c r="C152" s="626">
        <v>1000000</v>
      </c>
      <c r="D152" s="626">
        <v>0</v>
      </c>
    </row>
    <row r="153" spans="1:4" x14ac:dyDescent="0.2">
      <c r="A153">
        <v>152</v>
      </c>
      <c r="B153" s="626">
        <v>0</v>
      </c>
      <c r="C153" s="626">
        <v>1000000</v>
      </c>
      <c r="D153" s="626">
        <v>0</v>
      </c>
    </row>
    <row r="154" spans="1:4" x14ac:dyDescent="0.2">
      <c r="A154">
        <v>153</v>
      </c>
      <c r="B154" s="626">
        <v>0</v>
      </c>
      <c r="C154" s="626">
        <v>1000000</v>
      </c>
      <c r="D154" s="626">
        <v>0</v>
      </c>
    </row>
    <row r="155" spans="1:4" x14ac:dyDescent="0.2">
      <c r="A155">
        <v>154</v>
      </c>
      <c r="B155" s="626">
        <v>0</v>
      </c>
      <c r="C155" s="626">
        <v>1000000</v>
      </c>
      <c r="D155" s="626">
        <v>0</v>
      </c>
    </row>
    <row r="156" spans="1:4" x14ac:dyDescent="0.2">
      <c r="A156">
        <v>155</v>
      </c>
      <c r="B156" s="626">
        <v>0</v>
      </c>
      <c r="C156" s="626">
        <v>1000000</v>
      </c>
      <c r="D156" s="626">
        <v>0</v>
      </c>
    </row>
    <row r="157" spans="1:4" x14ac:dyDescent="0.2">
      <c r="A157">
        <v>156</v>
      </c>
      <c r="B157" s="626">
        <v>0</v>
      </c>
      <c r="C157" s="626">
        <v>1000000</v>
      </c>
      <c r="D157" s="626">
        <v>0</v>
      </c>
    </row>
    <row r="158" spans="1:4" x14ac:dyDescent="0.2">
      <c r="A158">
        <v>157</v>
      </c>
      <c r="B158" s="626">
        <v>0</v>
      </c>
      <c r="C158" s="626">
        <v>1000000</v>
      </c>
      <c r="D158" s="626">
        <v>0</v>
      </c>
    </row>
    <row r="159" spans="1:4" x14ac:dyDescent="0.2">
      <c r="A159">
        <v>158</v>
      </c>
      <c r="B159" s="626">
        <v>0</v>
      </c>
      <c r="C159" s="626">
        <v>1000000</v>
      </c>
      <c r="D159" s="626">
        <v>0</v>
      </c>
    </row>
    <row r="160" spans="1:4" x14ac:dyDescent="0.2">
      <c r="A160">
        <v>159</v>
      </c>
      <c r="B160" s="626">
        <v>0</v>
      </c>
      <c r="C160" s="626">
        <v>1000000</v>
      </c>
      <c r="D160" s="626">
        <v>0</v>
      </c>
    </row>
    <row r="161" spans="1:4" x14ac:dyDescent="0.2">
      <c r="A161">
        <v>160</v>
      </c>
      <c r="B161" s="626">
        <v>0</v>
      </c>
      <c r="C161" s="626">
        <v>1000000</v>
      </c>
      <c r="D161" s="626">
        <v>0</v>
      </c>
    </row>
    <row r="162" spans="1:4" x14ac:dyDescent="0.2">
      <c r="A162">
        <v>161</v>
      </c>
      <c r="B162" s="626">
        <v>0</v>
      </c>
      <c r="C162" s="626">
        <v>1000000</v>
      </c>
      <c r="D162" s="626">
        <v>0</v>
      </c>
    </row>
    <row r="163" spans="1:4" x14ac:dyDescent="0.2">
      <c r="A163">
        <v>162</v>
      </c>
      <c r="B163" s="626">
        <v>0</v>
      </c>
      <c r="C163" s="626">
        <v>1000000</v>
      </c>
      <c r="D163" s="626">
        <v>0</v>
      </c>
    </row>
    <row r="164" spans="1:4" x14ac:dyDescent="0.2">
      <c r="A164">
        <v>163</v>
      </c>
      <c r="B164" s="626">
        <v>0</v>
      </c>
      <c r="C164" s="626">
        <v>1000000</v>
      </c>
      <c r="D164" s="626">
        <v>0</v>
      </c>
    </row>
    <row r="165" spans="1:4" x14ac:dyDescent="0.2">
      <c r="A165">
        <v>164</v>
      </c>
      <c r="B165" s="626">
        <v>0</v>
      </c>
      <c r="C165" s="626">
        <v>1000000</v>
      </c>
      <c r="D165" s="626">
        <v>0</v>
      </c>
    </row>
    <row r="166" spans="1:4" x14ac:dyDescent="0.2">
      <c r="A166">
        <v>165</v>
      </c>
      <c r="B166" s="626">
        <v>0</v>
      </c>
      <c r="C166" s="626">
        <v>1000000</v>
      </c>
      <c r="D166" s="626">
        <v>0</v>
      </c>
    </row>
    <row r="167" spans="1:4" x14ac:dyDescent="0.2">
      <c r="A167">
        <v>166</v>
      </c>
      <c r="B167" s="626">
        <v>0</v>
      </c>
      <c r="C167" s="626">
        <v>1000000</v>
      </c>
      <c r="D167" s="626">
        <v>0</v>
      </c>
    </row>
    <row r="168" spans="1:4" x14ac:dyDescent="0.2">
      <c r="A168">
        <v>167</v>
      </c>
      <c r="B168" s="626">
        <v>0</v>
      </c>
      <c r="C168" s="626">
        <v>1000000</v>
      </c>
      <c r="D168" s="626">
        <v>0</v>
      </c>
    </row>
    <row r="169" spans="1:4" x14ac:dyDescent="0.2">
      <c r="A169">
        <v>168</v>
      </c>
      <c r="B169" s="626">
        <v>0</v>
      </c>
      <c r="C169" s="626">
        <v>1000000</v>
      </c>
      <c r="D169" s="626">
        <v>0</v>
      </c>
    </row>
    <row r="170" spans="1:4" x14ac:dyDescent="0.2">
      <c r="A170">
        <v>169</v>
      </c>
      <c r="B170" s="626">
        <v>0</v>
      </c>
      <c r="C170" s="626">
        <v>1000000</v>
      </c>
      <c r="D170" s="626">
        <v>0</v>
      </c>
    </row>
    <row r="171" spans="1:4" x14ac:dyDescent="0.2">
      <c r="A171">
        <v>170</v>
      </c>
      <c r="B171" s="626">
        <v>0</v>
      </c>
      <c r="C171" s="626">
        <v>1000000</v>
      </c>
      <c r="D171" s="626">
        <v>0</v>
      </c>
    </row>
    <row r="172" spans="1:4" x14ac:dyDescent="0.2">
      <c r="A172">
        <v>171</v>
      </c>
      <c r="B172" s="626">
        <v>0</v>
      </c>
      <c r="C172" s="626">
        <v>1000000</v>
      </c>
      <c r="D172" s="626">
        <v>0</v>
      </c>
    </row>
    <row r="173" spans="1:4" x14ac:dyDescent="0.2">
      <c r="A173">
        <v>172</v>
      </c>
      <c r="B173" s="626">
        <v>0</v>
      </c>
      <c r="C173" s="626">
        <v>1000000</v>
      </c>
      <c r="D173" s="626">
        <v>0</v>
      </c>
    </row>
    <row r="174" spans="1:4" x14ac:dyDescent="0.2">
      <c r="A174">
        <v>173</v>
      </c>
      <c r="B174" s="626">
        <v>0</v>
      </c>
      <c r="C174" s="626">
        <v>1000000</v>
      </c>
      <c r="D174" s="626">
        <v>0</v>
      </c>
    </row>
    <row r="175" spans="1:4" x14ac:dyDescent="0.2">
      <c r="A175">
        <v>174</v>
      </c>
      <c r="B175" s="626">
        <v>0</v>
      </c>
      <c r="C175" s="626">
        <v>1000000</v>
      </c>
      <c r="D175" s="626">
        <v>0</v>
      </c>
    </row>
    <row r="176" spans="1:4" x14ac:dyDescent="0.2">
      <c r="A176">
        <v>175</v>
      </c>
      <c r="B176" s="626">
        <v>0</v>
      </c>
      <c r="C176" s="626">
        <v>1000000</v>
      </c>
      <c r="D176" s="626">
        <v>0</v>
      </c>
    </row>
    <row r="177" spans="1:4" x14ac:dyDescent="0.2">
      <c r="A177">
        <v>176</v>
      </c>
      <c r="B177" s="626">
        <v>0</v>
      </c>
      <c r="C177" s="626">
        <v>1000000</v>
      </c>
      <c r="D177" s="626">
        <v>0</v>
      </c>
    </row>
    <row r="178" spans="1:4" x14ac:dyDescent="0.2">
      <c r="A178">
        <v>177</v>
      </c>
      <c r="B178" s="626">
        <v>0</v>
      </c>
      <c r="C178" s="626">
        <v>1000000</v>
      </c>
      <c r="D178" s="626">
        <v>0</v>
      </c>
    </row>
    <row r="179" spans="1:4" x14ac:dyDescent="0.2">
      <c r="A179">
        <v>178</v>
      </c>
      <c r="B179" s="626">
        <v>0</v>
      </c>
      <c r="C179" s="626">
        <v>1000000</v>
      </c>
      <c r="D179" s="626">
        <v>0</v>
      </c>
    </row>
    <row r="180" spans="1:4" x14ac:dyDescent="0.2">
      <c r="A180">
        <v>179</v>
      </c>
      <c r="B180" s="626">
        <v>0</v>
      </c>
      <c r="C180" s="626">
        <v>1000000</v>
      </c>
      <c r="D180" s="626">
        <v>0</v>
      </c>
    </row>
    <row r="181" spans="1:4" x14ac:dyDescent="0.2">
      <c r="A181">
        <v>180</v>
      </c>
      <c r="B181" s="626">
        <v>0</v>
      </c>
      <c r="C181" s="626">
        <v>1000000</v>
      </c>
      <c r="D181" s="626">
        <v>0</v>
      </c>
    </row>
    <row r="182" spans="1:4" x14ac:dyDescent="0.2">
      <c r="A182">
        <v>181</v>
      </c>
      <c r="B182" s="626">
        <v>0</v>
      </c>
      <c r="C182" s="626">
        <v>1000000</v>
      </c>
      <c r="D182" s="626">
        <v>0</v>
      </c>
    </row>
    <row r="183" spans="1:4" x14ac:dyDescent="0.2">
      <c r="A183">
        <v>182</v>
      </c>
      <c r="B183" s="626">
        <v>0</v>
      </c>
      <c r="C183" s="626">
        <v>1000000</v>
      </c>
      <c r="D183" s="626">
        <v>0</v>
      </c>
    </row>
    <row r="184" spans="1:4" x14ac:dyDescent="0.2">
      <c r="A184">
        <v>183</v>
      </c>
      <c r="B184" s="626">
        <v>0</v>
      </c>
      <c r="C184" s="626">
        <v>1000000</v>
      </c>
      <c r="D184" s="626">
        <v>0</v>
      </c>
    </row>
    <row r="185" spans="1:4" x14ac:dyDescent="0.2">
      <c r="A185">
        <v>184</v>
      </c>
      <c r="B185" s="626">
        <v>0</v>
      </c>
      <c r="C185" s="626">
        <v>1000000</v>
      </c>
      <c r="D185" s="626">
        <v>0</v>
      </c>
    </row>
    <row r="186" spans="1:4" x14ac:dyDescent="0.2">
      <c r="A186">
        <v>185</v>
      </c>
      <c r="B186" s="626">
        <v>0</v>
      </c>
      <c r="C186" s="626">
        <v>1000000</v>
      </c>
      <c r="D186" s="626">
        <v>0</v>
      </c>
    </row>
    <row r="187" spans="1:4" x14ac:dyDescent="0.2">
      <c r="A187">
        <v>186</v>
      </c>
      <c r="B187" s="626">
        <v>0</v>
      </c>
      <c r="C187" s="626">
        <v>1000000</v>
      </c>
      <c r="D187" s="626">
        <v>0</v>
      </c>
    </row>
    <row r="188" spans="1:4" x14ac:dyDescent="0.2">
      <c r="A188">
        <v>187</v>
      </c>
      <c r="B188" s="626">
        <v>0</v>
      </c>
      <c r="C188" s="626">
        <v>1000000</v>
      </c>
      <c r="D188" s="626">
        <v>0</v>
      </c>
    </row>
    <row r="189" spans="1:4" x14ac:dyDescent="0.2">
      <c r="A189">
        <v>188</v>
      </c>
      <c r="B189" s="626">
        <v>0</v>
      </c>
      <c r="C189" s="626">
        <v>1000000</v>
      </c>
      <c r="D189" s="626">
        <v>0</v>
      </c>
    </row>
    <row r="190" spans="1:4" x14ac:dyDescent="0.2">
      <c r="A190">
        <v>189</v>
      </c>
      <c r="B190" s="626">
        <v>0</v>
      </c>
      <c r="C190" s="626">
        <v>1000000</v>
      </c>
      <c r="D190" s="626">
        <v>0</v>
      </c>
    </row>
    <row r="191" spans="1:4" x14ac:dyDescent="0.2">
      <c r="A191">
        <v>190</v>
      </c>
      <c r="B191" s="626">
        <v>0</v>
      </c>
      <c r="C191" s="626">
        <v>1000000</v>
      </c>
      <c r="D191" s="626">
        <v>0</v>
      </c>
    </row>
    <row r="192" spans="1:4" x14ac:dyDescent="0.2">
      <c r="A192">
        <v>191</v>
      </c>
      <c r="B192" s="626">
        <v>0</v>
      </c>
      <c r="C192" s="626">
        <v>1000000</v>
      </c>
      <c r="D192" s="626">
        <v>0</v>
      </c>
    </row>
    <row r="193" spans="1:4" x14ac:dyDescent="0.2">
      <c r="A193">
        <v>192</v>
      </c>
      <c r="B193" s="626">
        <v>0</v>
      </c>
      <c r="C193" s="626">
        <v>1000000</v>
      </c>
      <c r="D193" s="626">
        <v>0</v>
      </c>
    </row>
    <row r="194" spans="1:4" x14ac:dyDescent="0.2">
      <c r="A194">
        <v>193</v>
      </c>
      <c r="B194" s="626">
        <v>0</v>
      </c>
      <c r="C194" s="626">
        <v>1000000</v>
      </c>
      <c r="D194" s="626">
        <v>0</v>
      </c>
    </row>
    <row r="195" spans="1:4" x14ac:dyDescent="0.2">
      <c r="A195">
        <v>194</v>
      </c>
      <c r="B195" s="626">
        <v>0</v>
      </c>
      <c r="C195" s="626">
        <v>1000000</v>
      </c>
      <c r="D195" s="626">
        <v>0</v>
      </c>
    </row>
    <row r="196" spans="1:4" x14ac:dyDescent="0.2">
      <c r="A196">
        <v>195</v>
      </c>
      <c r="B196" s="626">
        <v>0</v>
      </c>
      <c r="C196" s="626">
        <v>1000000</v>
      </c>
      <c r="D196" s="626">
        <v>0</v>
      </c>
    </row>
    <row r="197" spans="1:4" x14ac:dyDescent="0.2">
      <c r="A197">
        <v>196</v>
      </c>
      <c r="B197" s="626">
        <v>0</v>
      </c>
      <c r="C197" s="626">
        <v>1000000</v>
      </c>
      <c r="D197" s="626">
        <v>0</v>
      </c>
    </row>
    <row r="198" spans="1:4" x14ac:dyDescent="0.2">
      <c r="A198">
        <v>197</v>
      </c>
      <c r="B198" s="626">
        <v>0</v>
      </c>
      <c r="C198" s="626">
        <v>1000000</v>
      </c>
      <c r="D198" s="626">
        <v>0</v>
      </c>
    </row>
    <row r="199" spans="1:4" x14ac:dyDescent="0.2">
      <c r="A199">
        <v>198</v>
      </c>
      <c r="B199" s="626">
        <v>0</v>
      </c>
      <c r="C199" s="626">
        <v>1000000</v>
      </c>
      <c r="D199" s="626">
        <v>0</v>
      </c>
    </row>
    <row r="200" spans="1:4" x14ac:dyDescent="0.2">
      <c r="A200">
        <v>199</v>
      </c>
      <c r="B200" s="626">
        <v>0</v>
      </c>
      <c r="C200" s="626">
        <v>1000000</v>
      </c>
      <c r="D200" s="626">
        <v>0</v>
      </c>
    </row>
    <row r="201" spans="1:4" x14ac:dyDescent="0.2">
      <c r="A201">
        <v>200</v>
      </c>
      <c r="B201" s="626">
        <v>0</v>
      </c>
      <c r="C201" s="626">
        <v>1000000</v>
      </c>
      <c r="D201" s="626">
        <v>0</v>
      </c>
    </row>
    <row r="202" spans="1:4" x14ac:dyDescent="0.2">
      <c r="A202">
        <v>201</v>
      </c>
      <c r="B202" s="626">
        <v>0</v>
      </c>
      <c r="C202" s="626">
        <v>1000000</v>
      </c>
      <c r="D202" s="626">
        <v>0</v>
      </c>
    </row>
    <row r="203" spans="1:4" x14ac:dyDescent="0.2">
      <c r="A203">
        <v>202</v>
      </c>
      <c r="B203" s="626">
        <v>0</v>
      </c>
      <c r="C203" s="626">
        <v>1000000</v>
      </c>
      <c r="D203" s="626">
        <v>0</v>
      </c>
    </row>
    <row r="204" spans="1:4" x14ac:dyDescent="0.2">
      <c r="A204">
        <v>203</v>
      </c>
      <c r="B204" s="626">
        <v>0</v>
      </c>
      <c r="C204" s="626">
        <v>1000000</v>
      </c>
      <c r="D204" s="626">
        <v>0</v>
      </c>
    </row>
    <row r="205" spans="1:4" x14ac:dyDescent="0.2">
      <c r="A205">
        <v>204</v>
      </c>
      <c r="B205" s="626">
        <v>0</v>
      </c>
      <c r="C205" s="626">
        <v>1000000</v>
      </c>
      <c r="D205" s="626">
        <v>0</v>
      </c>
    </row>
    <row r="206" spans="1:4" x14ac:dyDescent="0.2">
      <c r="A206">
        <v>205</v>
      </c>
      <c r="B206" s="626">
        <v>0</v>
      </c>
      <c r="C206" s="626">
        <v>1000000</v>
      </c>
      <c r="D206" s="626">
        <v>0</v>
      </c>
    </row>
    <row r="207" spans="1:4" x14ac:dyDescent="0.2">
      <c r="A207">
        <v>206</v>
      </c>
      <c r="B207" s="626">
        <v>0</v>
      </c>
      <c r="C207" s="626">
        <v>1000000</v>
      </c>
      <c r="D207" s="626">
        <v>0</v>
      </c>
    </row>
    <row r="208" spans="1:4" x14ac:dyDescent="0.2">
      <c r="A208">
        <v>207</v>
      </c>
      <c r="B208" s="626">
        <v>0</v>
      </c>
      <c r="C208" s="626">
        <v>1000000</v>
      </c>
      <c r="D208" s="626">
        <v>0</v>
      </c>
    </row>
    <row r="209" spans="1:4" x14ac:dyDescent="0.2">
      <c r="A209">
        <v>208</v>
      </c>
      <c r="B209" s="626">
        <v>0</v>
      </c>
      <c r="C209" s="626">
        <v>1000000</v>
      </c>
      <c r="D209" s="626">
        <v>0</v>
      </c>
    </row>
    <row r="210" spans="1:4" x14ac:dyDescent="0.2">
      <c r="A210">
        <v>209</v>
      </c>
      <c r="B210" s="626">
        <v>0</v>
      </c>
      <c r="C210" s="626">
        <v>1000000</v>
      </c>
      <c r="D210" s="626">
        <v>0</v>
      </c>
    </row>
    <row r="211" spans="1:4" x14ac:dyDescent="0.2">
      <c r="A211">
        <v>210</v>
      </c>
      <c r="B211" s="626">
        <v>0</v>
      </c>
      <c r="C211" s="626">
        <v>1000000</v>
      </c>
      <c r="D211" s="626">
        <v>0</v>
      </c>
    </row>
    <row r="212" spans="1:4" x14ac:dyDescent="0.2">
      <c r="A212">
        <v>211</v>
      </c>
      <c r="B212" s="626">
        <v>0</v>
      </c>
      <c r="C212" s="626">
        <v>1000000</v>
      </c>
      <c r="D212" s="626">
        <v>0</v>
      </c>
    </row>
    <row r="213" spans="1:4" x14ac:dyDescent="0.2">
      <c r="A213">
        <v>212</v>
      </c>
      <c r="B213" s="626">
        <v>0</v>
      </c>
      <c r="C213" s="626">
        <v>1000000</v>
      </c>
      <c r="D213" s="626">
        <v>0</v>
      </c>
    </row>
    <row r="214" spans="1:4" x14ac:dyDescent="0.2">
      <c r="A214">
        <v>213</v>
      </c>
      <c r="B214" s="626">
        <v>0</v>
      </c>
      <c r="C214" s="626">
        <v>1000000</v>
      </c>
      <c r="D214" s="626">
        <v>0</v>
      </c>
    </row>
    <row r="215" spans="1:4" x14ac:dyDescent="0.2">
      <c r="A215">
        <v>214</v>
      </c>
      <c r="B215" s="626">
        <v>0</v>
      </c>
      <c r="C215" s="626">
        <v>1000000</v>
      </c>
      <c r="D215" s="626">
        <v>0</v>
      </c>
    </row>
    <row r="216" spans="1:4" x14ac:dyDescent="0.2">
      <c r="A216">
        <v>215</v>
      </c>
      <c r="B216" s="626">
        <v>0</v>
      </c>
      <c r="C216" s="626">
        <v>1000000</v>
      </c>
      <c r="D216" s="626">
        <v>0</v>
      </c>
    </row>
    <row r="217" spans="1:4" x14ac:dyDescent="0.2">
      <c r="A217">
        <v>216</v>
      </c>
      <c r="B217" s="626">
        <v>0</v>
      </c>
      <c r="C217" s="626">
        <v>1000000</v>
      </c>
      <c r="D217" s="626">
        <v>0</v>
      </c>
    </row>
    <row r="218" spans="1:4" x14ac:dyDescent="0.2">
      <c r="A218">
        <v>217</v>
      </c>
      <c r="B218" s="626">
        <v>0</v>
      </c>
      <c r="C218" s="626">
        <v>1000000</v>
      </c>
      <c r="D218" s="626">
        <v>0</v>
      </c>
    </row>
    <row r="219" spans="1:4" x14ac:dyDescent="0.2">
      <c r="A219">
        <v>218</v>
      </c>
      <c r="B219" s="626">
        <v>0</v>
      </c>
      <c r="C219" s="626">
        <v>1000000</v>
      </c>
      <c r="D219" s="626">
        <v>0</v>
      </c>
    </row>
    <row r="220" spans="1:4" x14ac:dyDescent="0.2">
      <c r="A220">
        <v>219</v>
      </c>
      <c r="B220" s="626">
        <v>0</v>
      </c>
      <c r="C220" s="626">
        <v>1000000</v>
      </c>
      <c r="D220" s="626">
        <v>0</v>
      </c>
    </row>
    <row r="221" spans="1:4" x14ac:dyDescent="0.2">
      <c r="A221">
        <v>220</v>
      </c>
      <c r="B221" s="626">
        <v>0</v>
      </c>
      <c r="C221" s="626">
        <v>1000000</v>
      </c>
      <c r="D221" s="626">
        <v>0</v>
      </c>
    </row>
    <row r="222" spans="1:4" x14ac:dyDescent="0.2">
      <c r="A222">
        <v>221</v>
      </c>
      <c r="B222" s="626">
        <v>0</v>
      </c>
      <c r="C222" s="626">
        <v>1000000</v>
      </c>
      <c r="D222" s="626">
        <v>0</v>
      </c>
    </row>
    <row r="223" spans="1:4" x14ac:dyDescent="0.2">
      <c r="A223">
        <v>222</v>
      </c>
      <c r="B223" s="626">
        <v>0</v>
      </c>
      <c r="C223" s="626">
        <v>1000000</v>
      </c>
      <c r="D223" s="626">
        <v>0</v>
      </c>
    </row>
    <row r="224" spans="1:4" x14ac:dyDescent="0.2">
      <c r="A224">
        <v>223</v>
      </c>
      <c r="B224" s="626">
        <v>0</v>
      </c>
      <c r="C224" s="626">
        <v>1000000</v>
      </c>
      <c r="D224" s="626">
        <v>0</v>
      </c>
    </row>
    <row r="225" spans="1:4" x14ac:dyDescent="0.2">
      <c r="A225">
        <v>224</v>
      </c>
      <c r="B225" s="626">
        <v>0</v>
      </c>
      <c r="C225" s="626">
        <v>1000000</v>
      </c>
      <c r="D225" s="626">
        <v>0</v>
      </c>
    </row>
    <row r="226" spans="1:4" x14ac:dyDescent="0.2">
      <c r="A226">
        <v>225</v>
      </c>
      <c r="B226" s="626">
        <v>0</v>
      </c>
      <c r="C226" s="626">
        <v>1000000</v>
      </c>
      <c r="D226" s="626">
        <v>0</v>
      </c>
    </row>
    <row r="227" spans="1:4" x14ac:dyDescent="0.2">
      <c r="A227">
        <v>226</v>
      </c>
      <c r="B227" s="626">
        <v>0</v>
      </c>
      <c r="C227" s="626">
        <v>1000000</v>
      </c>
      <c r="D227" s="626">
        <v>0</v>
      </c>
    </row>
    <row r="228" spans="1:4" x14ac:dyDescent="0.2">
      <c r="A228">
        <v>227</v>
      </c>
      <c r="B228" s="626">
        <v>0</v>
      </c>
      <c r="C228" s="626">
        <v>1000000</v>
      </c>
      <c r="D228" s="626">
        <v>0</v>
      </c>
    </row>
    <row r="229" spans="1:4" x14ac:dyDescent="0.2">
      <c r="A229">
        <v>228</v>
      </c>
      <c r="B229" s="626">
        <v>0</v>
      </c>
      <c r="C229" s="626">
        <v>1000000</v>
      </c>
      <c r="D229" s="626">
        <v>0</v>
      </c>
    </row>
    <row r="230" spans="1:4" x14ac:dyDescent="0.2">
      <c r="A230">
        <v>229</v>
      </c>
      <c r="B230" s="626">
        <v>0</v>
      </c>
      <c r="C230" s="626">
        <v>1000000</v>
      </c>
      <c r="D230" s="626">
        <v>0</v>
      </c>
    </row>
    <row r="231" spans="1:4" x14ac:dyDescent="0.2">
      <c r="A231">
        <v>230</v>
      </c>
      <c r="B231" s="626">
        <v>0</v>
      </c>
      <c r="C231" s="626">
        <v>1000000</v>
      </c>
      <c r="D231" s="626">
        <v>0</v>
      </c>
    </row>
    <row r="232" spans="1:4" x14ac:dyDescent="0.2">
      <c r="A232">
        <v>231</v>
      </c>
      <c r="B232" s="626">
        <v>0</v>
      </c>
      <c r="C232" s="626">
        <v>1000000</v>
      </c>
      <c r="D232" s="626">
        <v>0</v>
      </c>
    </row>
    <row r="233" spans="1:4" x14ac:dyDescent="0.2">
      <c r="A233">
        <v>232</v>
      </c>
      <c r="B233" s="626">
        <v>0</v>
      </c>
      <c r="C233" s="626">
        <v>1000000</v>
      </c>
      <c r="D233" s="626">
        <v>0</v>
      </c>
    </row>
    <row r="234" spans="1:4" x14ac:dyDescent="0.2">
      <c r="A234">
        <v>233</v>
      </c>
      <c r="B234" s="626">
        <v>0</v>
      </c>
      <c r="C234" s="626">
        <v>1000000</v>
      </c>
      <c r="D234" s="626">
        <v>0</v>
      </c>
    </row>
    <row r="235" spans="1:4" x14ac:dyDescent="0.2">
      <c r="A235">
        <v>234</v>
      </c>
      <c r="B235" s="626">
        <v>0</v>
      </c>
      <c r="C235" s="626">
        <v>1000000</v>
      </c>
      <c r="D235" s="626">
        <v>0</v>
      </c>
    </row>
    <row r="236" spans="1:4" x14ac:dyDescent="0.2">
      <c r="A236">
        <v>235</v>
      </c>
      <c r="B236" s="626">
        <v>0</v>
      </c>
      <c r="C236" s="626">
        <v>1000000</v>
      </c>
      <c r="D236" s="626">
        <v>0</v>
      </c>
    </row>
    <row r="237" spans="1:4" x14ac:dyDescent="0.2">
      <c r="A237">
        <v>236</v>
      </c>
      <c r="B237" s="626">
        <v>0</v>
      </c>
      <c r="C237" s="626">
        <v>1000000</v>
      </c>
      <c r="D237" s="626">
        <v>0</v>
      </c>
    </row>
    <row r="238" spans="1:4" x14ac:dyDescent="0.2">
      <c r="A238">
        <v>237</v>
      </c>
      <c r="B238" s="626">
        <v>0</v>
      </c>
      <c r="C238" s="626">
        <v>1000000</v>
      </c>
      <c r="D238" s="626">
        <v>0</v>
      </c>
    </row>
    <row r="239" spans="1:4" x14ac:dyDescent="0.2">
      <c r="A239">
        <v>238</v>
      </c>
      <c r="B239" s="626">
        <v>0</v>
      </c>
      <c r="C239" s="626">
        <v>1000000</v>
      </c>
      <c r="D239" s="626">
        <v>0</v>
      </c>
    </row>
    <row r="240" spans="1:4" x14ac:dyDescent="0.2">
      <c r="A240">
        <v>239</v>
      </c>
      <c r="B240" s="626">
        <v>0</v>
      </c>
      <c r="C240" s="626">
        <v>1000000</v>
      </c>
      <c r="D240" s="626">
        <v>0</v>
      </c>
    </row>
    <row r="241" spans="1:4" x14ac:dyDescent="0.2">
      <c r="A241">
        <v>240</v>
      </c>
      <c r="B241" s="626">
        <v>0</v>
      </c>
      <c r="C241" s="626">
        <v>1000000</v>
      </c>
      <c r="D241" s="626">
        <v>0</v>
      </c>
    </row>
    <row r="242" spans="1:4" x14ac:dyDescent="0.2">
      <c r="A242">
        <v>241</v>
      </c>
      <c r="B242" s="626">
        <v>0</v>
      </c>
      <c r="C242" s="626">
        <v>1000000</v>
      </c>
      <c r="D242" s="626">
        <v>0</v>
      </c>
    </row>
    <row r="243" spans="1:4" x14ac:dyDescent="0.2">
      <c r="A243">
        <v>242</v>
      </c>
      <c r="B243" s="626">
        <v>0</v>
      </c>
      <c r="C243" s="626">
        <v>1000000</v>
      </c>
      <c r="D243" s="626">
        <v>0</v>
      </c>
    </row>
    <row r="244" spans="1:4" x14ac:dyDescent="0.2">
      <c r="A244">
        <v>243</v>
      </c>
      <c r="B244" s="626">
        <v>0</v>
      </c>
      <c r="C244" s="626">
        <v>1000000</v>
      </c>
      <c r="D244" s="626">
        <v>0</v>
      </c>
    </row>
    <row r="245" spans="1:4" x14ac:dyDescent="0.2">
      <c r="A245">
        <v>244</v>
      </c>
      <c r="B245" s="626">
        <v>0</v>
      </c>
      <c r="C245" s="626">
        <v>1000000</v>
      </c>
      <c r="D245" s="626">
        <v>0</v>
      </c>
    </row>
    <row r="246" spans="1:4" x14ac:dyDescent="0.2">
      <c r="A246">
        <v>245</v>
      </c>
      <c r="B246" s="626">
        <v>0</v>
      </c>
      <c r="C246" s="626">
        <v>1000000</v>
      </c>
      <c r="D246" s="626">
        <v>0</v>
      </c>
    </row>
    <row r="247" spans="1:4" x14ac:dyDescent="0.2">
      <c r="A247">
        <v>246</v>
      </c>
      <c r="B247" s="626">
        <v>0</v>
      </c>
      <c r="C247" s="626">
        <v>1000000</v>
      </c>
      <c r="D247" s="626">
        <v>0</v>
      </c>
    </row>
    <row r="248" spans="1:4" x14ac:dyDescent="0.2">
      <c r="A248">
        <v>247</v>
      </c>
      <c r="B248" s="626">
        <v>0</v>
      </c>
      <c r="C248" s="626">
        <v>1000000</v>
      </c>
      <c r="D248" s="626">
        <v>0</v>
      </c>
    </row>
    <row r="249" spans="1:4" x14ac:dyDescent="0.2">
      <c r="A249">
        <v>248</v>
      </c>
      <c r="B249" s="626">
        <v>0</v>
      </c>
      <c r="C249" s="626">
        <v>1000000</v>
      </c>
      <c r="D249" s="626">
        <v>0</v>
      </c>
    </row>
    <row r="250" spans="1:4" x14ac:dyDescent="0.2">
      <c r="A250">
        <v>249</v>
      </c>
      <c r="B250" s="626">
        <v>0</v>
      </c>
      <c r="C250" s="626">
        <v>1000000</v>
      </c>
      <c r="D250" s="626">
        <v>0</v>
      </c>
    </row>
    <row r="251" spans="1:4" x14ac:dyDescent="0.2">
      <c r="A251">
        <v>250</v>
      </c>
      <c r="B251" s="626">
        <v>0</v>
      </c>
      <c r="C251" s="626">
        <v>1000000</v>
      </c>
      <c r="D251" s="626">
        <v>0</v>
      </c>
    </row>
    <row r="252" spans="1:4" x14ac:dyDescent="0.2">
      <c r="A252">
        <v>251</v>
      </c>
      <c r="B252" s="626">
        <v>0</v>
      </c>
      <c r="C252" s="626">
        <v>1000000</v>
      </c>
      <c r="D252" s="626">
        <v>0</v>
      </c>
    </row>
    <row r="253" spans="1:4" x14ac:dyDescent="0.2">
      <c r="A253">
        <v>252</v>
      </c>
      <c r="B253" s="626">
        <v>0</v>
      </c>
      <c r="C253" s="626">
        <v>1000000</v>
      </c>
      <c r="D253" s="626">
        <v>0</v>
      </c>
    </row>
    <row r="254" spans="1:4" x14ac:dyDescent="0.2">
      <c r="A254">
        <v>253</v>
      </c>
      <c r="B254" s="626">
        <v>0</v>
      </c>
      <c r="C254" s="626">
        <v>1000000</v>
      </c>
      <c r="D254" s="626">
        <v>0</v>
      </c>
    </row>
    <row r="255" spans="1:4" x14ac:dyDescent="0.2">
      <c r="A255">
        <v>254</v>
      </c>
      <c r="B255" s="626">
        <v>0</v>
      </c>
      <c r="C255" s="626">
        <v>1000000</v>
      </c>
      <c r="D255" s="626">
        <v>0</v>
      </c>
    </row>
    <row r="256" spans="1:4" x14ac:dyDescent="0.2">
      <c r="A256">
        <v>255</v>
      </c>
      <c r="B256" s="626">
        <v>0</v>
      </c>
      <c r="C256" s="626">
        <v>1000000</v>
      </c>
      <c r="D256" s="626">
        <v>0</v>
      </c>
    </row>
    <row r="257" spans="1:4" x14ac:dyDescent="0.2">
      <c r="A257">
        <v>256</v>
      </c>
      <c r="B257" s="626">
        <v>0</v>
      </c>
      <c r="C257" s="626">
        <v>1000000</v>
      </c>
      <c r="D257" s="626">
        <v>0</v>
      </c>
    </row>
    <row r="258" spans="1:4" x14ac:dyDescent="0.2">
      <c r="A258">
        <v>257</v>
      </c>
      <c r="B258" s="626">
        <v>0</v>
      </c>
      <c r="C258" s="626">
        <v>1000000</v>
      </c>
      <c r="D258" s="626">
        <v>0</v>
      </c>
    </row>
    <row r="259" spans="1:4" x14ac:dyDescent="0.2">
      <c r="A259">
        <v>258</v>
      </c>
      <c r="B259" s="626">
        <v>0</v>
      </c>
      <c r="C259" s="626">
        <v>1000000</v>
      </c>
      <c r="D259" s="626">
        <v>0</v>
      </c>
    </row>
    <row r="260" spans="1:4" x14ac:dyDescent="0.2">
      <c r="A260">
        <v>259</v>
      </c>
      <c r="B260" s="626">
        <v>0</v>
      </c>
      <c r="C260" s="626">
        <v>1000000</v>
      </c>
      <c r="D260" s="626">
        <v>0</v>
      </c>
    </row>
    <row r="261" spans="1:4" x14ac:dyDescent="0.2">
      <c r="A261">
        <v>260</v>
      </c>
      <c r="B261" s="626">
        <v>0</v>
      </c>
      <c r="C261" s="626">
        <v>1000000</v>
      </c>
      <c r="D261" s="626">
        <v>0</v>
      </c>
    </row>
    <row r="262" spans="1:4" x14ac:dyDescent="0.2">
      <c r="A262">
        <v>261</v>
      </c>
      <c r="B262" s="626">
        <v>0</v>
      </c>
      <c r="C262" s="626">
        <v>1000000</v>
      </c>
      <c r="D262" s="626">
        <v>0</v>
      </c>
    </row>
    <row r="263" spans="1:4" x14ac:dyDescent="0.2">
      <c r="A263">
        <v>262</v>
      </c>
      <c r="B263" s="626">
        <v>0</v>
      </c>
      <c r="C263" s="626">
        <v>1000000</v>
      </c>
      <c r="D263" s="626">
        <v>0</v>
      </c>
    </row>
    <row r="264" spans="1:4" x14ac:dyDescent="0.2">
      <c r="A264">
        <v>263</v>
      </c>
      <c r="B264" s="626">
        <v>0</v>
      </c>
      <c r="C264" s="626">
        <v>1000000</v>
      </c>
      <c r="D264" s="626">
        <v>0</v>
      </c>
    </row>
    <row r="265" spans="1:4" x14ac:dyDescent="0.2">
      <c r="A265">
        <v>264</v>
      </c>
      <c r="B265" s="626">
        <v>0</v>
      </c>
      <c r="C265" s="626">
        <v>1000000</v>
      </c>
      <c r="D265" s="626">
        <v>0</v>
      </c>
    </row>
    <row r="266" spans="1:4" x14ac:dyDescent="0.2">
      <c r="A266">
        <v>265</v>
      </c>
      <c r="B266" s="626">
        <v>0</v>
      </c>
      <c r="C266" s="626">
        <v>1000000</v>
      </c>
      <c r="D266" s="626">
        <v>0</v>
      </c>
    </row>
    <row r="267" spans="1:4" x14ac:dyDescent="0.2">
      <c r="A267">
        <v>266</v>
      </c>
      <c r="B267" s="626">
        <v>0</v>
      </c>
      <c r="C267" s="626">
        <v>1000000</v>
      </c>
      <c r="D267" s="626">
        <v>0</v>
      </c>
    </row>
    <row r="268" spans="1:4" x14ac:dyDescent="0.2">
      <c r="A268">
        <v>267</v>
      </c>
      <c r="B268" s="626">
        <v>0</v>
      </c>
      <c r="C268" s="626">
        <v>1000000</v>
      </c>
      <c r="D268" s="626">
        <v>0</v>
      </c>
    </row>
    <row r="269" spans="1:4" x14ac:dyDescent="0.2">
      <c r="A269">
        <v>268</v>
      </c>
      <c r="B269" s="626">
        <v>0</v>
      </c>
      <c r="C269" s="626">
        <v>1000000</v>
      </c>
      <c r="D269" s="626">
        <v>0</v>
      </c>
    </row>
    <row r="270" spans="1:4" x14ac:dyDescent="0.2">
      <c r="A270">
        <v>269</v>
      </c>
      <c r="B270" s="626">
        <v>0</v>
      </c>
      <c r="C270" s="626">
        <v>1000000</v>
      </c>
      <c r="D270" s="626">
        <v>0</v>
      </c>
    </row>
    <row r="271" spans="1:4" x14ac:dyDescent="0.2">
      <c r="A271">
        <v>270</v>
      </c>
      <c r="B271" s="626">
        <v>0</v>
      </c>
      <c r="C271" s="626">
        <v>1000000</v>
      </c>
      <c r="D271" s="626">
        <v>0</v>
      </c>
    </row>
    <row r="272" spans="1:4" x14ac:dyDescent="0.2">
      <c r="A272">
        <v>271</v>
      </c>
      <c r="B272" s="626">
        <v>0</v>
      </c>
      <c r="C272" s="626">
        <v>1000000</v>
      </c>
      <c r="D272" s="626">
        <v>0</v>
      </c>
    </row>
    <row r="273" spans="1:4" x14ac:dyDescent="0.2">
      <c r="A273">
        <v>272</v>
      </c>
      <c r="B273" s="626">
        <v>0</v>
      </c>
      <c r="C273" s="626">
        <v>1000000</v>
      </c>
      <c r="D273" s="626">
        <v>0</v>
      </c>
    </row>
    <row r="274" spans="1:4" x14ac:dyDescent="0.2">
      <c r="A274">
        <v>273</v>
      </c>
      <c r="B274" s="626">
        <v>0</v>
      </c>
      <c r="C274" s="626">
        <v>1000000</v>
      </c>
      <c r="D274" s="626">
        <v>0</v>
      </c>
    </row>
    <row r="275" spans="1:4" x14ac:dyDescent="0.2">
      <c r="A275">
        <v>274</v>
      </c>
      <c r="B275" s="626">
        <v>0</v>
      </c>
      <c r="C275" s="626">
        <v>1000000</v>
      </c>
      <c r="D275" s="626">
        <v>0</v>
      </c>
    </row>
    <row r="276" spans="1:4" x14ac:dyDescent="0.2">
      <c r="A276">
        <v>275</v>
      </c>
      <c r="B276" s="626">
        <v>0</v>
      </c>
      <c r="C276" s="626">
        <v>1000000</v>
      </c>
      <c r="D276" s="626">
        <v>0</v>
      </c>
    </row>
    <row r="277" spans="1:4" x14ac:dyDescent="0.2">
      <c r="A277">
        <v>276</v>
      </c>
      <c r="B277" s="626">
        <v>0</v>
      </c>
      <c r="C277" s="626">
        <v>1000000</v>
      </c>
      <c r="D277" s="626">
        <v>0</v>
      </c>
    </row>
    <row r="278" spans="1:4" x14ac:dyDescent="0.2">
      <c r="A278">
        <v>277</v>
      </c>
      <c r="B278" s="626">
        <v>0</v>
      </c>
      <c r="C278" s="626">
        <v>1000000</v>
      </c>
      <c r="D278" s="626">
        <v>0</v>
      </c>
    </row>
    <row r="279" spans="1:4" x14ac:dyDescent="0.2">
      <c r="A279">
        <v>278</v>
      </c>
      <c r="B279" s="626">
        <v>0</v>
      </c>
      <c r="C279" s="626">
        <v>1000000</v>
      </c>
      <c r="D279" s="626">
        <v>0</v>
      </c>
    </row>
    <row r="280" spans="1:4" x14ac:dyDescent="0.2">
      <c r="A280">
        <v>279</v>
      </c>
      <c r="B280" s="626">
        <v>0</v>
      </c>
      <c r="C280" s="626">
        <v>1000000</v>
      </c>
      <c r="D280" s="626">
        <v>0</v>
      </c>
    </row>
    <row r="281" spans="1:4" x14ac:dyDescent="0.2">
      <c r="A281">
        <v>280</v>
      </c>
      <c r="B281" s="626">
        <v>0</v>
      </c>
      <c r="C281" s="626">
        <v>1000000</v>
      </c>
      <c r="D281" s="626">
        <v>0</v>
      </c>
    </row>
    <row r="282" spans="1:4" x14ac:dyDescent="0.2">
      <c r="A282">
        <v>281</v>
      </c>
      <c r="B282" s="626">
        <v>0</v>
      </c>
      <c r="C282" s="626">
        <v>1000000</v>
      </c>
      <c r="D282" s="626">
        <v>0</v>
      </c>
    </row>
    <row r="283" spans="1:4" x14ac:dyDescent="0.2">
      <c r="A283">
        <v>282</v>
      </c>
      <c r="B283" s="626">
        <v>0</v>
      </c>
      <c r="C283" s="626">
        <v>1000000</v>
      </c>
      <c r="D283" s="626">
        <v>0</v>
      </c>
    </row>
    <row r="284" spans="1:4" x14ac:dyDescent="0.2">
      <c r="A284">
        <v>283</v>
      </c>
      <c r="B284" s="626">
        <v>0</v>
      </c>
      <c r="C284" s="626">
        <v>1000000</v>
      </c>
      <c r="D284" s="626">
        <v>0</v>
      </c>
    </row>
    <row r="285" spans="1:4" x14ac:dyDescent="0.2">
      <c r="A285">
        <v>284</v>
      </c>
      <c r="B285" s="626">
        <v>0</v>
      </c>
      <c r="C285" s="626">
        <v>1000000</v>
      </c>
      <c r="D285" s="626">
        <v>0</v>
      </c>
    </row>
    <row r="286" spans="1:4" x14ac:dyDescent="0.2">
      <c r="A286">
        <v>285</v>
      </c>
      <c r="B286" s="626">
        <v>0</v>
      </c>
      <c r="C286" s="626">
        <v>1000000</v>
      </c>
      <c r="D286" s="626">
        <v>0</v>
      </c>
    </row>
    <row r="287" spans="1:4" x14ac:dyDescent="0.2">
      <c r="A287">
        <v>286</v>
      </c>
      <c r="B287" s="626">
        <v>0</v>
      </c>
      <c r="C287" s="626">
        <v>1000000</v>
      </c>
      <c r="D287" s="626">
        <v>0</v>
      </c>
    </row>
    <row r="288" spans="1:4" x14ac:dyDescent="0.2">
      <c r="A288">
        <v>287</v>
      </c>
      <c r="B288" s="626">
        <v>0</v>
      </c>
      <c r="C288" s="626">
        <v>1000000</v>
      </c>
      <c r="D288" s="626">
        <v>0</v>
      </c>
    </row>
    <row r="289" spans="1:4" x14ac:dyDescent="0.2">
      <c r="A289">
        <v>288</v>
      </c>
      <c r="B289" s="626">
        <v>0</v>
      </c>
      <c r="C289" s="626">
        <v>1000000</v>
      </c>
      <c r="D289" s="626">
        <v>0</v>
      </c>
    </row>
    <row r="290" spans="1:4" x14ac:dyDescent="0.2">
      <c r="A290">
        <v>289</v>
      </c>
      <c r="B290" s="626">
        <v>0</v>
      </c>
      <c r="C290" s="626">
        <v>1000000</v>
      </c>
      <c r="D290" s="626">
        <v>0</v>
      </c>
    </row>
    <row r="291" spans="1:4" x14ac:dyDescent="0.2">
      <c r="A291">
        <v>290</v>
      </c>
      <c r="B291" s="626">
        <v>0</v>
      </c>
      <c r="C291" s="626">
        <v>1000000</v>
      </c>
      <c r="D291" s="626">
        <v>0</v>
      </c>
    </row>
    <row r="292" spans="1:4" x14ac:dyDescent="0.2">
      <c r="A292">
        <v>291</v>
      </c>
      <c r="B292" s="626">
        <v>0</v>
      </c>
      <c r="C292" s="626">
        <v>1000000</v>
      </c>
      <c r="D292" s="626">
        <v>0</v>
      </c>
    </row>
    <row r="293" spans="1:4" x14ac:dyDescent="0.2">
      <c r="A293">
        <v>292</v>
      </c>
      <c r="B293" s="626">
        <v>0</v>
      </c>
      <c r="C293" s="626">
        <v>1000000</v>
      </c>
      <c r="D293" s="626">
        <v>0</v>
      </c>
    </row>
    <row r="294" spans="1:4" x14ac:dyDescent="0.2">
      <c r="A294">
        <v>293</v>
      </c>
      <c r="B294" s="626">
        <v>0</v>
      </c>
      <c r="C294" s="626">
        <v>1000000</v>
      </c>
      <c r="D294" s="626">
        <v>0</v>
      </c>
    </row>
    <row r="295" spans="1:4" x14ac:dyDescent="0.2">
      <c r="A295">
        <v>294</v>
      </c>
      <c r="B295" s="626">
        <v>0</v>
      </c>
      <c r="C295" s="626">
        <v>1000000</v>
      </c>
      <c r="D295" s="626">
        <v>0</v>
      </c>
    </row>
    <row r="296" spans="1:4" x14ac:dyDescent="0.2">
      <c r="A296">
        <v>295</v>
      </c>
      <c r="B296" s="626">
        <v>0</v>
      </c>
      <c r="C296" s="626">
        <v>1000000</v>
      </c>
      <c r="D296" s="626">
        <v>0</v>
      </c>
    </row>
    <row r="297" spans="1:4" x14ac:dyDescent="0.2">
      <c r="A297">
        <v>296</v>
      </c>
      <c r="B297" s="626">
        <v>0</v>
      </c>
      <c r="C297" s="626">
        <v>1000000</v>
      </c>
      <c r="D297" s="626">
        <v>0</v>
      </c>
    </row>
    <row r="298" spans="1:4" x14ac:dyDescent="0.2">
      <c r="A298">
        <v>297</v>
      </c>
      <c r="B298" s="626">
        <v>0</v>
      </c>
      <c r="C298" s="626">
        <v>1000000</v>
      </c>
      <c r="D298" s="626">
        <v>0</v>
      </c>
    </row>
    <row r="299" spans="1:4" x14ac:dyDescent="0.2">
      <c r="A299">
        <v>298</v>
      </c>
      <c r="B299" s="626">
        <v>0</v>
      </c>
      <c r="C299" s="626">
        <v>1000000</v>
      </c>
      <c r="D299" s="626">
        <v>0</v>
      </c>
    </row>
    <row r="300" spans="1:4" x14ac:dyDescent="0.2">
      <c r="A300">
        <v>299</v>
      </c>
      <c r="B300" s="626">
        <v>0</v>
      </c>
      <c r="C300" s="626">
        <v>1000000</v>
      </c>
      <c r="D300" s="626">
        <v>0</v>
      </c>
    </row>
    <row r="301" spans="1:4" x14ac:dyDescent="0.2">
      <c r="A301">
        <v>300</v>
      </c>
      <c r="B301" s="626">
        <v>0</v>
      </c>
      <c r="C301" s="626">
        <v>1000000</v>
      </c>
      <c r="D301" s="626">
        <v>0</v>
      </c>
    </row>
    <row r="302" spans="1:4" x14ac:dyDescent="0.2">
      <c r="A302">
        <v>301</v>
      </c>
      <c r="B302" s="626">
        <v>0</v>
      </c>
      <c r="C302" s="626">
        <v>1000000</v>
      </c>
      <c r="D302" s="626">
        <v>0</v>
      </c>
    </row>
    <row r="303" spans="1:4" x14ac:dyDescent="0.2">
      <c r="A303">
        <v>302</v>
      </c>
      <c r="B303" s="626">
        <v>0</v>
      </c>
      <c r="C303" s="626">
        <v>1000000</v>
      </c>
      <c r="D303" s="626">
        <v>0</v>
      </c>
    </row>
    <row r="304" spans="1:4" x14ac:dyDescent="0.2">
      <c r="A304">
        <v>303</v>
      </c>
      <c r="B304" s="626">
        <v>0</v>
      </c>
      <c r="C304" s="626">
        <v>1000000</v>
      </c>
      <c r="D304" s="626">
        <v>0</v>
      </c>
    </row>
    <row r="305" spans="1:4" x14ac:dyDescent="0.2">
      <c r="A305">
        <v>304</v>
      </c>
      <c r="B305" s="626">
        <v>0</v>
      </c>
      <c r="C305" s="626">
        <v>1000000</v>
      </c>
      <c r="D305" s="626">
        <v>0</v>
      </c>
    </row>
    <row r="306" spans="1:4" x14ac:dyDescent="0.2">
      <c r="A306">
        <v>305</v>
      </c>
      <c r="B306" s="626">
        <v>0</v>
      </c>
      <c r="C306" s="626">
        <v>1000000</v>
      </c>
      <c r="D306" s="626">
        <v>0</v>
      </c>
    </row>
    <row r="307" spans="1:4" x14ac:dyDescent="0.2">
      <c r="A307">
        <v>306</v>
      </c>
      <c r="B307" s="626">
        <v>0</v>
      </c>
      <c r="C307" s="626">
        <v>1000000</v>
      </c>
      <c r="D307" s="626">
        <v>0</v>
      </c>
    </row>
    <row r="308" spans="1:4" x14ac:dyDescent="0.2">
      <c r="A308">
        <v>307</v>
      </c>
      <c r="B308" s="626">
        <v>0</v>
      </c>
      <c r="C308" s="626">
        <v>1000000</v>
      </c>
      <c r="D308" s="626">
        <v>0</v>
      </c>
    </row>
    <row r="309" spans="1:4" x14ac:dyDescent="0.2">
      <c r="A309">
        <v>308</v>
      </c>
      <c r="B309" s="626">
        <v>0</v>
      </c>
      <c r="C309" s="626">
        <v>1000000</v>
      </c>
      <c r="D309" s="626">
        <v>0</v>
      </c>
    </row>
    <row r="310" spans="1:4" x14ac:dyDescent="0.2">
      <c r="A310">
        <v>309</v>
      </c>
      <c r="B310" s="626">
        <v>0</v>
      </c>
      <c r="C310" s="626">
        <v>1000000</v>
      </c>
      <c r="D310" s="626">
        <v>0</v>
      </c>
    </row>
    <row r="311" spans="1:4" x14ac:dyDescent="0.2">
      <c r="A311">
        <v>310</v>
      </c>
      <c r="B311" s="626">
        <v>0</v>
      </c>
      <c r="C311" s="626">
        <v>1000000</v>
      </c>
      <c r="D311" s="626">
        <v>0</v>
      </c>
    </row>
    <row r="312" spans="1:4" x14ac:dyDescent="0.2">
      <c r="A312">
        <v>311</v>
      </c>
      <c r="B312" s="626">
        <v>0</v>
      </c>
      <c r="C312" s="626">
        <v>1000000</v>
      </c>
      <c r="D312" s="626">
        <v>0</v>
      </c>
    </row>
    <row r="313" spans="1:4" x14ac:dyDescent="0.2">
      <c r="A313">
        <v>312</v>
      </c>
      <c r="B313" s="626">
        <v>0</v>
      </c>
      <c r="C313" s="626">
        <v>1000000</v>
      </c>
      <c r="D313" s="626">
        <v>0</v>
      </c>
    </row>
    <row r="314" spans="1:4" x14ac:dyDescent="0.2">
      <c r="A314">
        <v>313</v>
      </c>
      <c r="B314" s="626">
        <v>0</v>
      </c>
      <c r="C314" s="626">
        <v>1000000</v>
      </c>
      <c r="D314" s="626">
        <v>0</v>
      </c>
    </row>
    <row r="315" spans="1:4" x14ac:dyDescent="0.2">
      <c r="A315">
        <v>314</v>
      </c>
      <c r="B315" s="626">
        <v>0</v>
      </c>
      <c r="C315" s="626">
        <v>1000000</v>
      </c>
      <c r="D315" s="626">
        <v>0</v>
      </c>
    </row>
    <row r="316" spans="1:4" x14ac:dyDescent="0.2">
      <c r="A316">
        <v>315</v>
      </c>
      <c r="B316" s="626">
        <v>0</v>
      </c>
      <c r="C316" s="626">
        <v>1000000</v>
      </c>
      <c r="D316" s="626">
        <v>0</v>
      </c>
    </row>
    <row r="317" spans="1:4" x14ac:dyDescent="0.2">
      <c r="A317">
        <v>316</v>
      </c>
      <c r="B317" s="626">
        <v>0</v>
      </c>
      <c r="C317" s="626">
        <v>1000000</v>
      </c>
      <c r="D317" s="626">
        <v>0</v>
      </c>
    </row>
    <row r="318" spans="1:4" x14ac:dyDescent="0.2">
      <c r="A318">
        <v>317</v>
      </c>
      <c r="B318" s="626">
        <v>0</v>
      </c>
      <c r="C318" s="626">
        <v>1000000</v>
      </c>
      <c r="D318" s="626">
        <v>0</v>
      </c>
    </row>
    <row r="319" spans="1:4" x14ac:dyDescent="0.2">
      <c r="A319">
        <v>318</v>
      </c>
      <c r="B319" s="626">
        <v>0</v>
      </c>
      <c r="C319" s="626">
        <v>1000000</v>
      </c>
      <c r="D319" s="626">
        <v>0</v>
      </c>
    </row>
    <row r="320" spans="1:4" x14ac:dyDescent="0.2">
      <c r="A320">
        <v>319</v>
      </c>
      <c r="B320" s="626">
        <v>0</v>
      </c>
      <c r="C320" s="626">
        <v>1000000</v>
      </c>
      <c r="D320" s="626">
        <v>0</v>
      </c>
    </row>
    <row r="321" spans="1:4" x14ac:dyDescent="0.2">
      <c r="A321">
        <v>320</v>
      </c>
      <c r="B321" s="626">
        <v>0</v>
      </c>
      <c r="C321" s="626">
        <v>1000000</v>
      </c>
      <c r="D321" s="626">
        <v>0</v>
      </c>
    </row>
    <row r="322" spans="1:4" x14ac:dyDescent="0.2">
      <c r="A322">
        <v>321</v>
      </c>
      <c r="B322" s="626">
        <v>0</v>
      </c>
      <c r="C322" s="626">
        <v>1000000</v>
      </c>
      <c r="D322" s="626">
        <v>0</v>
      </c>
    </row>
    <row r="323" spans="1:4" x14ac:dyDescent="0.2">
      <c r="A323">
        <v>322</v>
      </c>
      <c r="B323" s="626">
        <v>0</v>
      </c>
      <c r="C323" s="626">
        <v>1000000</v>
      </c>
      <c r="D323" s="626">
        <v>0</v>
      </c>
    </row>
    <row r="324" spans="1:4" x14ac:dyDescent="0.2">
      <c r="A324">
        <v>323</v>
      </c>
      <c r="B324" s="626">
        <v>0</v>
      </c>
      <c r="C324" s="626">
        <v>1000000</v>
      </c>
      <c r="D324" s="626">
        <v>0</v>
      </c>
    </row>
    <row r="325" spans="1:4" x14ac:dyDescent="0.2">
      <c r="A325">
        <v>324</v>
      </c>
      <c r="B325" s="626">
        <v>0</v>
      </c>
      <c r="C325" s="626">
        <v>1000000</v>
      </c>
      <c r="D325" s="626">
        <v>0</v>
      </c>
    </row>
    <row r="326" spans="1:4" x14ac:dyDescent="0.2">
      <c r="A326">
        <v>325</v>
      </c>
      <c r="B326" s="626">
        <v>0</v>
      </c>
      <c r="C326" s="626">
        <v>1000000</v>
      </c>
      <c r="D326" s="626">
        <v>0</v>
      </c>
    </row>
    <row r="327" spans="1:4" x14ac:dyDescent="0.2">
      <c r="A327">
        <v>326</v>
      </c>
      <c r="B327" s="626">
        <v>0</v>
      </c>
      <c r="C327" s="626">
        <v>1000000</v>
      </c>
      <c r="D327" s="626">
        <v>0</v>
      </c>
    </row>
    <row r="328" spans="1:4" x14ac:dyDescent="0.2">
      <c r="A328">
        <v>327</v>
      </c>
      <c r="B328" s="626">
        <v>0</v>
      </c>
      <c r="C328" s="626">
        <v>1000000</v>
      </c>
      <c r="D328" s="626">
        <v>0</v>
      </c>
    </row>
    <row r="329" spans="1:4" x14ac:dyDescent="0.2">
      <c r="A329">
        <v>328</v>
      </c>
      <c r="B329" s="626">
        <v>0</v>
      </c>
      <c r="C329" s="626">
        <v>1000000</v>
      </c>
      <c r="D329" s="626">
        <v>0</v>
      </c>
    </row>
    <row r="330" spans="1:4" x14ac:dyDescent="0.2">
      <c r="A330">
        <v>329</v>
      </c>
      <c r="B330" s="626">
        <v>0</v>
      </c>
      <c r="C330" s="626">
        <v>1000000</v>
      </c>
      <c r="D330" s="626">
        <v>0</v>
      </c>
    </row>
    <row r="331" spans="1:4" x14ac:dyDescent="0.2">
      <c r="A331">
        <v>330</v>
      </c>
      <c r="B331" s="626">
        <v>0</v>
      </c>
      <c r="C331" s="626">
        <v>1000000</v>
      </c>
      <c r="D331" s="626">
        <v>0</v>
      </c>
    </row>
    <row r="332" spans="1:4" x14ac:dyDescent="0.2">
      <c r="A332">
        <v>331</v>
      </c>
      <c r="B332" s="626">
        <v>0</v>
      </c>
      <c r="C332" s="626">
        <v>1000000</v>
      </c>
      <c r="D332" s="626">
        <v>0</v>
      </c>
    </row>
    <row r="333" spans="1:4" x14ac:dyDescent="0.2">
      <c r="A333">
        <v>332</v>
      </c>
      <c r="B333" s="626">
        <v>0</v>
      </c>
      <c r="C333" s="626">
        <v>1000000</v>
      </c>
      <c r="D333" s="626">
        <v>0</v>
      </c>
    </row>
    <row r="334" spans="1:4" x14ac:dyDescent="0.2">
      <c r="A334">
        <v>333</v>
      </c>
      <c r="B334" s="626">
        <v>0</v>
      </c>
      <c r="C334" s="626">
        <v>1000000</v>
      </c>
      <c r="D334" s="626">
        <v>0</v>
      </c>
    </row>
    <row r="335" spans="1:4" x14ac:dyDescent="0.2">
      <c r="A335">
        <v>334</v>
      </c>
      <c r="B335" s="626">
        <v>0</v>
      </c>
      <c r="C335" s="626">
        <v>1000000</v>
      </c>
      <c r="D335" s="626">
        <v>0</v>
      </c>
    </row>
    <row r="336" spans="1:4" x14ac:dyDescent="0.2">
      <c r="A336">
        <v>335</v>
      </c>
      <c r="B336" s="626">
        <v>0</v>
      </c>
      <c r="C336" s="626">
        <v>1000000</v>
      </c>
      <c r="D336" s="626">
        <v>0</v>
      </c>
    </row>
    <row r="337" spans="1:4" x14ac:dyDescent="0.2">
      <c r="A337">
        <v>336</v>
      </c>
      <c r="B337" s="626">
        <v>0</v>
      </c>
      <c r="C337" s="626">
        <v>1000000</v>
      </c>
      <c r="D337" s="626">
        <v>0</v>
      </c>
    </row>
    <row r="338" spans="1:4" x14ac:dyDescent="0.2">
      <c r="A338">
        <v>337</v>
      </c>
      <c r="B338" s="626">
        <v>0</v>
      </c>
      <c r="C338" s="626">
        <v>1000000</v>
      </c>
      <c r="D338" s="626">
        <v>0</v>
      </c>
    </row>
    <row r="339" spans="1:4" x14ac:dyDescent="0.2">
      <c r="A339">
        <v>338</v>
      </c>
      <c r="B339" s="626">
        <v>0</v>
      </c>
      <c r="C339" s="626">
        <v>1000000</v>
      </c>
      <c r="D339" s="626">
        <v>0</v>
      </c>
    </row>
    <row r="340" spans="1:4" x14ac:dyDescent="0.2">
      <c r="A340">
        <v>339</v>
      </c>
      <c r="B340" s="626">
        <v>0</v>
      </c>
      <c r="C340" s="626">
        <v>1000000</v>
      </c>
      <c r="D340" s="626">
        <v>0</v>
      </c>
    </row>
    <row r="341" spans="1:4" x14ac:dyDescent="0.2">
      <c r="A341">
        <v>340</v>
      </c>
      <c r="B341" s="626">
        <v>0</v>
      </c>
      <c r="C341" s="626">
        <v>1000000</v>
      </c>
      <c r="D341" s="626">
        <v>0</v>
      </c>
    </row>
    <row r="342" spans="1:4" x14ac:dyDescent="0.2">
      <c r="A342">
        <v>341</v>
      </c>
      <c r="B342" s="626">
        <v>0</v>
      </c>
      <c r="C342" s="626">
        <v>1000000</v>
      </c>
      <c r="D342" s="626">
        <v>0</v>
      </c>
    </row>
    <row r="343" spans="1:4" x14ac:dyDescent="0.2">
      <c r="A343">
        <v>342</v>
      </c>
      <c r="B343" s="626">
        <v>0</v>
      </c>
      <c r="C343" s="626">
        <v>1000000</v>
      </c>
      <c r="D343" s="626">
        <v>0</v>
      </c>
    </row>
    <row r="344" spans="1:4" x14ac:dyDescent="0.2">
      <c r="A344">
        <v>343</v>
      </c>
      <c r="B344" s="626">
        <v>0</v>
      </c>
      <c r="C344" s="626">
        <v>1000000</v>
      </c>
      <c r="D344" s="626">
        <v>0</v>
      </c>
    </row>
    <row r="345" spans="1:4" x14ac:dyDescent="0.2">
      <c r="A345">
        <v>344</v>
      </c>
      <c r="B345" s="626">
        <v>0</v>
      </c>
      <c r="C345" s="626">
        <v>1000000</v>
      </c>
      <c r="D345" s="626">
        <v>0</v>
      </c>
    </row>
    <row r="346" spans="1:4" x14ac:dyDescent="0.2">
      <c r="A346">
        <v>345</v>
      </c>
      <c r="B346" s="626">
        <v>0</v>
      </c>
      <c r="C346" s="626">
        <v>1000000</v>
      </c>
      <c r="D346" s="626">
        <v>0</v>
      </c>
    </row>
    <row r="347" spans="1:4" x14ac:dyDescent="0.2">
      <c r="A347">
        <v>346</v>
      </c>
      <c r="B347" s="626">
        <v>0</v>
      </c>
      <c r="C347" s="626">
        <v>1000000</v>
      </c>
      <c r="D347" s="626">
        <v>0</v>
      </c>
    </row>
    <row r="348" spans="1:4" x14ac:dyDescent="0.2">
      <c r="A348">
        <v>347</v>
      </c>
      <c r="B348" s="626">
        <v>0</v>
      </c>
      <c r="C348" s="626">
        <v>1000000</v>
      </c>
      <c r="D348" s="626">
        <v>0</v>
      </c>
    </row>
    <row r="349" spans="1:4" x14ac:dyDescent="0.2">
      <c r="A349">
        <v>348</v>
      </c>
      <c r="B349" s="626">
        <v>0</v>
      </c>
      <c r="C349" s="626">
        <v>1000000</v>
      </c>
      <c r="D349" s="626">
        <v>0</v>
      </c>
    </row>
    <row r="350" spans="1:4" x14ac:dyDescent="0.2">
      <c r="A350">
        <v>349</v>
      </c>
      <c r="B350" s="626">
        <v>0</v>
      </c>
      <c r="C350" s="626">
        <v>1000000</v>
      </c>
      <c r="D350" s="626">
        <v>0</v>
      </c>
    </row>
    <row r="351" spans="1:4" x14ac:dyDescent="0.2">
      <c r="A351">
        <v>350</v>
      </c>
      <c r="B351" s="626">
        <v>0</v>
      </c>
      <c r="C351" s="626">
        <v>1000000</v>
      </c>
      <c r="D351" s="626">
        <v>0</v>
      </c>
    </row>
    <row r="352" spans="1:4" x14ac:dyDescent="0.2">
      <c r="A352">
        <v>351</v>
      </c>
      <c r="B352" s="626">
        <v>0</v>
      </c>
      <c r="C352" s="626">
        <v>1000000</v>
      </c>
      <c r="D352" s="626">
        <v>0</v>
      </c>
    </row>
    <row r="353" spans="1:4" x14ac:dyDescent="0.2">
      <c r="A353">
        <v>352</v>
      </c>
      <c r="B353" s="626">
        <v>0</v>
      </c>
      <c r="C353" s="626">
        <v>1000000</v>
      </c>
      <c r="D353" s="626">
        <v>0</v>
      </c>
    </row>
    <row r="354" spans="1:4" x14ac:dyDescent="0.2">
      <c r="A354">
        <v>353</v>
      </c>
      <c r="B354" s="626">
        <v>0</v>
      </c>
      <c r="C354" s="626">
        <v>1000000</v>
      </c>
      <c r="D354" s="626">
        <v>0</v>
      </c>
    </row>
    <row r="355" spans="1:4" x14ac:dyDescent="0.2">
      <c r="A355">
        <v>354</v>
      </c>
      <c r="B355" s="626">
        <v>0</v>
      </c>
      <c r="C355" s="626">
        <v>1000000</v>
      </c>
      <c r="D355" s="626">
        <v>0</v>
      </c>
    </row>
    <row r="356" spans="1:4" x14ac:dyDescent="0.2">
      <c r="A356">
        <v>355</v>
      </c>
      <c r="B356" s="626">
        <v>0</v>
      </c>
      <c r="C356" s="626">
        <v>1000000</v>
      </c>
      <c r="D356" s="626">
        <v>0</v>
      </c>
    </row>
    <row r="357" spans="1:4" x14ac:dyDescent="0.2">
      <c r="A357">
        <v>356</v>
      </c>
      <c r="B357" s="626">
        <v>0</v>
      </c>
      <c r="C357" s="626">
        <v>1000000</v>
      </c>
      <c r="D357" s="626">
        <v>0</v>
      </c>
    </row>
    <row r="358" spans="1:4" x14ac:dyDescent="0.2">
      <c r="A358">
        <v>357</v>
      </c>
      <c r="B358" s="626">
        <v>0</v>
      </c>
      <c r="C358" s="626">
        <v>1000000</v>
      </c>
      <c r="D358" s="626">
        <v>0</v>
      </c>
    </row>
    <row r="359" spans="1:4" x14ac:dyDescent="0.2">
      <c r="A359">
        <v>358</v>
      </c>
      <c r="B359" s="626">
        <v>0</v>
      </c>
      <c r="C359" s="626">
        <v>1000000</v>
      </c>
      <c r="D359" s="626">
        <v>0</v>
      </c>
    </row>
    <row r="360" spans="1:4" x14ac:dyDescent="0.2">
      <c r="A360">
        <v>359</v>
      </c>
      <c r="B360" s="626">
        <v>0</v>
      </c>
      <c r="C360" s="626">
        <v>1000000</v>
      </c>
      <c r="D360" s="626">
        <v>0</v>
      </c>
    </row>
    <row r="361" spans="1:4" x14ac:dyDescent="0.2">
      <c r="A361">
        <v>360</v>
      </c>
      <c r="B361" s="626">
        <v>0</v>
      </c>
      <c r="C361" s="626">
        <v>1000000</v>
      </c>
      <c r="D361" s="626">
        <v>0</v>
      </c>
    </row>
    <row r="362" spans="1:4" x14ac:dyDescent="0.2">
      <c r="A362">
        <v>361</v>
      </c>
      <c r="B362" s="626">
        <v>0</v>
      </c>
      <c r="C362" s="626">
        <v>1000000</v>
      </c>
      <c r="D362" s="626">
        <v>0</v>
      </c>
    </row>
    <row r="363" spans="1:4" x14ac:dyDescent="0.2">
      <c r="A363">
        <v>362</v>
      </c>
      <c r="B363" s="626">
        <v>0</v>
      </c>
      <c r="C363" s="626">
        <v>1000000</v>
      </c>
      <c r="D363" s="626">
        <v>0</v>
      </c>
    </row>
    <row r="364" spans="1:4" x14ac:dyDescent="0.2">
      <c r="A364">
        <v>363</v>
      </c>
      <c r="B364" s="626">
        <v>0</v>
      </c>
      <c r="C364" s="626">
        <v>1000000</v>
      </c>
      <c r="D364" s="626">
        <v>0</v>
      </c>
    </row>
    <row r="365" spans="1:4" x14ac:dyDescent="0.2">
      <c r="A365">
        <v>364</v>
      </c>
      <c r="B365" s="626">
        <v>0</v>
      </c>
      <c r="C365" s="626">
        <v>1000000</v>
      </c>
      <c r="D365" s="626">
        <v>0</v>
      </c>
    </row>
    <row r="366" spans="1:4" x14ac:dyDescent="0.2">
      <c r="A366">
        <v>365</v>
      </c>
      <c r="B366" s="626">
        <v>0</v>
      </c>
      <c r="C366" s="626">
        <v>1000000</v>
      </c>
      <c r="D366" s="626">
        <v>0</v>
      </c>
    </row>
    <row r="367" spans="1:4" x14ac:dyDescent="0.2">
      <c r="A367">
        <v>366</v>
      </c>
      <c r="B367" s="626">
        <v>0</v>
      </c>
      <c r="C367" s="626">
        <v>1000000</v>
      </c>
      <c r="D367" s="626">
        <v>0</v>
      </c>
    </row>
    <row r="368" spans="1:4" x14ac:dyDescent="0.2">
      <c r="A368">
        <v>367</v>
      </c>
      <c r="B368" s="626">
        <v>0</v>
      </c>
      <c r="C368" s="626">
        <v>1000000</v>
      </c>
      <c r="D368" s="626">
        <v>0</v>
      </c>
    </row>
    <row r="369" spans="1:4" x14ac:dyDescent="0.2">
      <c r="A369">
        <v>368</v>
      </c>
      <c r="B369" s="626">
        <v>0</v>
      </c>
      <c r="C369" s="626">
        <v>1000000</v>
      </c>
      <c r="D369" s="626">
        <v>0</v>
      </c>
    </row>
    <row r="370" spans="1:4" x14ac:dyDescent="0.2">
      <c r="A370">
        <v>369</v>
      </c>
      <c r="B370" s="626">
        <v>0</v>
      </c>
      <c r="C370" s="626">
        <v>1000000</v>
      </c>
      <c r="D370" s="626">
        <v>0</v>
      </c>
    </row>
    <row r="371" spans="1:4" x14ac:dyDescent="0.2">
      <c r="A371">
        <v>370</v>
      </c>
      <c r="B371" s="626">
        <v>0</v>
      </c>
      <c r="C371" s="626">
        <v>1000000</v>
      </c>
      <c r="D371" s="626">
        <v>0</v>
      </c>
    </row>
    <row r="372" spans="1:4" x14ac:dyDescent="0.2">
      <c r="A372">
        <v>371</v>
      </c>
      <c r="B372" s="626">
        <v>0</v>
      </c>
      <c r="C372" s="626">
        <v>1000000</v>
      </c>
      <c r="D372" s="626">
        <v>0</v>
      </c>
    </row>
    <row r="373" spans="1:4" x14ac:dyDescent="0.2">
      <c r="A373">
        <v>372</v>
      </c>
      <c r="B373" s="626">
        <v>0</v>
      </c>
      <c r="C373" s="626">
        <v>1000000</v>
      </c>
      <c r="D373" s="626">
        <v>0</v>
      </c>
    </row>
    <row r="374" spans="1:4" x14ac:dyDescent="0.2">
      <c r="A374">
        <v>373</v>
      </c>
      <c r="B374" s="626">
        <v>0</v>
      </c>
      <c r="C374" s="626">
        <v>1000000</v>
      </c>
      <c r="D374" s="626">
        <v>0</v>
      </c>
    </row>
    <row r="375" spans="1:4" x14ac:dyDescent="0.2">
      <c r="A375">
        <v>374</v>
      </c>
      <c r="B375" s="626">
        <v>0</v>
      </c>
      <c r="C375" s="626">
        <v>1000000</v>
      </c>
      <c r="D375" s="626">
        <v>0</v>
      </c>
    </row>
    <row r="376" spans="1:4" x14ac:dyDescent="0.2">
      <c r="A376">
        <v>375</v>
      </c>
      <c r="B376" s="626">
        <v>0</v>
      </c>
      <c r="C376" s="626">
        <v>1000000</v>
      </c>
      <c r="D376" s="626">
        <v>0</v>
      </c>
    </row>
    <row r="377" spans="1:4" x14ac:dyDescent="0.2">
      <c r="A377">
        <v>376</v>
      </c>
      <c r="B377" s="626">
        <v>0</v>
      </c>
      <c r="C377" s="626">
        <v>1000000</v>
      </c>
      <c r="D377" s="626">
        <v>0</v>
      </c>
    </row>
    <row r="378" spans="1:4" x14ac:dyDescent="0.2">
      <c r="A378">
        <v>377</v>
      </c>
      <c r="B378" s="626">
        <v>0</v>
      </c>
      <c r="C378" s="626">
        <v>1000000</v>
      </c>
      <c r="D378" s="626">
        <v>0</v>
      </c>
    </row>
    <row r="379" spans="1:4" x14ac:dyDescent="0.2">
      <c r="A379">
        <v>378</v>
      </c>
      <c r="B379" s="626">
        <v>0</v>
      </c>
      <c r="C379" s="626">
        <v>1000000</v>
      </c>
      <c r="D379" s="626">
        <v>0</v>
      </c>
    </row>
    <row r="380" spans="1:4" x14ac:dyDescent="0.2">
      <c r="A380">
        <v>379</v>
      </c>
      <c r="B380" s="626">
        <v>0</v>
      </c>
      <c r="C380" s="626">
        <v>1000000</v>
      </c>
      <c r="D380" s="626">
        <v>0</v>
      </c>
    </row>
    <row r="381" spans="1:4" x14ac:dyDescent="0.2">
      <c r="A381">
        <v>380</v>
      </c>
      <c r="B381" s="626">
        <v>0</v>
      </c>
      <c r="C381" s="626">
        <v>1000000</v>
      </c>
      <c r="D381" s="626">
        <v>0</v>
      </c>
    </row>
    <row r="382" spans="1:4" x14ac:dyDescent="0.2">
      <c r="A382">
        <v>381</v>
      </c>
      <c r="B382" s="626">
        <v>0</v>
      </c>
      <c r="C382" s="626">
        <v>1000000</v>
      </c>
      <c r="D382" s="626">
        <v>0</v>
      </c>
    </row>
    <row r="383" spans="1:4" x14ac:dyDescent="0.2">
      <c r="A383">
        <v>382</v>
      </c>
      <c r="B383" s="626">
        <v>0</v>
      </c>
      <c r="C383" s="626">
        <v>1000000</v>
      </c>
      <c r="D383" s="626">
        <v>0</v>
      </c>
    </row>
    <row r="384" spans="1:4" x14ac:dyDescent="0.2">
      <c r="A384">
        <v>383</v>
      </c>
      <c r="B384" s="626">
        <v>0</v>
      </c>
      <c r="C384" s="626">
        <v>1000000</v>
      </c>
      <c r="D384" s="626">
        <v>0</v>
      </c>
    </row>
    <row r="385" spans="1:4" x14ac:dyDescent="0.2">
      <c r="A385">
        <v>384</v>
      </c>
      <c r="B385" s="626">
        <v>0</v>
      </c>
      <c r="C385" s="626">
        <v>1000000</v>
      </c>
      <c r="D385" s="626">
        <v>0</v>
      </c>
    </row>
    <row r="386" spans="1:4" x14ac:dyDescent="0.2">
      <c r="A386">
        <v>385</v>
      </c>
      <c r="B386" s="626">
        <v>0</v>
      </c>
      <c r="C386" s="626">
        <v>1000000</v>
      </c>
      <c r="D386" s="626">
        <v>0</v>
      </c>
    </row>
    <row r="387" spans="1:4" x14ac:dyDescent="0.2">
      <c r="A387">
        <v>386</v>
      </c>
      <c r="B387" s="626">
        <v>0</v>
      </c>
      <c r="C387" s="626">
        <v>1000000</v>
      </c>
      <c r="D387" s="626">
        <v>0</v>
      </c>
    </row>
    <row r="388" spans="1:4" x14ac:dyDescent="0.2">
      <c r="A388">
        <v>387</v>
      </c>
      <c r="B388" s="626">
        <v>0</v>
      </c>
      <c r="C388" s="626">
        <v>1000000</v>
      </c>
      <c r="D388" s="626">
        <v>0</v>
      </c>
    </row>
    <row r="389" spans="1:4" x14ac:dyDescent="0.2">
      <c r="A389">
        <v>388</v>
      </c>
      <c r="B389" s="626">
        <v>0</v>
      </c>
      <c r="C389" s="626">
        <v>1000000</v>
      </c>
      <c r="D389" s="626">
        <v>0</v>
      </c>
    </row>
    <row r="390" spans="1:4" x14ac:dyDescent="0.2">
      <c r="A390">
        <v>389</v>
      </c>
      <c r="B390" s="626">
        <v>0</v>
      </c>
      <c r="C390" s="626">
        <v>1000000</v>
      </c>
      <c r="D390" s="626">
        <v>0</v>
      </c>
    </row>
    <row r="391" spans="1:4" x14ac:dyDescent="0.2">
      <c r="A391">
        <v>390</v>
      </c>
      <c r="B391" s="626">
        <v>0</v>
      </c>
      <c r="C391" s="626">
        <v>1000000</v>
      </c>
      <c r="D391" s="626">
        <v>0</v>
      </c>
    </row>
    <row r="392" spans="1:4" x14ac:dyDescent="0.2">
      <c r="A392">
        <v>391</v>
      </c>
      <c r="B392" s="626">
        <v>0</v>
      </c>
      <c r="C392" s="626">
        <v>1000000</v>
      </c>
      <c r="D392" s="626">
        <v>0</v>
      </c>
    </row>
    <row r="393" spans="1:4" x14ac:dyDescent="0.2">
      <c r="A393">
        <v>392</v>
      </c>
      <c r="B393" s="626">
        <v>0</v>
      </c>
      <c r="C393" s="626">
        <v>1000000</v>
      </c>
      <c r="D393" s="626">
        <v>0</v>
      </c>
    </row>
    <row r="394" spans="1:4" x14ac:dyDescent="0.2">
      <c r="A394">
        <v>393</v>
      </c>
      <c r="B394" s="626">
        <v>0</v>
      </c>
      <c r="C394" s="626">
        <v>1000000</v>
      </c>
      <c r="D394" s="626">
        <v>0</v>
      </c>
    </row>
    <row r="395" spans="1:4" x14ac:dyDescent="0.2">
      <c r="A395">
        <v>394</v>
      </c>
      <c r="B395" s="626">
        <v>0</v>
      </c>
      <c r="C395" s="626">
        <v>1000000</v>
      </c>
      <c r="D395" s="626">
        <v>0</v>
      </c>
    </row>
    <row r="396" spans="1:4" x14ac:dyDescent="0.2">
      <c r="A396">
        <v>395</v>
      </c>
      <c r="B396" s="626">
        <v>0</v>
      </c>
      <c r="C396" s="626">
        <v>1000000</v>
      </c>
      <c r="D396" s="626">
        <v>0</v>
      </c>
    </row>
    <row r="397" spans="1:4" x14ac:dyDescent="0.2">
      <c r="A397">
        <v>396</v>
      </c>
      <c r="B397" s="626">
        <v>0</v>
      </c>
      <c r="C397" s="626">
        <v>1000000</v>
      </c>
      <c r="D397" s="626">
        <v>0</v>
      </c>
    </row>
    <row r="398" spans="1:4" x14ac:dyDescent="0.2">
      <c r="A398">
        <v>397</v>
      </c>
      <c r="B398" s="626">
        <v>0</v>
      </c>
      <c r="C398" s="626">
        <v>1000000</v>
      </c>
      <c r="D398" s="626">
        <v>0</v>
      </c>
    </row>
    <row r="399" spans="1:4" x14ac:dyDescent="0.2">
      <c r="A399">
        <v>398</v>
      </c>
      <c r="B399" s="626">
        <v>0</v>
      </c>
      <c r="C399" s="626">
        <v>1000000</v>
      </c>
      <c r="D399" s="626">
        <v>0</v>
      </c>
    </row>
    <row r="400" spans="1:4" x14ac:dyDescent="0.2">
      <c r="A400">
        <v>399</v>
      </c>
      <c r="B400" s="626">
        <v>0</v>
      </c>
      <c r="C400" s="626">
        <v>1000000</v>
      </c>
      <c r="D400" s="626">
        <v>0</v>
      </c>
    </row>
    <row r="401" spans="1:4" x14ac:dyDescent="0.2">
      <c r="A401">
        <v>400</v>
      </c>
      <c r="B401" s="626">
        <v>0</v>
      </c>
      <c r="C401" s="626">
        <v>1000000</v>
      </c>
      <c r="D401" s="626">
        <v>0</v>
      </c>
    </row>
    <row r="402" spans="1:4" x14ac:dyDescent="0.2">
      <c r="A402">
        <v>401</v>
      </c>
      <c r="B402" s="626">
        <v>0</v>
      </c>
      <c r="C402" s="626">
        <v>1000000</v>
      </c>
      <c r="D402" s="626">
        <v>0</v>
      </c>
    </row>
    <row r="403" spans="1:4" x14ac:dyDescent="0.2">
      <c r="A403">
        <v>402</v>
      </c>
      <c r="B403" s="626">
        <v>0</v>
      </c>
      <c r="C403" s="626">
        <v>1000000</v>
      </c>
      <c r="D403" s="626">
        <v>0</v>
      </c>
    </row>
    <row r="404" spans="1:4" x14ac:dyDescent="0.2">
      <c r="A404">
        <v>403</v>
      </c>
      <c r="B404" s="626">
        <v>0</v>
      </c>
      <c r="C404" s="626">
        <v>1000000</v>
      </c>
      <c r="D404" s="626">
        <v>0</v>
      </c>
    </row>
    <row r="405" spans="1:4" x14ac:dyDescent="0.2">
      <c r="A405">
        <v>404</v>
      </c>
      <c r="B405" s="626">
        <v>0</v>
      </c>
      <c r="C405" s="626">
        <v>1000000</v>
      </c>
      <c r="D405" s="626">
        <v>0</v>
      </c>
    </row>
    <row r="406" spans="1:4" x14ac:dyDescent="0.2">
      <c r="A406">
        <v>405</v>
      </c>
      <c r="B406" s="626">
        <v>0</v>
      </c>
      <c r="C406" s="626">
        <v>1000000</v>
      </c>
      <c r="D406" s="626">
        <v>0</v>
      </c>
    </row>
    <row r="407" spans="1:4" x14ac:dyDescent="0.2">
      <c r="A407">
        <v>406</v>
      </c>
      <c r="B407" s="626">
        <v>0</v>
      </c>
      <c r="C407" s="626">
        <v>1000000</v>
      </c>
      <c r="D407" s="626">
        <v>0</v>
      </c>
    </row>
    <row r="408" spans="1:4" x14ac:dyDescent="0.2">
      <c r="A408">
        <v>407</v>
      </c>
      <c r="B408" s="626">
        <v>0</v>
      </c>
      <c r="C408" s="626">
        <v>1000000</v>
      </c>
      <c r="D408" s="626">
        <v>0</v>
      </c>
    </row>
    <row r="409" spans="1:4" x14ac:dyDescent="0.2">
      <c r="A409">
        <v>408</v>
      </c>
      <c r="B409" s="626">
        <v>0</v>
      </c>
      <c r="C409" s="626">
        <v>1000000</v>
      </c>
      <c r="D409" s="626">
        <v>0</v>
      </c>
    </row>
    <row r="410" spans="1:4" x14ac:dyDescent="0.2">
      <c r="A410">
        <v>409</v>
      </c>
      <c r="B410" s="626">
        <v>0</v>
      </c>
      <c r="C410" s="626">
        <v>1000000</v>
      </c>
      <c r="D410" s="626">
        <v>0</v>
      </c>
    </row>
    <row r="411" spans="1:4" x14ac:dyDescent="0.2">
      <c r="A411">
        <v>410</v>
      </c>
      <c r="B411" s="626">
        <v>0</v>
      </c>
      <c r="C411" s="626">
        <v>1000000</v>
      </c>
      <c r="D411" s="626">
        <v>0</v>
      </c>
    </row>
    <row r="412" spans="1:4" x14ac:dyDescent="0.2">
      <c r="A412">
        <v>411</v>
      </c>
      <c r="B412" s="626">
        <v>0</v>
      </c>
      <c r="C412" s="626">
        <v>1000000</v>
      </c>
      <c r="D412" s="626">
        <v>0</v>
      </c>
    </row>
    <row r="413" spans="1:4" x14ac:dyDescent="0.2">
      <c r="A413">
        <v>412</v>
      </c>
      <c r="B413" s="626">
        <v>0</v>
      </c>
      <c r="C413" s="626">
        <v>1000000</v>
      </c>
      <c r="D413" s="626">
        <v>0</v>
      </c>
    </row>
    <row r="414" spans="1:4" x14ac:dyDescent="0.2">
      <c r="A414">
        <v>413</v>
      </c>
      <c r="B414" s="626">
        <v>0</v>
      </c>
      <c r="C414" s="626">
        <v>1000000</v>
      </c>
      <c r="D414" s="626">
        <v>0</v>
      </c>
    </row>
    <row r="415" spans="1:4" x14ac:dyDescent="0.2">
      <c r="A415">
        <v>414</v>
      </c>
      <c r="B415" s="626">
        <v>0</v>
      </c>
      <c r="C415" s="626">
        <v>1000000</v>
      </c>
      <c r="D415" s="626">
        <v>0</v>
      </c>
    </row>
    <row r="416" spans="1:4" x14ac:dyDescent="0.2">
      <c r="A416">
        <v>415</v>
      </c>
      <c r="B416" s="626">
        <v>0</v>
      </c>
      <c r="C416" s="626">
        <v>1000000</v>
      </c>
      <c r="D416" s="626">
        <v>0</v>
      </c>
    </row>
    <row r="417" spans="1:4" x14ac:dyDescent="0.2">
      <c r="A417">
        <v>416</v>
      </c>
      <c r="B417" s="626">
        <v>0</v>
      </c>
      <c r="C417" s="626">
        <v>1000000</v>
      </c>
      <c r="D417" s="626">
        <v>0</v>
      </c>
    </row>
    <row r="418" spans="1:4" x14ac:dyDescent="0.2">
      <c r="A418">
        <v>417</v>
      </c>
      <c r="B418" s="626">
        <v>0</v>
      </c>
      <c r="C418" s="626">
        <v>1000000</v>
      </c>
      <c r="D418" s="626">
        <v>0</v>
      </c>
    </row>
    <row r="419" spans="1:4" x14ac:dyDescent="0.2">
      <c r="A419">
        <v>418</v>
      </c>
      <c r="B419" s="626">
        <v>0</v>
      </c>
      <c r="C419" s="626">
        <v>1000000</v>
      </c>
      <c r="D419" s="626">
        <v>0</v>
      </c>
    </row>
    <row r="420" spans="1:4" x14ac:dyDescent="0.2">
      <c r="A420">
        <v>419</v>
      </c>
      <c r="B420" s="626">
        <v>0</v>
      </c>
      <c r="C420" s="626">
        <v>1000000</v>
      </c>
      <c r="D420" s="626">
        <v>0</v>
      </c>
    </row>
    <row r="421" spans="1:4" x14ac:dyDescent="0.2">
      <c r="A421">
        <v>420</v>
      </c>
      <c r="B421" s="626">
        <v>0</v>
      </c>
      <c r="C421" s="626">
        <v>1000000</v>
      </c>
      <c r="D421" s="626">
        <v>0</v>
      </c>
    </row>
    <row r="422" spans="1:4" x14ac:dyDescent="0.2">
      <c r="A422">
        <v>421</v>
      </c>
      <c r="B422" s="626">
        <v>0</v>
      </c>
      <c r="C422" s="626">
        <v>1000000</v>
      </c>
      <c r="D422" s="626">
        <v>0</v>
      </c>
    </row>
    <row r="423" spans="1:4" x14ac:dyDescent="0.2">
      <c r="A423">
        <v>422</v>
      </c>
      <c r="B423" s="626">
        <v>0</v>
      </c>
      <c r="C423" s="626">
        <v>1000000</v>
      </c>
      <c r="D423" s="626">
        <v>0</v>
      </c>
    </row>
    <row r="424" spans="1:4" x14ac:dyDescent="0.2">
      <c r="A424">
        <v>423</v>
      </c>
      <c r="B424" s="626">
        <v>0</v>
      </c>
      <c r="C424" s="626">
        <v>1000000</v>
      </c>
      <c r="D424" s="626">
        <v>0</v>
      </c>
    </row>
    <row r="425" spans="1:4" x14ac:dyDescent="0.2">
      <c r="A425">
        <v>424</v>
      </c>
      <c r="B425" s="626">
        <v>0</v>
      </c>
      <c r="C425" s="626">
        <v>1000000</v>
      </c>
      <c r="D425" s="626">
        <v>0</v>
      </c>
    </row>
    <row r="426" spans="1:4" x14ac:dyDescent="0.2">
      <c r="A426">
        <v>425</v>
      </c>
      <c r="B426" s="626">
        <v>0</v>
      </c>
      <c r="C426" s="626">
        <v>1000000</v>
      </c>
      <c r="D426" s="626">
        <v>0</v>
      </c>
    </row>
    <row r="427" spans="1:4" x14ac:dyDescent="0.2">
      <c r="A427">
        <v>426</v>
      </c>
      <c r="B427" s="626">
        <v>0</v>
      </c>
      <c r="C427" s="626">
        <v>1000000</v>
      </c>
      <c r="D427" s="626">
        <v>0</v>
      </c>
    </row>
    <row r="428" spans="1:4" x14ac:dyDescent="0.2">
      <c r="A428">
        <v>427</v>
      </c>
      <c r="B428" s="626">
        <v>0</v>
      </c>
      <c r="C428" s="626">
        <v>1000000</v>
      </c>
      <c r="D428" s="626">
        <v>0</v>
      </c>
    </row>
    <row r="429" spans="1:4" x14ac:dyDescent="0.2">
      <c r="A429">
        <v>428</v>
      </c>
      <c r="B429" s="626">
        <v>0</v>
      </c>
      <c r="C429" s="626">
        <v>1000000</v>
      </c>
      <c r="D429" s="626">
        <v>0</v>
      </c>
    </row>
    <row r="430" spans="1:4" x14ac:dyDescent="0.2">
      <c r="A430">
        <v>429</v>
      </c>
      <c r="B430" s="626">
        <v>0</v>
      </c>
      <c r="C430" s="626">
        <v>1000000</v>
      </c>
      <c r="D430" s="626">
        <v>0</v>
      </c>
    </row>
    <row r="431" spans="1:4" x14ac:dyDescent="0.2">
      <c r="A431">
        <v>430</v>
      </c>
      <c r="B431" s="626">
        <v>0</v>
      </c>
      <c r="C431" s="626">
        <v>1000000</v>
      </c>
      <c r="D431" s="626">
        <v>0</v>
      </c>
    </row>
    <row r="432" spans="1:4" x14ac:dyDescent="0.2">
      <c r="A432">
        <v>431</v>
      </c>
      <c r="B432" s="626">
        <v>0</v>
      </c>
      <c r="C432" s="626">
        <v>1000000</v>
      </c>
      <c r="D432" s="626">
        <v>0</v>
      </c>
    </row>
    <row r="433" spans="1:4" x14ac:dyDescent="0.2">
      <c r="A433">
        <v>432</v>
      </c>
      <c r="B433" s="626">
        <v>0</v>
      </c>
      <c r="C433" s="626">
        <v>1000000</v>
      </c>
      <c r="D433" s="626">
        <v>0</v>
      </c>
    </row>
    <row r="434" spans="1:4" x14ac:dyDescent="0.2">
      <c r="A434">
        <v>433</v>
      </c>
      <c r="B434" s="626">
        <v>0</v>
      </c>
      <c r="C434" s="626">
        <v>1000000</v>
      </c>
      <c r="D434" s="626">
        <v>0</v>
      </c>
    </row>
    <row r="435" spans="1:4" x14ac:dyDescent="0.2">
      <c r="A435">
        <v>434</v>
      </c>
      <c r="B435" s="626">
        <v>0</v>
      </c>
      <c r="C435" s="626">
        <v>1000000</v>
      </c>
      <c r="D435" s="626">
        <v>0</v>
      </c>
    </row>
    <row r="436" spans="1:4" x14ac:dyDescent="0.2">
      <c r="A436">
        <v>435</v>
      </c>
      <c r="B436" s="626">
        <v>0</v>
      </c>
      <c r="C436" s="626">
        <v>1000000</v>
      </c>
      <c r="D436" s="626">
        <v>0</v>
      </c>
    </row>
    <row r="437" spans="1:4" x14ac:dyDescent="0.2">
      <c r="A437">
        <v>436</v>
      </c>
      <c r="B437" s="626">
        <v>0</v>
      </c>
      <c r="C437" s="626">
        <v>1000000</v>
      </c>
      <c r="D437" s="626">
        <v>0</v>
      </c>
    </row>
    <row r="438" spans="1:4" x14ac:dyDescent="0.2">
      <c r="A438">
        <v>437</v>
      </c>
      <c r="B438" s="626">
        <v>0</v>
      </c>
      <c r="C438" s="626">
        <v>1000000</v>
      </c>
      <c r="D438" s="626">
        <v>0</v>
      </c>
    </row>
    <row r="439" spans="1:4" x14ac:dyDescent="0.2">
      <c r="A439">
        <v>438</v>
      </c>
      <c r="B439" s="626">
        <v>0</v>
      </c>
      <c r="C439" s="626">
        <v>1000000</v>
      </c>
      <c r="D439" s="626">
        <v>0</v>
      </c>
    </row>
    <row r="440" spans="1:4" x14ac:dyDescent="0.2">
      <c r="A440">
        <v>439</v>
      </c>
      <c r="B440" s="626">
        <v>0</v>
      </c>
      <c r="C440" s="626">
        <v>1000000</v>
      </c>
      <c r="D440" s="626">
        <v>0</v>
      </c>
    </row>
    <row r="441" spans="1:4" x14ac:dyDescent="0.2">
      <c r="A441">
        <v>440</v>
      </c>
      <c r="B441" s="626">
        <v>0</v>
      </c>
      <c r="C441" s="626">
        <v>1000000</v>
      </c>
      <c r="D441" s="626">
        <v>0</v>
      </c>
    </row>
    <row r="442" spans="1:4" x14ac:dyDescent="0.2">
      <c r="A442">
        <v>441</v>
      </c>
      <c r="B442" s="626">
        <v>0</v>
      </c>
      <c r="C442" s="626">
        <v>1000000</v>
      </c>
      <c r="D442" s="626">
        <v>0</v>
      </c>
    </row>
    <row r="443" spans="1:4" x14ac:dyDescent="0.2">
      <c r="A443">
        <v>442</v>
      </c>
      <c r="B443" s="626">
        <v>0</v>
      </c>
      <c r="C443" s="626">
        <v>1000000</v>
      </c>
      <c r="D443" s="626">
        <v>0</v>
      </c>
    </row>
    <row r="444" spans="1:4" x14ac:dyDescent="0.2">
      <c r="A444">
        <v>443</v>
      </c>
      <c r="B444" s="626">
        <v>0</v>
      </c>
      <c r="C444" s="626">
        <v>1000000</v>
      </c>
      <c r="D444" s="626">
        <v>0</v>
      </c>
    </row>
    <row r="445" spans="1:4" x14ac:dyDescent="0.2">
      <c r="A445">
        <v>444</v>
      </c>
      <c r="B445" s="626">
        <v>0</v>
      </c>
      <c r="C445" s="626">
        <v>1000000</v>
      </c>
      <c r="D445" s="626">
        <v>0</v>
      </c>
    </row>
    <row r="446" spans="1:4" x14ac:dyDescent="0.2">
      <c r="A446">
        <v>445</v>
      </c>
      <c r="B446" s="626">
        <v>0</v>
      </c>
      <c r="C446" s="626">
        <v>1000000</v>
      </c>
      <c r="D446" s="626">
        <v>0</v>
      </c>
    </row>
    <row r="447" spans="1:4" x14ac:dyDescent="0.2">
      <c r="A447">
        <v>446</v>
      </c>
      <c r="B447" s="626">
        <v>0</v>
      </c>
      <c r="C447" s="626">
        <v>1000000</v>
      </c>
      <c r="D447" s="626">
        <v>0</v>
      </c>
    </row>
    <row r="448" spans="1:4" x14ac:dyDescent="0.2">
      <c r="A448">
        <v>447</v>
      </c>
      <c r="B448" s="626">
        <v>0</v>
      </c>
      <c r="C448" s="626">
        <v>1000000</v>
      </c>
      <c r="D448" s="626">
        <v>0</v>
      </c>
    </row>
    <row r="449" spans="1:4" x14ac:dyDescent="0.2">
      <c r="A449">
        <v>448</v>
      </c>
      <c r="B449" s="626">
        <v>0</v>
      </c>
      <c r="C449" s="626">
        <v>1000000</v>
      </c>
      <c r="D449" s="626">
        <v>0</v>
      </c>
    </row>
    <row r="450" spans="1:4" x14ac:dyDescent="0.2">
      <c r="A450">
        <v>449</v>
      </c>
      <c r="B450" s="626">
        <v>0</v>
      </c>
      <c r="C450" s="626">
        <v>1000000</v>
      </c>
      <c r="D450" s="626">
        <v>0</v>
      </c>
    </row>
    <row r="451" spans="1:4" x14ac:dyDescent="0.2">
      <c r="A451">
        <v>450</v>
      </c>
      <c r="B451" s="626">
        <v>0</v>
      </c>
      <c r="C451" s="626">
        <v>1000000</v>
      </c>
      <c r="D451" s="626">
        <v>0</v>
      </c>
    </row>
    <row r="452" spans="1:4" x14ac:dyDescent="0.2">
      <c r="A452">
        <v>451</v>
      </c>
      <c r="B452" s="626">
        <v>0</v>
      </c>
      <c r="C452" s="626">
        <v>1000000</v>
      </c>
      <c r="D452" s="626">
        <v>0</v>
      </c>
    </row>
    <row r="453" spans="1:4" x14ac:dyDescent="0.2">
      <c r="A453">
        <v>452</v>
      </c>
      <c r="B453" s="626">
        <v>0</v>
      </c>
      <c r="C453" s="626">
        <v>1000000</v>
      </c>
      <c r="D453" s="626">
        <v>0</v>
      </c>
    </row>
    <row r="454" spans="1:4" x14ac:dyDescent="0.2">
      <c r="A454">
        <v>453</v>
      </c>
      <c r="B454" s="626">
        <v>0</v>
      </c>
      <c r="C454" s="626">
        <v>1000000</v>
      </c>
      <c r="D454" s="626">
        <v>0</v>
      </c>
    </row>
    <row r="455" spans="1:4" x14ac:dyDescent="0.2">
      <c r="A455">
        <v>454</v>
      </c>
      <c r="B455" s="626">
        <v>0</v>
      </c>
      <c r="C455" s="626">
        <v>1000000</v>
      </c>
      <c r="D455" s="626">
        <v>0</v>
      </c>
    </row>
    <row r="456" spans="1:4" x14ac:dyDescent="0.2">
      <c r="A456">
        <v>455</v>
      </c>
      <c r="B456" s="626">
        <v>0</v>
      </c>
      <c r="C456" s="626">
        <v>1000000</v>
      </c>
      <c r="D456" s="626">
        <v>0</v>
      </c>
    </row>
    <row r="457" spans="1:4" x14ac:dyDescent="0.2">
      <c r="A457">
        <v>456</v>
      </c>
      <c r="B457" s="626">
        <v>0</v>
      </c>
      <c r="C457" s="626">
        <v>1000000</v>
      </c>
      <c r="D457" s="626">
        <v>0</v>
      </c>
    </row>
    <row r="458" spans="1:4" x14ac:dyDescent="0.2">
      <c r="A458">
        <v>457</v>
      </c>
      <c r="B458" s="626">
        <v>0</v>
      </c>
      <c r="C458" s="626">
        <v>1000000</v>
      </c>
      <c r="D458" s="626">
        <v>0</v>
      </c>
    </row>
    <row r="459" spans="1:4" x14ac:dyDescent="0.2">
      <c r="A459">
        <v>458</v>
      </c>
      <c r="B459" s="626">
        <v>0</v>
      </c>
      <c r="C459" s="626">
        <v>1000000</v>
      </c>
      <c r="D459" s="626">
        <v>0</v>
      </c>
    </row>
    <row r="460" spans="1:4" x14ac:dyDescent="0.2">
      <c r="A460">
        <v>459</v>
      </c>
      <c r="B460" s="626">
        <v>0</v>
      </c>
      <c r="C460" s="626">
        <v>1000000</v>
      </c>
      <c r="D460" s="626">
        <v>0</v>
      </c>
    </row>
    <row r="461" spans="1:4" x14ac:dyDescent="0.2">
      <c r="A461">
        <v>460</v>
      </c>
      <c r="B461" s="626">
        <v>0</v>
      </c>
      <c r="C461" s="626">
        <v>1000000</v>
      </c>
      <c r="D461" s="626">
        <v>0</v>
      </c>
    </row>
    <row r="462" spans="1:4" x14ac:dyDescent="0.2">
      <c r="A462">
        <v>461</v>
      </c>
      <c r="B462" s="626">
        <v>0</v>
      </c>
      <c r="C462" s="626">
        <v>1000000</v>
      </c>
      <c r="D462" s="626">
        <v>0</v>
      </c>
    </row>
    <row r="463" spans="1:4" x14ac:dyDescent="0.2">
      <c r="A463">
        <v>462</v>
      </c>
      <c r="B463" s="626">
        <v>0</v>
      </c>
      <c r="C463" s="626">
        <v>1000000</v>
      </c>
      <c r="D463" s="626">
        <v>0</v>
      </c>
    </row>
    <row r="464" spans="1:4" x14ac:dyDescent="0.2">
      <c r="A464">
        <v>463</v>
      </c>
      <c r="B464" s="626">
        <v>0</v>
      </c>
      <c r="C464" s="626">
        <v>1000000</v>
      </c>
      <c r="D464" s="626">
        <v>0</v>
      </c>
    </row>
    <row r="465" spans="1:4" x14ac:dyDescent="0.2">
      <c r="A465">
        <v>464</v>
      </c>
      <c r="B465" s="626">
        <v>0</v>
      </c>
      <c r="C465" s="626">
        <v>1000000</v>
      </c>
      <c r="D465" s="626">
        <v>0</v>
      </c>
    </row>
    <row r="466" spans="1:4" x14ac:dyDescent="0.2">
      <c r="A466">
        <v>465</v>
      </c>
      <c r="B466" s="626">
        <v>0</v>
      </c>
      <c r="C466" s="626">
        <v>1000000</v>
      </c>
      <c r="D466" s="626">
        <v>0</v>
      </c>
    </row>
    <row r="467" spans="1:4" x14ac:dyDescent="0.2">
      <c r="A467">
        <v>466</v>
      </c>
      <c r="B467" s="626">
        <v>0</v>
      </c>
      <c r="C467" s="626">
        <v>1000000</v>
      </c>
      <c r="D467" s="626">
        <v>0</v>
      </c>
    </row>
    <row r="468" spans="1:4" x14ac:dyDescent="0.2">
      <c r="A468">
        <v>467</v>
      </c>
      <c r="B468" s="626">
        <v>0</v>
      </c>
      <c r="C468" s="626">
        <v>1000000</v>
      </c>
      <c r="D468" s="626">
        <v>0</v>
      </c>
    </row>
    <row r="469" spans="1:4" x14ac:dyDescent="0.2">
      <c r="A469">
        <v>468</v>
      </c>
      <c r="B469" s="626">
        <v>0</v>
      </c>
      <c r="C469" s="626">
        <v>1000000</v>
      </c>
      <c r="D469" s="626">
        <v>0</v>
      </c>
    </row>
    <row r="470" spans="1:4" x14ac:dyDescent="0.2">
      <c r="A470">
        <v>469</v>
      </c>
      <c r="B470" s="626">
        <v>0</v>
      </c>
      <c r="C470" s="626">
        <v>1000000</v>
      </c>
      <c r="D470" s="626">
        <v>0</v>
      </c>
    </row>
    <row r="471" spans="1:4" x14ac:dyDescent="0.2">
      <c r="A471">
        <v>470</v>
      </c>
      <c r="B471" s="626">
        <v>0</v>
      </c>
      <c r="C471" s="626">
        <v>1000000</v>
      </c>
      <c r="D471" s="626">
        <v>0</v>
      </c>
    </row>
    <row r="472" spans="1:4" x14ac:dyDescent="0.2">
      <c r="A472">
        <v>471</v>
      </c>
      <c r="B472" s="626">
        <v>0</v>
      </c>
      <c r="C472" s="626">
        <v>1000000</v>
      </c>
      <c r="D472" s="626">
        <v>0</v>
      </c>
    </row>
    <row r="473" spans="1:4" x14ac:dyDescent="0.2">
      <c r="A473">
        <v>472</v>
      </c>
      <c r="B473" s="626">
        <v>0</v>
      </c>
      <c r="C473" s="626">
        <v>1000000</v>
      </c>
      <c r="D473" s="626">
        <v>0</v>
      </c>
    </row>
    <row r="474" spans="1:4" x14ac:dyDescent="0.2">
      <c r="A474">
        <v>473</v>
      </c>
      <c r="B474" s="626">
        <v>0</v>
      </c>
      <c r="C474" s="626">
        <v>1000000</v>
      </c>
      <c r="D474" s="626">
        <v>0</v>
      </c>
    </row>
    <row r="475" spans="1:4" x14ac:dyDescent="0.2">
      <c r="A475">
        <v>474</v>
      </c>
      <c r="B475" s="626">
        <v>0</v>
      </c>
      <c r="C475" s="626">
        <v>1000000</v>
      </c>
      <c r="D475" s="626">
        <v>0</v>
      </c>
    </row>
    <row r="476" spans="1:4" x14ac:dyDescent="0.2">
      <c r="A476">
        <v>475</v>
      </c>
      <c r="B476" s="626">
        <v>0</v>
      </c>
      <c r="C476" s="626">
        <v>1000000</v>
      </c>
      <c r="D476" s="626">
        <v>0</v>
      </c>
    </row>
    <row r="477" spans="1:4" x14ac:dyDescent="0.2">
      <c r="A477">
        <v>476</v>
      </c>
      <c r="B477" s="626">
        <v>0</v>
      </c>
      <c r="C477" s="626">
        <v>1000000</v>
      </c>
      <c r="D477" s="626">
        <v>0</v>
      </c>
    </row>
    <row r="478" spans="1:4" x14ac:dyDescent="0.2">
      <c r="A478">
        <v>477</v>
      </c>
      <c r="B478" s="626">
        <v>0</v>
      </c>
      <c r="C478" s="626">
        <v>1000000</v>
      </c>
      <c r="D478" s="626">
        <v>0</v>
      </c>
    </row>
    <row r="479" spans="1:4" x14ac:dyDescent="0.2">
      <c r="A479">
        <v>478</v>
      </c>
      <c r="B479" s="626">
        <v>0</v>
      </c>
      <c r="C479" s="626">
        <v>1000000</v>
      </c>
      <c r="D479" s="626">
        <v>0</v>
      </c>
    </row>
    <row r="480" spans="1:4" x14ac:dyDescent="0.2">
      <c r="A480">
        <v>479</v>
      </c>
      <c r="B480" s="626">
        <v>0</v>
      </c>
      <c r="C480" s="626">
        <v>1000000</v>
      </c>
      <c r="D480" s="626">
        <v>0</v>
      </c>
    </row>
    <row r="481" spans="1:4" x14ac:dyDescent="0.2">
      <c r="A481">
        <v>480</v>
      </c>
      <c r="B481" s="626">
        <v>0</v>
      </c>
      <c r="C481" s="626">
        <v>1000000</v>
      </c>
      <c r="D481" s="626">
        <v>0</v>
      </c>
    </row>
    <row r="482" spans="1:4" x14ac:dyDescent="0.2">
      <c r="A482">
        <v>481</v>
      </c>
      <c r="B482" s="626">
        <v>0</v>
      </c>
      <c r="C482" s="626">
        <v>1000000</v>
      </c>
      <c r="D482" s="626">
        <v>0</v>
      </c>
    </row>
    <row r="483" spans="1:4" x14ac:dyDescent="0.2">
      <c r="A483">
        <v>482</v>
      </c>
      <c r="B483" s="626">
        <v>0</v>
      </c>
      <c r="C483" s="626">
        <v>1000000</v>
      </c>
      <c r="D483" s="626">
        <v>0</v>
      </c>
    </row>
    <row r="484" spans="1:4" x14ac:dyDescent="0.2">
      <c r="A484">
        <v>483</v>
      </c>
      <c r="B484" s="626">
        <v>0</v>
      </c>
      <c r="C484" s="626">
        <v>1000000</v>
      </c>
      <c r="D484" s="626">
        <v>0</v>
      </c>
    </row>
    <row r="485" spans="1:4" x14ac:dyDescent="0.2">
      <c r="A485">
        <v>484</v>
      </c>
      <c r="B485" s="626">
        <v>0</v>
      </c>
      <c r="C485" s="626">
        <v>1000000</v>
      </c>
      <c r="D485" s="626">
        <v>0</v>
      </c>
    </row>
    <row r="486" spans="1:4" x14ac:dyDescent="0.2">
      <c r="A486">
        <v>485</v>
      </c>
      <c r="B486" s="626">
        <v>0</v>
      </c>
      <c r="C486" s="626">
        <v>1000000</v>
      </c>
      <c r="D486" s="626">
        <v>0</v>
      </c>
    </row>
    <row r="487" spans="1:4" x14ac:dyDescent="0.2">
      <c r="A487">
        <v>486</v>
      </c>
      <c r="B487" s="626">
        <v>0</v>
      </c>
      <c r="C487" s="626">
        <v>1000000</v>
      </c>
      <c r="D487" s="626">
        <v>0</v>
      </c>
    </row>
    <row r="488" spans="1:4" x14ac:dyDescent="0.2">
      <c r="A488">
        <v>487</v>
      </c>
      <c r="B488" s="626">
        <v>0</v>
      </c>
      <c r="C488" s="626">
        <v>1000000</v>
      </c>
      <c r="D488" s="626">
        <v>0</v>
      </c>
    </row>
    <row r="489" spans="1:4" x14ac:dyDescent="0.2">
      <c r="A489">
        <v>488</v>
      </c>
      <c r="B489" s="626">
        <v>0</v>
      </c>
      <c r="C489" s="626">
        <v>1000000</v>
      </c>
      <c r="D489" s="626">
        <v>0</v>
      </c>
    </row>
    <row r="490" spans="1:4" x14ac:dyDescent="0.2">
      <c r="A490">
        <v>489</v>
      </c>
      <c r="B490" s="626">
        <v>0</v>
      </c>
      <c r="C490" s="626">
        <v>1000000</v>
      </c>
      <c r="D490" s="626">
        <v>0</v>
      </c>
    </row>
    <row r="491" spans="1:4" x14ac:dyDescent="0.2">
      <c r="A491">
        <v>490</v>
      </c>
      <c r="B491" s="626">
        <v>0</v>
      </c>
      <c r="C491" s="626">
        <v>1000000</v>
      </c>
      <c r="D491" s="626">
        <v>0</v>
      </c>
    </row>
    <row r="492" spans="1:4" x14ac:dyDescent="0.2">
      <c r="A492">
        <v>491</v>
      </c>
      <c r="B492" s="626">
        <v>0</v>
      </c>
      <c r="C492" s="626">
        <v>1000000</v>
      </c>
      <c r="D492" s="626">
        <v>0</v>
      </c>
    </row>
    <row r="493" spans="1:4" x14ac:dyDescent="0.2">
      <c r="A493">
        <v>492</v>
      </c>
      <c r="B493" s="626">
        <v>0</v>
      </c>
      <c r="C493" s="626">
        <v>1000000</v>
      </c>
      <c r="D493" s="626">
        <v>0</v>
      </c>
    </row>
    <row r="494" spans="1:4" x14ac:dyDescent="0.2">
      <c r="A494">
        <v>493</v>
      </c>
      <c r="B494" s="626">
        <v>0</v>
      </c>
      <c r="C494" s="626">
        <v>1000000</v>
      </c>
      <c r="D494" s="626">
        <v>0</v>
      </c>
    </row>
    <row r="495" spans="1:4" x14ac:dyDescent="0.2">
      <c r="A495">
        <v>494</v>
      </c>
      <c r="B495" s="626">
        <v>0</v>
      </c>
      <c r="C495" s="626">
        <v>1000000</v>
      </c>
      <c r="D495" s="626">
        <v>0</v>
      </c>
    </row>
    <row r="496" spans="1:4" x14ac:dyDescent="0.2">
      <c r="A496">
        <v>495</v>
      </c>
      <c r="B496" s="626">
        <v>0</v>
      </c>
      <c r="C496" s="626">
        <v>1000000</v>
      </c>
      <c r="D496" s="626">
        <v>0</v>
      </c>
    </row>
    <row r="497" spans="1:4" x14ac:dyDescent="0.2">
      <c r="A497">
        <v>496</v>
      </c>
      <c r="B497" s="626">
        <v>0</v>
      </c>
      <c r="C497" s="626">
        <v>1000000</v>
      </c>
      <c r="D497" s="626">
        <v>0</v>
      </c>
    </row>
    <row r="498" spans="1:4" x14ac:dyDescent="0.2">
      <c r="A498">
        <v>497</v>
      </c>
      <c r="B498" s="626">
        <v>0</v>
      </c>
      <c r="C498" s="626">
        <v>1000000</v>
      </c>
      <c r="D498" s="626">
        <v>0</v>
      </c>
    </row>
    <row r="499" spans="1:4" x14ac:dyDescent="0.2">
      <c r="A499">
        <v>498</v>
      </c>
      <c r="B499" s="626">
        <v>0</v>
      </c>
      <c r="C499" s="626">
        <v>1000000</v>
      </c>
      <c r="D499" s="626">
        <v>0</v>
      </c>
    </row>
    <row r="500" spans="1:4" x14ac:dyDescent="0.2">
      <c r="A500">
        <v>499</v>
      </c>
      <c r="B500" s="626">
        <v>0</v>
      </c>
      <c r="C500" s="626">
        <v>1000000</v>
      </c>
      <c r="D500" s="626">
        <v>0</v>
      </c>
    </row>
    <row r="501" spans="1:4" x14ac:dyDescent="0.2">
      <c r="A501">
        <v>500</v>
      </c>
      <c r="B501" s="626">
        <v>0</v>
      </c>
      <c r="C501" s="626">
        <v>1000000</v>
      </c>
      <c r="D501" s="626">
        <v>0</v>
      </c>
    </row>
    <row r="502" spans="1:4" x14ac:dyDescent="0.2">
      <c r="A502">
        <v>501</v>
      </c>
      <c r="B502" s="626">
        <v>0</v>
      </c>
      <c r="C502" s="626">
        <v>1000000</v>
      </c>
      <c r="D502" s="626">
        <v>0</v>
      </c>
    </row>
    <row r="503" spans="1:4" x14ac:dyDescent="0.2">
      <c r="A503">
        <v>502</v>
      </c>
      <c r="B503" s="626">
        <v>0</v>
      </c>
      <c r="C503" s="626">
        <v>1000000</v>
      </c>
      <c r="D503" s="626">
        <v>0</v>
      </c>
    </row>
    <row r="504" spans="1:4" x14ac:dyDescent="0.2">
      <c r="A504">
        <v>503</v>
      </c>
      <c r="B504" s="626">
        <v>0</v>
      </c>
      <c r="C504" s="626">
        <v>1000000</v>
      </c>
      <c r="D504" s="626">
        <v>0</v>
      </c>
    </row>
    <row r="505" spans="1:4" x14ac:dyDescent="0.2">
      <c r="A505">
        <v>504</v>
      </c>
      <c r="B505" s="626">
        <v>0</v>
      </c>
      <c r="C505" s="626">
        <v>1000000</v>
      </c>
      <c r="D505" s="626">
        <v>0</v>
      </c>
    </row>
    <row r="506" spans="1:4" x14ac:dyDescent="0.2">
      <c r="A506">
        <v>505</v>
      </c>
      <c r="B506" s="626">
        <v>0</v>
      </c>
      <c r="C506" s="626">
        <v>1000000</v>
      </c>
      <c r="D506" s="626">
        <v>0</v>
      </c>
    </row>
    <row r="507" spans="1:4" x14ac:dyDescent="0.2">
      <c r="A507">
        <v>506</v>
      </c>
      <c r="B507" s="626">
        <v>0</v>
      </c>
      <c r="C507" s="626">
        <v>1000000</v>
      </c>
      <c r="D507" s="626">
        <v>0</v>
      </c>
    </row>
    <row r="508" spans="1:4" x14ac:dyDescent="0.2">
      <c r="A508">
        <v>507</v>
      </c>
      <c r="B508" s="626">
        <v>0</v>
      </c>
      <c r="C508" s="626">
        <v>1000000</v>
      </c>
      <c r="D508" s="626">
        <v>0</v>
      </c>
    </row>
    <row r="509" spans="1:4" x14ac:dyDescent="0.2">
      <c r="A509">
        <v>508</v>
      </c>
      <c r="B509" s="626">
        <v>0</v>
      </c>
      <c r="C509" s="626">
        <v>1000000</v>
      </c>
      <c r="D509" s="626">
        <v>0</v>
      </c>
    </row>
    <row r="510" spans="1:4" x14ac:dyDescent="0.2">
      <c r="A510">
        <v>509</v>
      </c>
      <c r="B510" s="626">
        <v>0</v>
      </c>
      <c r="C510" s="626">
        <v>1000000</v>
      </c>
      <c r="D510" s="626">
        <v>0</v>
      </c>
    </row>
    <row r="511" spans="1:4" x14ac:dyDescent="0.2">
      <c r="A511">
        <v>510</v>
      </c>
      <c r="B511" s="626">
        <v>0</v>
      </c>
      <c r="C511" s="626">
        <v>1000000</v>
      </c>
      <c r="D511" s="626">
        <v>0</v>
      </c>
    </row>
    <row r="512" spans="1:4" x14ac:dyDescent="0.2">
      <c r="A512">
        <v>511</v>
      </c>
      <c r="B512" s="626">
        <v>0</v>
      </c>
      <c r="C512" s="626">
        <v>1000000</v>
      </c>
      <c r="D512" s="626">
        <v>0</v>
      </c>
    </row>
    <row r="513" spans="1:4" x14ac:dyDescent="0.2">
      <c r="A513">
        <v>512</v>
      </c>
      <c r="B513" s="626">
        <v>0</v>
      </c>
      <c r="C513" s="626">
        <v>1000000</v>
      </c>
      <c r="D513" s="626">
        <v>0</v>
      </c>
    </row>
    <row r="514" spans="1:4" x14ac:dyDescent="0.2">
      <c r="A514">
        <v>513</v>
      </c>
      <c r="B514" s="626">
        <v>0</v>
      </c>
      <c r="C514" s="626">
        <v>1000000</v>
      </c>
      <c r="D514" s="626">
        <v>0</v>
      </c>
    </row>
    <row r="515" spans="1:4" x14ac:dyDescent="0.2">
      <c r="A515">
        <v>514</v>
      </c>
      <c r="B515" s="626">
        <v>0</v>
      </c>
      <c r="C515" s="626">
        <v>1000000</v>
      </c>
      <c r="D515" s="626">
        <v>0</v>
      </c>
    </row>
    <row r="516" spans="1:4" x14ac:dyDescent="0.2">
      <c r="A516">
        <v>515</v>
      </c>
      <c r="B516" s="626">
        <v>0</v>
      </c>
      <c r="C516" s="626">
        <v>1000000</v>
      </c>
      <c r="D516" s="626">
        <v>0</v>
      </c>
    </row>
    <row r="517" spans="1:4" x14ac:dyDescent="0.2">
      <c r="A517">
        <v>516</v>
      </c>
      <c r="B517" s="626">
        <v>0</v>
      </c>
      <c r="C517" s="626">
        <v>1000000</v>
      </c>
      <c r="D517" s="626">
        <v>0</v>
      </c>
    </row>
    <row r="518" spans="1:4" x14ac:dyDescent="0.2">
      <c r="A518">
        <v>517</v>
      </c>
      <c r="B518" s="626">
        <v>0</v>
      </c>
      <c r="C518" s="626">
        <v>1000000</v>
      </c>
      <c r="D518" s="626">
        <v>0</v>
      </c>
    </row>
    <row r="519" spans="1:4" x14ac:dyDescent="0.2">
      <c r="A519">
        <v>518</v>
      </c>
      <c r="B519" s="626">
        <v>0</v>
      </c>
      <c r="C519" s="626">
        <v>1000000</v>
      </c>
      <c r="D519" s="626">
        <v>0</v>
      </c>
    </row>
    <row r="520" spans="1:4" x14ac:dyDescent="0.2">
      <c r="A520">
        <v>519</v>
      </c>
      <c r="B520" s="626">
        <v>0</v>
      </c>
      <c r="C520" s="626">
        <v>1000000</v>
      </c>
      <c r="D520" s="626">
        <v>0</v>
      </c>
    </row>
    <row r="521" spans="1:4" x14ac:dyDescent="0.2">
      <c r="A521">
        <v>520</v>
      </c>
      <c r="B521" s="626">
        <v>0</v>
      </c>
      <c r="C521" s="626">
        <v>1000000</v>
      </c>
      <c r="D521" s="626">
        <v>0</v>
      </c>
    </row>
    <row r="522" spans="1:4" x14ac:dyDescent="0.2">
      <c r="A522">
        <v>521</v>
      </c>
      <c r="B522" s="626">
        <v>0</v>
      </c>
      <c r="C522" s="626">
        <v>1000000</v>
      </c>
      <c r="D522" s="626">
        <v>0</v>
      </c>
    </row>
    <row r="523" spans="1:4" x14ac:dyDescent="0.2">
      <c r="A523">
        <v>522</v>
      </c>
      <c r="B523" s="626">
        <v>0</v>
      </c>
      <c r="C523" s="626">
        <v>1000000</v>
      </c>
      <c r="D523" s="626">
        <v>0</v>
      </c>
    </row>
    <row r="524" spans="1:4" x14ac:dyDescent="0.2">
      <c r="A524">
        <v>523</v>
      </c>
      <c r="B524" s="626">
        <v>0</v>
      </c>
      <c r="C524" s="626">
        <v>1000000</v>
      </c>
      <c r="D524" s="626">
        <v>0</v>
      </c>
    </row>
    <row r="525" spans="1:4" x14ac:dyDescent="0.2">
      <c r="A525">
        <v>524</v>
      </c>
      <c r="B525" s="626">
        <v>0</v>
      </c>
      <c r="C525" s="626">
        <v>1000000</v>
      </c>
      <c r="D525" s="626">
        <v>0</v>
      </c>
    </row>
    <row r="526" spans="1:4" x14ac:dyDescent="0.2">
      <c r="A526">
        <v>525</v>
      </c>
      <c r="B526" s="626">
        <v>0</v>
      </c>
      <c r="C526" s="626">
        <v>1000000</v>
      </c>
      <c r="D526" s="626">
        <v>0</v>
      </c>
    </row>
    <row r="527" spans="1:4" x14ac:dyDescent="0.2">
      <c r="A527">
        <v>526</v>
      </c>
      <c r="B527" s="626">
        <v>0</v>
      </c>
      <c r="C527" s="626">
        <v>1000000</v>
      </c>
      <c r="D527" s="626">
        <v>0</v>
      </c>
    </row>
    <row r="528" spans="1:4" x14ac:dyDescent="0.2">
      <c r="A528">
        <v>527</v>
      </c>
      <c r="B528" s="626">
        <v>0</v>
      </c>
      <c r="C528" s="626">
        <v>1000000</v>
      </c>
      <c r="D528" s="626">
        <v>0</v>
      </c>
    </row>
    <row r="529" spans="1:4" x14ac:dyDescent="0.2">
      <c r="A529">
        <v>528</v>
      </c>
      <c r="B529" s="626">
        <v>0</v>
      </c>
      <c r="C529" s="626">
        <v>1000000</v>
      </c>
      <c r="D529" s="626">
        <v>0</v>
      </c>
    </row>
    <row r="530" spans="1:4" x14ac:dyDescent="0.2">
      <c r="A530">
        <v>529</v>
      </c>
      <c r="B530" s="626">
        <v>0</v>
      </c>
      <c r="C530" s="626">
        <v>1000000</v>
      </c>
      <c r="D530" s="626">
        <v>0</v>
      </c>
    </row>
    <row r="531" spans="1:4" x14ac:dyDescent="0.2">
      <c r="A531">
        <v>530</v>
      </c>
      <c r="B531" s="626">
        <v>0</v>
      </c>
      <c r="C531" s="626">
        <v>1000000</v>
      </c>
      <c r="D531" s="626">
        <v>0</v>
      </c>
    </row>
    <row r="532" spans="1:4" x14ac:dyDescent="0.2">
      <c r="A532">
        <v>531</v>
      </c>
      <c r="B532" s="626">
        <v>0</v>
      </c>
      <c r="C532" s="626">
        <v>1000000</v>
      </c>
      <c r="D532" s="626">
        <v>0</v>
      </c>
    </row>
    <row r="533" spans="1:4" x14ac:dyDescent="0.2">
      <c r="A533">
        <v>532</v>
      </c>
      <c r="B533" s="626">
        <v>0</v>
      </c>
      <c r="C533" s="626">
        <v>1000000</v>
      </c>
      <c r="D533" s="626">
        <v>0</v>
      </c>
    </row>
    <row r="534" spans="1:4" x14ac:dyDescent="0.2">
      <c r="A534">
        <v>533</v>
      </c>
      <c r="B534" s="626">
        <v>0</v>
      </c>
      <c r="C534" s="626">
        <v>1000000</v>
      </c>
      <c r="D534" s="626">
        <v>0</v>
      </c>
    </row>
    <row r="535" spans="1:4" x14ac:dyDescent="0.2">
      <c r="A535">
        <v>534</v>
      </c>
      <c r="B535" s="626">
        <v>0</v>
      </c>
      <c r="C535" s="626">
        <v>1000000</v>
      </c>
      <c r="D535" s="626">
        <v>0</v>
      </c>
    </row>
    <row r="536" spans="1:4" x14ac:dyDescent="0.2">
      <c r="A536">
        <v>535</v>
      </c>
      <c r="B536" s="626">
        <v>0</v>
      </c>
      <c r="C536" s="626">
        <v>1000000</v>
      </c>
      <c r="D536" s="626">
        <v>0</v>
      </c>
    </row>
    <row r="537" spans="1:4" x14ac:dyDescent="0.2">
      <c r="A537">
        <v>536</v>
      </c>
      <c r="B537" s="626">
        <v>0</v>
      </c>
      <c r="C537" s="626">
        <v>1000000</v>
      </c>
      <c r="D537" s="626">
        <v>0</v>
      </c>
    </row>
    <row r="538" spans="1:4" x14ac:dyDescent="0.2">
      <c r="A538">
        <v>537</v>
      </c>
      <c r="B538" s="626">
        <v>0</v>
      </c>
      <c r="C538" s="626">
        <v>1000000</v>
      </c>
      <c r="D538" s="626">
        <v>0</v>
      </c>
    </row>
    <row r="539" spans="1:4" x14ac:dyDescent="0.2">
      <c r="A539">
        <v>538</v>
      </c>
      <c r="B539" s="626">
        <v>0</v>
      </c>
      <c r="C539" s="626">
        <v>1000000</v>
      </c>
      <c r="D539" s="626">
        <v>0</v>
      </c>
    </row>
    <row r="540" spans="1:4" x14ac:dyDescent="0.2">
      <c r="A540">
        <v>539</v>
      </c>
      <c r="B540" s="626">
        <v>0</v>
      </c>
      <c r="C540" s="626">
        <v>1000000</v>
      </c>
      <c r="D540" s="626">
        <v>0</v>
      </c>
    </row>
    <row r="541" spans="1:4" x14ac:dyDescent="0.2">
      <c r="A541">
        <v>540</v>
      </c>
      <c r="B541" s="626">
        <v>0</v>
      </c>
      <c r="C541" s="626">
        <v>1000000</v>
      </c>
      <c r="D541" s="626">
        <v>0</v>
      </c>
    </row>
    <row r="542" spans="1:4" x14ac:dyDescent="0.2">
      <c r="A542">
        <v>541</v>
      </c>
      <c r="B542" s="626">
        <v>0</v>
      </c>
      <c r="C542" s="626">
        <v>1000000</v>
      </c>
      <c r="D542" s="626">
        <v>0</v>
      </c>
    </row>
    <row r="543" spans="1:4" x14ac:dyDescent="0.2">
      <c r="A543">
        <v>542</v>
      </c>
      <c r="B543" s="626">
        <v>0</v>
      </c>
      <c r="C543" s="626">
        <v>1000000</v>
      </c>
      <c r="D543" s="626">
        <v>0</v>
      </c>
    </row>
    <row r="544" spans="1:4" x14ac:dyDescent="0.2">
      <c r="A544">
        <v>543</v>
      </c>
      <c r="B544" s="626">
        <v>0</v>
      </c>
      <c r="C544" s="626">
        <v>1000000</v>
      </c>
      <c r="D544" s="626">
        <v>0</v>
      </c>
    </row>
    <row r="545" spans="1:4" x14ac:dyDescent="0.2">
      <c r="A545">
        <v>544</v>
      </c>
      <c r="B545" s="626">
        <v>0</v>
      </c>
      <c r="C545" s="626">
        <v>1000000</v>
      </c>
      <c r="D545" s="626">
        <v>0</v>
      </c>
    </row>
    <row r="546" spans="1:4" x14ac:dyDescent="0.2">
      <c r="A546">
        <v>545</v>
      </c>
      <c r="B546" s="626">
        <v>0</v>
      </c>
      <c r="C546" s="626">
        <v>1000000</v>
      </c>
      <c r="D546" s="626">
        <v>0</v>
      </c>
    </row>
    <row r="547" spans="1:4" x14ac:dyDescent="0.2">
      <c r="A547">
        <v>546</v>
      </c>
      <c r="B547" s="626">
        <v>0</v>
      </c>
      <c r="C547" s="626">
        <v>1000000</v>
      </c>
      <c r="D547" s="626">
        <v>0</v>
      </c>
    </row>
    <row r="548" spans="1:4" x14ac:dyDescent="0.2">
      <c r="A548">
        <v>547</v>
      </c>
      <c r="B548" s="626">
        <v>0</v>
      </c>
      <c r="C548" s="626">
        <v>1000000</v>
      </c>
      <c r="D548" s="626">
        <v>0</v>
      </c>
    </row>
    <row r="549" spans="1:4" x14ac:dyDescent="0.2">
      <c r="A549">
        <v>548</v>
      </c>
      <c r="B549" s="626">
        <v>0</v>
      </c>
      <c r="C549" s="626">
        <v>1000000</v>
      </c>
      <c r="D549" s="626">
        <v>0</v>
      </c>
    </row>
    <row r="550" spans="1:4" x14ac:dyDescent="0.2">
      <c r="A550">
        <v>549</v>
      </c>
      <c r="B550" s="626">
        <v>0</v>
      </c>
      <c r="C550" s="626">
        <v>1000000</v>
      </c>
      <c r="D550" s="626">
        <v>0</v>
      </c>
    </row>
    <row r="551" spans="1:4" x14ac:dyDescent="0.2">
      <c r="A551">
        <v>550</v>
      </c>
      <c r="B551" s="626">
        <v>0</v>
      </c>
      <c r="C551" s="626">
        <v>1000000</v>
      </c>
      <c r="D551" s="626">
        <v>0</v>
      </c>
    </row>
    <row r="552" spans="1:4" x14ac:dyDescent="0.2">
      <c r="A552">
        <v>551</v>
      </c>
      <c r="B552" s="626">
        <v>0</v>
      </c>
      <c r="C552" s="626">
        <v>1000000</v>
      </c>
      <c r="D552" s="626">
        <v>0</v>
      </c>
    </row>
    <row r="553" spans="1:4" x14ac:dyDescent="0.2">
      <c r="A553">
        <v>552</v>
      </c>
      <c r="B553" s="626">
        <v>0</v>
      </c>
      <c r="C553" s="626">
        <v>1000000</v>
      </c>
      <c r="D553" s="626">
        <v>0</v>
      </c>
    </row>
    <row r="554" spans="1:4" x14ac:dyDescent="0.2">
      <c r="A554">
        <v>553</v>
      </c>
      <c r="B554" s="626">
        <v>0</v>
      </c>
      <c r="C554" s="626">
        <v>1000000</v>
      </c>
      <c r="D554" s="626">
        <v>0</v>
      </c>
    </row>
    <row r="555" spans="1:4" x14ac:dyDescent="0.2">
      <c r="A555">
        <v>554</v>
      </c>
      <c r="B555" s="626">
        <v>0</v>
      </c>
      <c r="C555" s="626">
        <v>1000000</v>
      </c>
      <c r="D555" s="626">
        <v>0</v>
      </c>
    </row>
    <row r="556" spans="1:4" x14ac:dyDescent="0.2">
      <c r="A556">
        <v>555</v>
      </c>
      <c r="B556" s="626">
        <v>0</v>
      </c>
      <c r="C556" s="626">
        <v>1000000</v>
      </c>
      <c r="D556" s="626">
        <v>0</v>
      </c>
    </row>
    <row r="557" spans="1:4" x14ac:dyDescent="0.2">
      <c r="A557">
        <v>556</v>
      </c>
      <c r="B557" s="626">
        <v>0</v>
      </c>
      <c r="C557" s="626">
        <v>1000000</v>
      </c>
      <c r="D557" s="626">
        <v>0</v>
      </c>
    </row>
    <row r="558" spans="1:4" x14ac:dyDescent="0.2">
      <c r="A558">
        <v>557</v>
      </c>
      <c r="B558" s="626">
        <v>0</v>
      </c>
      <c r="C558" s="626">
        <v>1000000</v>
      </c>
      <c r="D558" s="626">
        <v>0</v>
      </c>
    </row>
    <row r="559" spans="1:4" x14ac:dyDescent="0.2">
      <c r="A559">
        <v>558</v>
      </c>
      <c r="B559" s="626">
        <v>0</v>
      </c>
      <c r="C559" s="626">
        <v>1000000</v>
      </c>
      <c r="D559" s="626">
        <v>0</v>
      </c>
    </row>
    <row r="560" spans="1:4" x14ac:dyDescent="0.2">
      <c r="A560">
        <v>559</v>
      </c>
      <c r="B560" s="626">
        <v>0</v>
      </c>
      <c r="C560" s="626">
        <v>1000000</v>
      </c>
      <c r="D560" s="626">
        <v>0</v>
      </c>
    </row>
    <row r="561" spans="1:4" x14ac:dyDescent="0.2">
      <c r="A561">
        <v>560</v>
      </c>
      <c r="B561" s="626">
        <v>0</v>
      </c>
      <c r="C561" s="626">
        <v>1000000</v>
      </c>
      <c r="D561" s="626">
        <v>0</v>
      </c>
    </row>
    <row r="562" spans="1:4" x14ac:dyDescent="0.2">
      <c r="A562">
        <v>561</v>
      </c>
      <c r="B562" s="626">
        <v>0</v>
      </c>
      <c r="C562" s="626">
        <v>1000000</v>
      </c>
      <c r="D562" s="626">
        <v>0</v>
      </c>
    </row>
    <row r="563" spans="1:4" x14ac:dyDescent="0.2">
      <c r="A563">
        <v>562</v>
      </c>
      <c r="B563" s="626">
        <v>0</v>
      </c>
      <c r="C563" s="626">
        <v>1000000</v>
      </c>
      <c r="D563" s="626">
        <v>0</v>
      </c>
    </row>
    <row r="564" spans="1:4" x14ac:dyDescent="0.2">
      <c r="A564">
        <v>563</v>
      </c>
      <c r="B564" s="626">
        <v>0</v>
      </c>
      <c r="C564" s="626">
        <v>1000000</v>
      </c>
      <c r="D564" s="626">
        <v>0</v>
      </c>
    </row>
    <row r="565" spans="1:4" x14ac:dyDescent="0.2">
      <c r="A565">
        <v>564</v>
      </c>
      <c r="B565" s="626">
        <v>0</v>
      </c>
      <c r="C565" s="626">
        <v>1000000</v>
      </c>
      <c r="D565" s="626">
        <v>0</v>
      </c>
    </row>
    <row r="566" spans="1:4" x14ac:dyDescent="0.2">
      <c r="A566">
        <v>565</v>
      </c>
      <c r="B566" s="626">
        <v>0</v>
      </c>
      <c r="C566" s="626">
        <v>1000000</v>
      </c>
      <c r="D566" s="626">
        <v>0</v>
      </c>
    </row>
    <row r="567" spans="1:4" x14ac:dyDescent="0.2">
      <c r="A567">
        <v>566</v>
      </c>
      <c r="B567" s="626">
        <v>0</v>
      </c>
      <c r="C567" s="626">
        <v>1000000</v>
      </c>
      <c r="D567" s="626">
        <v>0</v>
      </c>
    </row>
    <row r="568" spans="1:4" x14ac:dyDescent="0.2">
      <c r="A568">
        <v>567</v>
      </c>
      <c r="B568" s="626">
        <v>0</v>
      </c>
      <c r="C568" s="626">
        <v>1000000</v>
      </c>
      <c r="D568" s="626">
        <v>0</v>
      </c>
    </row>
    <row r="569" spans="1:4" x14ac:dyDescent="0.2">
      <c r="A569">
        <v>568</v>
      </c>
      <c r="B569" s="626">
        <v>0</v>
      </c>
      <c r="C569" s="626">
        <v>1000000</v>
      </c>
      <c r="D569" s="626">
        <v>0</v>
      </c>
    </row>
    <row r="570" spans="1:4" x14ac:dyDescent="0.2">
      <c r="A570">
        <v>569</v>
      </c>
      <c r="B570" s="626">
        <v>0</v>
      </c>
      <c r="C570" s="626">
        <v>1000000</v>
      </c>
      <c r="D570" s="626">
        <v>0</v>
      </c>
    </row>
    <row r="571" spans="1:4" x14ac:dyDescent="0.2">
      <c r="A571">
        <v>570</v>
      </c>
      <c r="B571" s="626">
        <v>0</v>
      </c>
      <c r="C571" s="626">
        <v>1000000</v>
      </c>
      <c r="D571" s="626">
        <v>0</v>
      </c>
    </row>
    <row r="572" spans="1:4" x14ac:dyDescent="0.2">
      <c r="A572">
        <v>571</v>
      </c>
      <c r="B572" s="626">
        <v>0</v>
      </c>
      <c r="C572" s="626">
        <v>1000000</v>
      </c>
      <c r="D572" s="626">
        <v>0</v>
      </c>
    </row>
    <row r="573" spans="1:4" x14ac:dyDescent="0.2">
      <c r="A573">
        <v>572</v>
      </c>
      <c r="B573" s="626">
        <v>0</v>
      </c>
      <c r="C573" s="626">
        <v>1000000</v>
      </c>
      <c r="D573" s="626">
        <v>0</v>
      </c>
    </row>
    <row r="574" spans="1:4" x14ac:dyDescent="0.2">
      <c r="A574">
        <v>573</v>
      </c>
      <c r="B574" s="626">
        <v>0</v>
      </c>
      <c r="C574" s="626">
        <v>1000000</v>
      </c>
      <c r="D574" s="626">
        <v>0</v>
      </c>
    </row>
    <row r="575" spans="1:4" x14ac:dyDescent="0.2">
      <c r="A575">
        <v>574</v>
      </c>
      <c r="B575" s="626">
        <v>0</v>
      </c>
      <c r="C575" s="626">
        <v>1000000</v>
      </c>
      <c r="D575" s="626">
        <v>0</v>
      </c>
    </row>
    <row r="576" spans="1:4" x14ac:dyDescent="0.2">
      <c r="A576">
        <v>575</v>
      </c>
      <c r="B576" s="626">
        <v>0</v>
      </c>
      <c r="C576" s="626">
        <v>1000000</v>
      </c>
      <c r="D576" s="626">
        <v>0</v>
      </c>
    </row>
    <row r="577" spans="1:4" x14ac:dyDescent="0.2">
      <c r="A577">
        <v>576</v>
      </c>
      <c r="B577" s="626">
        <v>0</v>
      </c>
      <c r="C577" s="626">
        <v>1000000</v>
      </c>
      <c r="D577" s="626">
        <v>0</v>
      </c>
    </row>
    <row r="578" spans="1:4" x14ac:dyDescent="0.2">
      <c r="A578">
        <v>577</v>
      </c>
      <c r="B578" s="626">
        <v>0</v>
      </c>
      <c r="C578" s="626">
        <v>1000000</v>
      </c>
      <c r="D578" s="626">
        <v>0</v>
      </c>
    </row>
    <row r="579" spans="1:4" x14ac:dyDescent="0.2">
      <c r="A579">
        <v>578</v>
      </c>
      <c r="B579" s="626">
        <v>0</v>
      </c>
      <c r="C579" s="626">
        <v>1000000</v>
      </c>
      <c r="D579" s="626">
        <v>0</v>
      </c>
    </row>
    <row r="580" spans="1:4" x14ac:dyDescent="0.2">
      <c r="A580">
        <v>579</v>
      </c>
      <c r="B580" s="626">
        <v>0</v>
      </c>
      <c r="C580" s="626">
        <v>1000000</v>
      </c>
      <c r="D580" s="626">
        <v>0</v>
      </c>
    </row>
    <row r="581" spans="1:4" x14ac:dyDescent="0.2">
      <c r="A581">
        <v>580</v>
      </c>
      <c r="B581" s="626">
        <v>0</v>
      </c>
      <c r="C581" s="626">
        <v>1000000</v>
      </c>
      <c r="D581" s="626">
        <v>0</v>
      </c>
    </row>
    <row r="582" spans="1:4" x14ac:dyDescent="0.2">
      <c r="A582">
        <v>581</v>
      </c>
      <c r="B582" s="626">
        <v>0</v>
      </c>
      <c r="C582" s="626">
        <v>1000000</v>
      </c>
      <c r="D582" s="626">
        <v>0</v>
      </c>
    </row>
    <row r="583" spans="1:4" x14ac:dyDescent="0.2">
      <c r="A583">
        <v>582</v>
      </c>
      <c r="B583" s="626">
        <v>0</v>
      </c>
      <c r="C583" s="626">
        <v>1000000</v>
      </c>
      <c r="D583" s="626">
        <v>0</v>
      </c>
    </row>
    <row r="584" spans="1:4" x14ac:dyDescent="0.2">
      <c r="A584">
        <v>583</v>
      </c>
      <c r="B584" s="626">
        <v>0</v>
      </c>
      <c r="C584" s="626">
        <v>1000000</v>
      </c>
      <c r="D584" s="626">
        <v>0</v>
      </c>
    </row>
    <row r="585" spans="1:4" x14ac:dyDescent="0.2">
      <c r="A585">
        <v>584</v>
      </c>
      <c r="B585" s="626">
        <v>0</v>
      </c>
      <c r="C585" s="626">
        <v>1000000</v>
      </c>
      <c r="D585" s="626">
        <v>0</v>
      </c>
    </row>
    <row r="586" spans="1:4" x14ac:dyDescent="0.2">
      <c r="A586">
        <v>585</v>
      </c>
      <c r="B586" s="626">
        <v>0</v>
      </c>
      <c r="C586" s="626">
        <v>1000000</v>
      </c>
      <c r="D586" s="626">
        <v>0</v>
      </c>
    </row>
    <row r="587" spans="1:4" x14ac:dyDescent="0.2">
      <c r="A587">
        <v>586</v>
      </c>
      <c r="B587" s="626">
        <v>0</v>
      </c>
      <c r="C587" s="626">
        <v>1000000</v>
      </c>
      <c r="D587" s="626">
        <v>0</v>
      </c>
    </row>
    <row r="588" spans="1:4" x14ac:dyDescent="0.2">
      <c r="A588">
        <v>587</v>
      </c>
      <c r="B588" s="626">
        <v>0</v>
      </c>
      <c r="C588" s="626">
        <v>1000000</v>
      </c>
      <c r="D588" s="626">
        <v>0</v>
      </c>
    </row>
    <row r="589" spans="1:4" x14ac:dyDescent="0.2">
      <c r="A589">
        <v>588</v>
      </c>
      <c r="B589" s="626">
        <v>0</v>
      </c>
      <c r="C589" s="626">
        <v>1000000</v>
      </c>
      <c r="D589" s="626">
        <v>0</v>
      </c>
    </row>
    <row r="590" spans="1:4" x14ac:dyDescent="0.2">
      <c r="A590">
        <v>589</v>
      </c>
      <c r="B590" s="626">
        <v>0</v>
      </c>
      <c r="C590" s="626">
        <v>1000000</v>
      </c>
      <c r="D590" s="626">
        <v>0</v>
      </c>
    </row>
    <row r="591" spans="1:4" x14ac:dyDescent="0.2">
      <c r="A591">
        <v>590</v>
      </c>
      <c r="B591" s="626">
        <v>0</v>
      </c>
      <c r="C591" s="626">
        <v>1000000</v>
      </c>
      <c r="D591" s="626">
        <v>0</v>
      </c>
    </row>
    <row r="592" spans="1:4" x14ac:dyDescent="0.2">
      <c r="A592">
        <v>591</v>
      </c>
      <c r="B592" s="626">
        <v>0</v>
      </c>
      <c r="C592" s="626">
        <v>1000000</v>
      </c>
      <c r="D592" s="626">
        <v>0</v>
      </c>
    </row>
    <row r="593" spans="1:4" x14ac:dyDescent="0.2">
      <c r="A593">
        <v>592</v>
      </c>
      <c r="B593" s="626">
        <v>0</v>
      </c>
      <c r="C593" s="626">
        <v>1000000</v>
      </c>
      <c r="D593" s="626">
        <v>0</v>
      </c>
    </row>
    <row r="594" spans="1:4" x14ac:dyDescent="0.2">
      <c r="A594">
        <v>593</v>
      </c>
      <c r="B594" s="626">
        <v>0</v>
      </c>
      <c r="C594" s="626">
        <v>1000000</v>
      </c>
      <c r="D594" s="626">
        <v>0</v>
      </c>
    </row>
    <row r="595" spans="1:4" x14ac:dyDescent="0.2">
      <c r="A595">
        <v>594</v>
      </c>
      <c r="B595" s="626">
        <v>0</v>
      </c>
      <c r="C595" s="626">
        <v>1000000</v>
      </c>
      <c r="D595" s="626">
        <v>0</v>
      </c>
    </row>
    <row r="596" spans="1:4" x14ac:dyDescent="0.2">
      <c r="A596">
        <v>595</v>
      </c>
      <c r="B596" s="626">
        <v>0</v>
      </c>
      <c r="C596" s="626">
        <v>1000000</v>
      </c>
      <c r="D596" s="626">
        <v>0</v>
      </c>
    </row>
    <row r="597" spans="1:4" x14ac:dyDescent="0.2">
      <c r="A597">
        <v>596</v>
      </c>
      <c r="B597" s="626">
        <v>0</v>
      </c>
      <c r="C597" s="626">
        <v>1000000</v>
      </c>
      <c r="D597" s="626">
        <v>0</v>
      </c>
    </row>
    <row r="598" spans="1:4" x14ac:dyDescent="0.2">
      <c r="A598">
        <v>597</v>
      </c>
      <c r="B598" s="626">
        <v>0</v>
      </c>
      <c r="C598" s="626">
        <v>1000000</v>
      </c>
      <c r="D598" s="626">
        <v>0</v>
      </c>
    </row>
    <row r="599" spans="1:4" x14ac:dyDescent="0.2">
      <c r="A599">
        <v>598</v>
      </c>
      <c r="B599" s="626">
        <v>0</v>
      </c>
      <c r="C599" s="626">
        <v>1000000</v>
      </c>
      <c r="D599" s="626">
        <v>0</v>
      </c>
    </row>
    <row r="600" spans="1:4" x14ac:dyDescent="0.2">
      <c r="A600">
        <v>599</v>
      </c>
      <c r="B600" s="626">
        <v>0</v>
      </c>
      <c r="C600" s="626">
        <v>1000000</v>
      </c>
      <c r="D600" s="626">
        <v>0</v>
      </c>
    </row>
    <row r="601" spans="1:4" x14ac:dyDescent="0.2">
      <c r="A601">
        <v>600</v>
      </c>
      <c r="B601" s="626">
        <v>0</v>
      </c>
      <c r="C601" s="626">
        <v>1000000</v>
      </c>
      <c r="D601" s="626">
        <v>0</v>
      </c>
    </row>
    <row r="602" spans="1:4" x14ac:dyDescent="0.2">
      <c r="A602">
        <v>601</v>
      </c>
      <c r="B602" s="626">
        <v>0</v>
      </c>
      <c r="C602" s="626">
        <v>1000000</v>
      </c>
      <c r="D602" s="626">
        <v>0</v>
      </c>
    </row>
    <row r="603" spans="1:4" x14ac:dyDescent="0.2">
      <c r="A603">
        <v>602</v>
      </c>
      <c r="B603" s="626">
        <v>0</v>
      </c>
      <c r="C603" s="626">
        <v>1000000</v>
      </c>
      <c r="D603" s="626">
        <v>0</v>
      </c>
    </row>
    <row r="604" spans="1:4" x14ac:dyDescent="0.2">
      <c r="A604">
        <v>603</v>
      </c>
      <c r="B604" s="626">
        <v>0</v>
      </c>
      <c r="C604" s="626">
        <v>1000000</v>
      </c>
      <c r="D604" s="626">
        <v>0</v>
      </c>
    </row>
    <row r="605" spans="1:4" x14ac:dyDescent="0.2">
      <c r="A605">
        <v>604</v>
      </c>
      <c r="B605" s="626">
        <v>0</v>
      </c>
      <c r="C605" s="626">
        <v>1000000</v>
      </c>
      <c r="D605" s="626">
        <v>0</v>
      </c>
    </row>
    <row r="606" spans="1:4" x14ac:dyDescent="0.2">
      <c r="A606">
        <v>605</v>
      </c>
      <c r="B606" s="626">
        <v>0</v>
      </c>
      <c r="C606" s="626">
        <v>1000000</v>
      </c>
      <c r="D606" s="626">
        <v>0</v>
      </c>
    </row>
    <row r="607" spans="1:4" x14ac:dyDescent="0.2">
      <c r="A607">
        <v>606</v>
      </c>
      <c r="B607" s="626">
        <v>0</v>
      </c>
      <c r="C607" s="626">
        <v>1000000</v>
      </c>
      <c r="D607" s="626">
        <v>0</v>
      </c>
    </row>
    <row r="608" spans="1:4" x14ac:dyDescent="0.2">
      <c r="A608">
        <v>607</v>
      </c>
      <c r="B608" s="626">
        <v>0</v>
      </c>
      <c r="C608" s="626">
        <v>1000000</v>
      </c>
      <c r="D608" s="626">
        <v>0</v>
      </c>
    </row>
    <row r="609" spans="1:4" x14ac:dyDescent="0.2">
      <c r="A609">
        <v>608</v>
      </c>
      <c r="B609" s="626">
        <v>0</v>
      </c>
      <c r="C609" s="626">
        <v>1000000</v>
      </c>
      <c r="D609" s="626">
        <v>0</v>
      </c>
    </row>
    <row r="610" spans="1:4" x14ac:dyDescent="0.2">
      <c r="A610">
        <v>609</v>
      </c>
      <c r="B610" s="626">
        <v>0</v>
      </c>
      <c r="C610" s="626">
        <v>1000000</v>
      </c>
      <c r="D610" s="626">
        <v>0</v>
      </c>
    </row>
    <row r="611" spans="1:4" x14ac:dyDescent="0.2">
      <c r="A611">
        <v>610</v>
      </c>
      <c r="B611" s="626">
        <v>0</v>
      </c>
      <c r="C611" s="626">
        <v>1000000</v>
      </c>
      <c r="D611" s="626">
        <v>0</v>
      </c>
    </row>
    <row r="612" spans="1:4" x14ac:dyDescent="0.2">
      <c r="A612">
        <v>611</v>
      </c>
      <c r="B612" s="626">
        <v>0</v>
      </c>
      <c r="C612" s="626">
        <v>1000000</v>
      </c>
      <c r="D612" s="626">
        <v>0</v>
      </c>
    </row>
    <row r="613" spans="1:4" x14ac:dyDescent="0.2">
      <c r="A613">
        <v>612</v>
      </c>
      <c r="B613" s="626">
        <v>0</v>
      </c>
      <c r="C613" s="626">
        <v>1000000</v>
      </c>
      <c r="D613" s="626">
        <v>0</v>
      </c>
    </row>
    <row r="614" spans="1:4" x14ac:dyDescent="0.2">
      <c r="A614">
        <v>613</v>
      </c>
      <c r="B614" s="626">
        <v>0</v>
      </c>
      <c r="C614" s="626">
        <v>1000000</v>
      </c>
      <c r="D614" s="626">
        <v>0</v>
      </c>
    </row>
    <row r="615" spans="1:4" x14ac:dyDescent="0.2">
      <c r="A615">
        <v>614</v>
      </c>
      <c r="B615" s="626">
        <v>0</v>
      </c>
      <c r="C615" s="626">
        <v>1000000</v>
      </c>
      <c r="D615" s="626">
        <v>0</v>
      </c>
    </row>
    <row r="616" spans="1:4" x14ac:dyDescent="0.2">
      <c r="A616">
        <v>615</v>
      </c>
      <c r="B616" s="626">
        <v>0</v>
      </c>
      <c r="C616" s="626">
        <v>1000000</v>
      </c>
      <c r="D616" s="626">
        <v>0</v>
      </c>
    </row>
    <row r="617" spans="1:4" x14ac:dyDescent="0.2">
      <c r="A617">
        <v>616</v>
      </c>
      <c r="B617" s="626">
        <v>0</v>
      </c>
      <c r="C617" s="626">
        <v>1000000</v>
      </c>
      <c r="D617" s="626">
        <v>0</v>
      </c>
    </row>
    <row r="618" spans="1:4" x14ac:dyDescent="0.2">
      <c r="A618">
        <v>617</v>
      </c>
      <c r="B618" s="626">
        <v>0</v>
      </c>
      <c r="C618" s="626">
        <v>1000000</v>
      </c>
      <c r="D618" s="626">
        <v>0</v>
      </c>
    </row>
    <row r="619" spans="1:4" x14ac:dyDescent="0.2">
      <c r="A619">
        <v>618</v>
      </c>
      <c r="B619" s="626">
        <v>0</v>
      </c>
      <c r="C619" s="626">
        <v>1000000</v>
      </c>
      <c r="D619" s="626">
        <v>0</v>
      </c>
    </row>
    <row r="620" spans="1:4" x14ac:dyDescent="0.2">
      <c r="A620">
        <v>619</v>
      </c>
      <c r="B620" s="626">
        <v>0</v>
      </c>
      <c r="C620" s="626">
        <v>1000000</v>
      </c>
      <c r="D620" s="626">
        <v>0</v>
      </c>
    </row>
    <row r="621" spans="1:4" x14ac:dyDescent="0.2">
      <c r="A621">
        <v>620</v>
      </c>
      <c r="B621" s="626">
        <v>0</v>
      </c>
      <c r="C621" s="626">
        <v>1000000</v>
      </c>
      <c r="D621" s="626">
        <v>0</v>
      </c>
    </row>
    <row r="622" spans="1:4" x14ac:dyDescent="0.2">
      <c r="A622">
        <v>621</v>
      </c>
      <c r="B622" s="626">
        <v>0</v>
      </c>
      <c r="C622" s="626">
        <v>1000000</v>
      </c>
      <c r="D622" s="626">
        <v>0</v>
      </c>
    </row>
    <row r="623" spans="1:4" x14ac:dyDescent="0.2">
      <c r="A623">
        <v>622</v>
      </c>
      <c r="B623" s="626">
        <v>0</v>
      </c>
      <c r="C623" s="626">
        <v>1000000</v>
      </c>
      <c r="D623" s="626">
        <v>0</v>
      </c>
    </row>
    <row r="624" spans="1:4" x14ac:dyDescent="0.2">
      <c r="A624">
        <v>623</v>
      </c>
      <c r="B624" s="626">
        <v>0</v>
      </c>
      <c r="C624" s="626">
        <v>1000000</v>
      </c>
      <c r="D624" s="626">
        <v>0</v>
      </c>
    </row>
    <row r="625" spans="1:4" x14ac:dyDescent="0.2">
      <c r="A625">
        <v>624</v>
      </c>
      <c r="B625" s="626">
        <v>0</v>
      </c>
      <c r="C625" s="626">
        <v>1000000</v>
      </c>
      <c r="D625" s="626">
        <v>0</v>
      </c>
    </row>
    <row r="626" spans="1:4" x14ac:dyDescent="0.2">
      <c r="A626">
        <v>625</v>
      </c>
      <c r="B626" s="626">
        <v>0</v>
      </c>
      <c r="C626" s="626">
        <v>1000000</v>
      </c>
      <c r="D626" s="626">
        <v>0</v>
      </c>
    </row>
    <row r="627" spans="1:4" x14ac:dyDescent="0.2">
      <c r="A627">
        <v>626</v>
      </c>
      <c r="B627" s="626">
        <v>0</v>
      </c>
      <c r="C627" s="626">
        <v>1000000</v>
      </c>
      <c r="D627" s="626">
        <v>0</v>
      </c>
    </row>
    <row r="628" spans="1:4" x14ac:dyDescent="0.2">
      <c r="A628">
        <v>627</v>
      </c>
      <c r="B628" s="626">
        <v>0</v>
      </c>
      <c r="C628" s="626">
        <v>1000000</v>
      </c>
      <c r="D628" s="626">
        <v>0</v>
      </c>
    </row>
    <row r="629" spans="1:4" x14ac:dyDescent="0.2">
      <c r="A629">
        <v>628</v>
      </c>
      <c r="B629" s="626">
        <v>0</v>
      </c>
      <c r="C629" s="626">
        <v>1000000</v>
      </c>
      <c r="D629" s="626">
        <v>0</v>
      </c>
    </row>
    <row r="630" spans="1:4" x14ac:dyDescent="0.2">
      <c r="A630">
        <v>629</v>
      </c>
      <c r="B630" s="626">
        <v>0</v>
      </c>
      <c r="C630" s="626">
        <v>1000000</v>
      </c>
      <c r="D630" s="626">
        <v>0</v>
      </c>
    </row>
    <row r="631" spans="1:4" x14ac:dyDescent="0.2">
      <c r="A631">
        <v>630</v>
      </c>
      <c r="B631" s="626">
        <v>0</v>
      </c>
      <c r="C631" s="626">
        <v>1000000</v>
      </c>
      <c r="D631" s="626">
        <v>0</v>
      </c>
    </row>
    <row r="632" spans="1:4" x14ac:dyDescent="0.2">
      <c r="A632">
        <v>631</v>
      </c>
      <c r="B632" s="626">
        <v>0</v>
      </c>
      <c r="C632" s="626">
        <v>1000000</v>
      </c>
      <c r="D632" s="626">
        <v>0</v>
      </c>
    </row>
    <row r="633" spans="1:4" x14ac:dyDescent="0.2">
      <c r="A633">
        <v>632</v>
      </c>
      <c r="B633" s="626">
        <v>0</v>
      </c>
      <c r="C633" s="626">
        <v>1000000</v>
      </c>
      <c r="D633" s="626">
        <v>0</v>
      </c>
    </row>
    <row r="634" spans="1:4" x14ac:dyDescent="0.2">
      <c r="A634">
        <v>633</v>
      </c>
      <c r="B634" s="626">
        <v>0</v>
      </c>
      <c r="C634" s="626">
        <v>1000000</v>
      </c>
      <c r="D634" s="626">
        <v>0</v>
      </c>
    </row>
    <row r="635" spans="1:4" x14ac:dyDescent="0.2">
      <c r="A635">
        <v>634</v>
      </c>
      <c r="B635" s="626">
        <v>0</v>
      </c>
      <c r="C635" s="626">
        <v>1000000</v>
      </c>
      <c r="D635" s="626">
        <v>0</v>
      </c>
    </row>
    <row r="636" spans="1:4" x14ac:dyDescent="0.2">
      <c r="A636">
        <v>635</v>
      </c>
      <c r="B636" s="626">
        <v>0</v>
      </c>
      <c r="C636" s="626">
        <v>1000000</v>
      </c>
      <c r="D636" s="626">
        <v>0</v>
      </c>
    </row>
    <row r="637" spans="1:4" x14ac:dyDescent="0.2">
      <c r="A637">
        <v>636</v>
      </c>
      <c r="B637" s="626">
        <v>0</v>
      </c>
      <c r="C637" s="626">
        <v>1000000</v>
      </c>
      <c r="D637" s="626">
        <v>0</v>
      </c>
    </row>
    <row r="638" spans="1:4" x14ac:dyDescent="0.2">
      <c r="A638">
        <v>637</v>
      </c>
      <c r="B638" s="626">
        <v>0</v>
      </c>
      <c r="C638" s="626">
        <v>1000000</v>
      </c>
      <c r="D638" s="626">
        <v>0</v>
      </c>
    </row>
    <row r="639" spans="1:4" x14ac:dyDescent="0.2">
      <c r="A639">
        <v>638</v>
      </c>
      <c r="B639" s="626">
        <v>0</v>
      </c>
      <c r="C639" s="626">
        <v>1000000</v>
      </c>
      <c r="D639" s="626">
        <v>0</v>
      </c>
    </row>
    <row r="640" spans="1:4" x14ac:dyDescent="0.2">
      <c r="A640">
        <v>639</v>
      </c>
      <c r="B640" s="626">
        <v>0</v>
      </c>
      <c r="C640" s="626">
        <v>1000000</v>
      </c>
      <c r="D640" s="626">
        <v>0</v>
      </c>
    </row>
    <row r="641" spans="1:4" x14ac:dyDescent="0.2">
      <c r="A641">
        <v>640</v>
      </c>
      <c r="B641" s="626">
        <v>0</v>
      </c>
      <c r="C641" s="626">
        <v>1000000</v>
      </c>
      <c r="D641" s="626">
        <v>0</v>
      </c>
    </row>
    <row r="642" spans="1:4" x14ac:dyDescent="0.2">
      <c r="A642">
        <v>641</v>
      </c>
      <c r="B642" s="626">
        <v>0</v>
      </c>
      <c r="C642" s="626">
        <v>1000000</v>
      </c>
      <c r="D642" s="626">
        <v>0</v>
      </c>
    </row>
    <row r="643" spans="1:4" x14ac:dyDescent="0.2">
      <c r="A643">
        <v>642</v>
      </c>
      <c r="B643" s="626">
        <v>0</v>
      </c>
      <c r="C643" s="626">
        <v>1000000</v>
      </c>
      <c r="D643" s="626">
        <v>0</v>
      </c>
    </row>
    <row r="644" spans="1:4" x14ac:dyDescent="0.2">
      <c r="A644">
        <v>643</v>
      </c>
      <c r="B644" s="626">
        <v>0</v>
      </c>
      <c r="C644" s="626">
        <v>1000000</v>
      </c>
      <c r="D644" s="626">
        <v>0</v>
      </c>
    </row>
    <row r="645" spans="1:4" x14ac:dyDescent="0.2">
      <c r="A645">
        <v>644</v>
      </c>
      <c r="B645" s="626">
        <v>0</v>
      </c>
      <c r="C645" s="626">
        <v>1000000</v>
      </c>
      <c r="D645" s="626">
        <v>0</v>
      </c>
    </row>
    <row r="646" spans="1:4" x14ac:dyDescent="0.2">
      <c r="A646">
        <v>645</v>
      </c>
      <c r="B646" s="626">
        <v>0</v>
      </c>
      <c r="C646" s="626">
        <v>1000000</v>
      </c>
      <c r="D646" s="626">
        <v>0</v>
      </c>
    </row>
    <row r="647" spans="1:4" x14ac:dyDescent="0.2">
      <c r="A647">
        <v>646</v>
      </c>
      <c r="B647" s="626">
        <v>0</v>
      </c>
      <c r="C647" s="626">
        <v>1000000</v>
      </c>
      <c r="D647" s="626">
        <v>0</v>
      </c>
    </row>
    <row r="648" spans="1:4" x14ac:dyDescent="0.2">
      <c r="A648">
        <v>647</v>
      </c>
      <c r="B648" s="626">
        <v>0</v>
      </c>
      <c r="C648" s="626">
        <v>1000000</v>
      </c>
      <c r="D648" s="626">
        <v>0</v>
      </c>
    </row>
    <row r="649" spans="1:4" x14ac:dyDescent="0.2">
      <c r="A649">
        <v>648</v>
      </c>
      <c r="B649" s="626">
        <v>0</v>
      </c>
      <c r="C649" s="626">
        <v>1000000</v>
      </c>
      <c r="D649" s="626">
        <v>0</v>
      </c>
    </row>
    <row r="650" spans="1:4" x14ac:dyDescent="0.2">
      <c r="A650">
        <v>649</v>
      </c>
      <c r="B650" s="626">
        <v>0</v>
      </c>
      <c r="C650" s="626">
        <v>1000000</v>
      </c>
      <c r="D650" s="626">
        <v>0</v>
      </c>
    </row>
    <row r="651" spans="1:4" x14ac:dyDescent="0.2">
      <c r="A651">
        <v>650</v>
      </c>
      <c r="B651" s="626">
        <v>0</v>
      </c>
      <c r="C651" s="626">
        <v>1000000</v>
      </c>
      <c r="D651" s="626">
        <v>0</v>
      </c>
    </row>
    <row r="652" spans="1:4" x14ac:dyDescent="0.2">
      <c r="A652">
        <v>651</v>
      </c>
      <c r="B652" s="626">
        <v>0</v>
      </c>
      <c r="C652" s="626">
        <v>1000000</v>
      </c>
      <c r="D652" s="626">
        <v>0</v>
      </c>
    </row>
    <row r="653" spans="1:4" x14ac:dyDescent="0.2">
      <c r="A653">
        <v>652</v>
      </c>
      <c r="B653" s="626">
        <v>0</v>
      </c>
      <c r="C653" s="626">
        <v>1000000</v>
      </c>
      <c r="D653" s="626">
        <v>0</v>
      </c>
    </row>
    <row r="654" spans="1:4" x14ac:dyDescent="0.2">
      <c r="A654">
        <v>653</v>
      </c>
      <c r="B654" s="626">
        <v>0</v>
      </c>
      <c r="C654" s="626">
        <v>1000000</v>
      </c>
      <c r="D654" s="626">
        <v>0</v>
      </c>
    </row>
    <row r="655" spans="1:4" x14ac:dyDescent="0.2">
      <c r="A655">
        <v>654</v>
      </c>
      <c r="B655" s="626">
        <v>0</v>
      </c>
      <c r="C655" s="626">
        <v>1000000</v>
      </c>
      <c r="D655" s="626">
        <v>0</v>
      </c>
    </row>
    <row r="656" spans="1:4" x14ac:dyDescent="0.2">
      <c r="A656">
        <v>655</v>
      </c>
      <c r="B656" s="626">
        <v>0</v>
      </c>
      <c r="C656" s="626">
        <v>1000000</v>
      </c>
      <c r="D656" s="626">
        <v>0</v>
      </c>
    </row>
    <row r="657" spans="1:4" x14ac:dyDescent="0.2">
      <c r="A657">
        <v>656</v>
      </c>
      <c r="B657" s="626">
        <v>0</v>
      </c>
      <c r="C657" s="626">
        <v>1000000</v>
      </c>
      <c r="D657" s="626">
        <v>0</v>
      </c>
    </row>
    <row r="658" spans="1:4" x14ac:dyDescent="0.2">
      <c r="A658">
        <v>657</v>
      </c>
      <c r="B658" s="626">
        <v>0</v>
      </c>
      <c r="C658" s="626">
        <v>1000000</v>
      </c>
      <c r="D658" s="626">
        <v>0</v>
      </c>
    </row>
    <row r="659" spans="1:4" x14ac:dyDescent="0.2">
      <c r="A659">
        <v>658</v>
      </c>
      <c r="B659" s="626">
        <v>0</v>
      </c>
      <c r="C659" s="626">
        <v>1000000</v>
      </c>
      <c r="D659" s="626">
        <v>0</v>
      </c>
    </row>
    <row r="660" spans="1:4" x14ac:dyDescent="0.2">
      <c r="A660">
        <v>659</v>
      </c>
      <c r="B660" s="626">
        <v>0</v>
      </c>
      <c r="C660" s="626">
        <v>1000000</v>
      </c>
      <c r="D660" s="626">
        <v>0</v>
      </c>
    </row>
    <row r="661" spans="1:4" x14ac:dyDescent="0.2">
      <c r="A661">
        <v>660</v>
      </c>
      <c r="B661" s="626">
        <v>0</v>
      </c>
      <c r="C661" s="626">
        <v>1000000</v>
      </c>
      <c r="D661" s="626">
        <v>0</v>
      </c>
    </row>
    <row r="662" spans="1:4" x14ac:dyDescent="0.2">
      <c r="A662">
        <v>661</v>
      </c>
      <c r="B662" s="626">
        <v>0</v>
      </c>
      <c r="C662" s="626">
        <v>1000000</v>
      </c>
      <c r="D662" s="626">
        <v>0</v>
      </c>
    </row>
    <row r="663" spans="1:4" x14ac:dyDescent="0.2">
      <c r="A663">
        <v>662</v>
      </c>
      <c r="B663" s="626">
        <v>0</v>
      </c>
      <c r="C663" s="626">
        <v>1000000</v>
      </c>
      <c r="D663" s="626">
        <v>0</v>
      </c>
    </row>
    <row r="664" spans="1:4" x14ac:dyDescent="0.2">
      <c r="A664">
        <v>663</v>
      </c>
      <c r="B664" s="626">
        <v>0</v>
      </c>
      <c r="C664" s="626">
        <v>1000000</v>
      </c>
      <c r="D664" s="626">
        <v>0</v>
      </c>
    </row>
    <row r="665" spans="1:4" x14ac:dyDescent="0.2">
      <c r="A665">
        <v>664</v>
      </c>
      <c r="B665" s="626">
        <v>0</v>
      </c>
      <c r="C665" s="626">
        <v>1000000</v>
      </c>
      <c r="D665" s="626">
        <v>0</v>
      </c>
    </row>
    <row r="666" spans="1:4" x14ac:dyDescent="0.2">
      <c r="A666">
        <v>665</v>
      </c>
      <c r="B666" s="626">
        <v>0</v>
      </c>
      <c r="C666" s="626">
        <v>1000000</v>
      </c>
      <c r="D666" s="626">
        <v>0</v>
      </c>
    </row>
    <row r="667" spans="1:4" x14ac:dyDescent="0.2">
      <c r="A667">
        <v>666</v>
      </c>
      <c r="B667" s="626">
        <v>0</v>
      </c>
      <c r="C667" s="626">
        <v>1000000</v>
      </c>
      <c r="D667" s="626">
        <v>0</v>
      </c>
    </row>
    <row r="668" spans="1:4" x14ac:dyDescent="0.2">
      <c r="A668">
        <v>667</v>
      </c>
      <c r="B668" s="626">
        <v>0</v>
      </c>
      <c r="C668" s="626">
        <v>1000000</v>
      </c>
      <c r="D668" s="626">
        <v>0</v>
      </c>
    </row>
    <row r="669" spans="1:4" x14ac:dyDescent="0.2">
      <c r="A669">
        <v>668</v>
      </c>
      <c r="B669" s="626">
        <v>0</v>
      </c>
      <c r="C669" s="626">
        <v>1000000</v>
      </c>
      <c r="D669" s="626">
        <v>0</v>
      </c>
    </row>
    <row r="670" spans="1:4" x14ac:dyDescent="0.2">
      <c r="A670">
        <v>669</v>
      </c>
      <c r="B670" s="626">
        <v>0</v>
      </c>
      <c r="C670" s="626">
        <v>1000000</v>
      </c>
      <c r="D670" s="626">
        <v>0</v>
      </c>
    </row>
    <row r="671" spans="1:4" x14ac:dyDescent="0.2">
      <c r="A671">
        <v>670</v>
      </c>
      <c r="B671" s="626">
        <v>0</v>
      </c>
      <c r="C671" s="626">
        <v>1000000</v>
      </c>
      <c r="D671" s="626">
        <v>0</v>
      </c>
    </row>
    <row r="672" spans="1:4" x14ac:dyDescent="0.2">
      <c r="A672">
        <v>671</v>
      </c>
      <c r="B672" s="626">
        <v>0</v>
      </c>
      <c r="C672" s="626">
        <v>1000000</v>
      </c>
      <c r="D672" s="626">
        <v>0</v>
      </c>
    </row>
    <row r="673" spans="1:4" x14ac:dyDescent="0.2">
      <c r="A673">
        <v>672</v>
      </c>
      <c r="B673" s="626">
        <v>0</v>
      </c>
      <c r="C673" s="626">
        <v>1000000</v>
      </c>
      <c r="D673" s="626">
        <v>0</v>
      </c>
    </row>
    <row r="674" spans="1:4" x14ac:dyDescent="0.2">
      <c r="A674">
        <v>673</v>
      </c>
      <c r="B674" s="626">
        <v>0</v>
      </c>
      <c r="C674" s="626">
        <v>1000000</v>
      </c>
      <c r="D674" s="626">
        <v>0</v>
      </c>
    </row>
    <row r="675" spans="1:4" x14ac:dyDescent="0.2">
      <c r="A675">
        <v>674</v>
      </c>
      <c r="B675" s="626">
        <v>0</v>
      </c>
      <c r="C675" s="626">
        <v>1000000</v>
      </c>
      <c r="D675" s="626">
        <v>0</v>
      </c>
    </row>
    <row r="676" spans="1:4" x14ac:dyDescent="0.2">
      <c r="A676">
        <v>675</v>
      </c>
      <c r="B676" s="626">
        <v>0</v>
      </c>
      <c r="C676" s="626">
        <v>1000000</v>
      </c>
      <c r="D676" s="626">
        <v>0</v>
      </c>
    </row>
    <row r="677" spans="1:4" x14ac:dyDescent="0.2">
      <c r="A677">
        <v>676</v>
      </c>
      <c r="B677" s="626">
        <v>0</v>
      </c>
      <c r="C677" s="626">
        <v>1000000</v>
      </c>
      <c r="D677" s="626">
        <v>0</v>
      </c>
    </row>
    <row r="678" spans="1:4" x14ac:dyDescent="0.2">
      <c r="A678">
        <v>677</v>
      </c>
      <c r="B678" s="626">
        <v>0</v>
      </c>
      <c r="C678" s="626">
        <v>1000000</v>
      </c>
      <c r="D678" s="626">
        <v>0</v>
      </c>
    </row>
    <row r="679" spans="1:4" x14ac:dyDescent="0.2">
      <c r="A679">
        <v>678</v>
      </c>
      <c r="B679" s="626">
        <v>0</v>
      </c>
      <c r="C679" s="626">
        <v>1000000</v>
      </c>
      <c r="D679" s="626">
        <v>0</v>
      </c>
    </row>
    <row r="680" spans="1:4" x14ac:dyDescent="0.2">
      <c r="A680">
        <v>679</v>
      </c>
      <c r="B680" s="626">
        <v>0</v>
      </c>
      <c r="C680" s="626">
        <v>1000000</v>
      </c>
      <c r="D680" s="626">
        <v>0</v>
      </c>
    </row>
    <row r="681" spans="1:4" x14ac:dyDescent="0.2">
      <c r="A681">
        <v>680</v>
      </c>
      <c r="B681" s="626">
        <v>0</v>
      </c>
      <c r="C681" s="626">
        <v>1000000</v>
      </c>
      <c r="D681" s="626">
        <v>0</v>
      </c>
    </row>
    <row r="682" spans="1:4" x14ac:dyDescent="0.2">
      <c r="A682">
        <v>681</v>
      </c>
      <c r="B682" s="626">
        <v>0</v>
      </c>
      <c r="C682" s="626">
        <v>1000000</v>
      </c>
      <c r="D682" s="626">
        <v>0</v>
      </c>
    </row>
    <row r="683" spans="1:4" x14ac:dyDescent="0.2">
      <c r="A683">
        <v>682</v>
      </c>
      <c r="B683" s="626">
        <v>0</v>
      </c>
      <c r="C683" s="626">
        <v>1000000</v>
      </c>
      <c r="D683" s="626">
        <v>0</v>
      </c>
    </row>
    <row r="684" spans="1:4" x14ac:dyDescent="0.2">
      <c r="A684">
        <v>683</v>
      </c>
      <c r="B684" s="626">
        <v>0</v>
      </c>
      <c r="C684" s="626">
        <v>1000000</v>
      </c>
      <c r="D684" s="626">
        <v>0</v>
      </c>
    </row>
    <row r="685" spans="1:4" x14ac:dyDescent="0.2">
      <c r="A685">
        <v>684</v>
      </c>
      <c r="B685" s="626">
        <v>0</v>
      </c>
      <c r="C685" s="626">
        <v>1000000</v>
      </c>
      <c r="D685" s="626">
        <v>0</v>
      </c>
    </row>
    <row r="686" spans="1:4" x14ac:dyDescent="0.2">
      <c r="A686">
        <v>685</v>
      </c>
      <c r="B686" s="626">
        <v>0</v>
      </c>
      <c r="C686" s="626">
        <v>1000000</v>
      </c>
      <c r="D686" s="626">
        <v>0</v>
      </c>
    </row>
    <row r="687" spans="1:4" x14ac:dyDescent="0.2">
      <c r="A687">
        <v>686</v>
      </c>
      <c r="B687" s="626">
        <v>0</v>
      </c>
      <c r="C687" s="626">
        <v>1000000</v>
      </c>
      <c r="D687" s="626">
        <v>0</v>
      </c>
    </row>
    <row r="688" spans="1:4" x14ac:dyDescent="0.2">
      <c r="A688">
        <v>687</v>
      </c>
      <c r="B688" s="626">
        <v>0</v>
      </c>
      <c r="C688" s="626">
        <v>1000000</v>
      </c>
      <c r="D688" s="626">
        <v>0</v>
      </c>
    </row>
    <row r="689" spans="1:4" x14ac:dyDescent="0.2">
      <c r="A689">
        <v>688</v>
      </c>
      <c r="B689" s="626">
        <v>0</v>
      </c>
      <c r="C689" s="626">
        <v>1000000</v>
      </c>
      <c r="D689" s="626">
        <v>0</v>
      </c>
    </row>
    <row r="690" spans="1:4" x14ac:dyDescent="0.2">
      <c r="A690">
        <v>689</v>
      </c>
      <c r="B690" s="626">
        <v>0</v>
      </c>
      <c r="C690" s="626">
        <v>1000000</v>
      </c>
      <c r="D690" s="626">
        <v>0</v>
      </c>
    </row>
    <row r="691" spans="1:4" x14ac:dyDescent="0.2">
      <c r="A691">
        <v>690</v>
      </c>
      <c r="B691" s="626">
        <v>0</v>
      </c>
      <c r="C691" s="626">
        <v>1000000</v>
      </c>
      <c r="D691" s="626">
        <v>0</v>
      </c>
    </row>
    <row r="692" spans="1:4" x14ac:dyDescent="0.2">
      <c r="A692">
        <v>691</v>
      </c>
      <c r="B692" s="626">
        <v>0</v>
      </c>
      <c r="C692" s="626">
        <v>1000000</v>
      </c>
      <c r="D692" s="626">
        <v>0</v>
      </c>
    </row>
    <row r="693" spans="1:4" x14ac:dyDescent="0.2">
      <c r="A693">
        <v>692</v>
      </c>
      <c r="B693" s="626">
        <v>0</v>
      </c>
      <c r="C693" s="626">
        <v>1000000</v>
      </c>
      <c r="D693" s="626">
        <v>0</v>
      </c>
    </row>
    <row r="694" spans="1:4" x14ac:dyDescent="0.2">
      <c r="A694">
        <v>693</v>
      </c>
      <c r="B694" s="626">
        <v>0</v>
      </c>
      <c r="C694" s="626">
        <v>1000000</v>
      </c>
      <c r="D694" s="626">
        <v>0</v>
      </c>
    </row>
    <row r="695" spans="1:4" x14ac:dyDescent="0.2">
      <c r="A695">
        <v>694</v>
      </c>
      <c r="B695" s="626">
        <v>0</v>
      </c>
      <c r="C695" s="626">
        <v>1000000</v>
      </c>
      <c r="D695" s="626">
        <v>0</v>
      </c>
    </row>
    <row r="696" spans="1:4" x14ac:dyDescent="0.2">
      <c r="A696">
        <v>695</v>
      </c>
      <c r="B696" s="626">
        <v>0</v>
      </c>
      <c r="C696" s="626">
        <v>1000000</v>
      </c>
      <c r="D696" s="626">
        <v>0</v>
      </c>
    </row>
    <row r="697" spans="1:4" x14ac:dyDescent="0.2">
      <c r="A697">
        <v>696</v>
      </c>
      <c r="B697" s="626">
        <v>0</v>
      </c>
      <c r="C697" s="626">
        <v>1000000</v>
      </c>
      <c r="D697" s="626">
        <v>0</v>
      </c>
    </row>
    <row r="698" spans="1:4" x14ac:dyDescent="0.2">
      <c r="A698">
        <v>697</v>
      </c>
      <c r="B698" s="626">
        <v>0</v>
      </c>
      <c r="C698" s="626">
        <v>1000000</v>
      </c>
      <c r="D698" s="626">
        <v>0</v>
      </c>
    </row>
    <row r="699" spans="1:4" x14ac:dyDescent="0.2">
      <c r="A699">
        <v>698</v>
      </c>
      <c r="B699" s="626">
        <v>0</v>
      </c>
      <c r="C699" s="626">
        <v>1000000</v>
      </c>
      <c r="D699" s="626">
        <v>0</v>
      </c>
    </row>
    <row r="700" spans="1:4" x14ac:dyDescent="0.2">
      <c r="A700">
        <v>699</v>
      </c>
      <c r="B700" s="626">
        <v>0</v>
      </c>
      <c r="C700" s="626">
        <v>1000000</v>
      </c>
      <c r="D700" s="626">
        <v>0</v>
      </c>
    </row>
    <row r="701" spans="1:4" x14ac:dyDescent="0.2">
      <c r="A701">
        <v>700</v>
      </c>
      <c r="B701" s="626">
        <v>0</v>
      </c>
      <c r="C701" s="626">
        <v>1000000</v>
      </c>
      <c r="D701" s="626">
        <v>0</v>
      </c>
    </row>
    <row r="702" spans="1:4" x14ac:dyDescent="0.2">
      <c r="A702">
        <v>701</v>
      </c>
      <c r="B702" s="626">
        <v>0</v>
      </c>
      <c r="C702" s="626">
        <v>1000000</v>
      </c>
      <c r="D702" s="626">
        <v>0</v>
      </c>
    </row>
    <row r="703" spans="1:4" x14ac:dyDescent="0.2">
      <c r="A703">
        <v>702</v>
      </c>
      <c r="B703" s="626">
        <v>0</v>
      </c>
      <c r="C703" s="626">
        <v>1000000</v>
      </c>
      <c r="D703" s="626">
        <v>0</v>
      </c>
    </row>
    <row r="704" spans="1:4" x14ac:dyDescent="0.2">
      <c r="A704">
        <v>703</v>
      </c>
      <c r="B704" s="626">
        <v>0</v>
      </c>
      <c r="C704" s="626">
        <v>1000000</v>
      </c>
      <c r="D704" s="626">
        <v>0</v>
      </c>
    </row>
    <row r="705" spans="1:4" x14ac:dyDescent="0.2">
      <c r="A705">
        <v>704</v>
      </c>
      <c r="B705" s="626">
        <v>0</v>
      </c>
      <c r="C705" s="626">
        <v>1000000</v>
      </c>
      <c r="D705" s="626">
        <v>0</v>
      </c>
    </row>
    <row r="706" spans="1:4" x14ac:dyDescent="0.2">
      <c r="A706">
        <v>705</v>
      </c>
      <c r="B706" s="626">
        <v>0</v>
      </c>
      <c r="C706" s="626">
        <v>1000000</v>
      </c>
      <c r="D706" s="626">
        <v>0</v>
      </c>
    </row>
    <row r="707" spans="1:4" x14ac:dyDescent="0.2">
      <c r="A707">
        <v>706</v>
      </c>
      <c r="B707" s="626">
        <v>0</v>
      </c>
      <c r="C707" s="626">
        <v>1000000</v>
      </c>
      <c r="D707" s="626">
        <v>0</v>
      </c>
    </row>
    <row r="708" spans="1:4" x14ac:dyDescent="0.2">
      <c r="A708">
        <v>707</v>
      </c>
      <c r="B708" s="626">
        <v>0</v>
      </c>
      <c r="C708" s="626">
        <v>1000000</v>
      </c>
      <c r="D708" s="626">
        <v>0</v>
      </c>
    </row>
    <row r="709" spans="1:4" x14ac:dyDescent="0.2">
      <c r="A709">
        <v>708</v>
      </c>
      <c r="B709" s="626">
        <v>0</v>
      </c>
      <c r="C709" s="626">
        <v>1000000</v>
      </c>
      <c r="D709" s="626">
        <v>0</v>
      </c>
    </row>
    <row r="710" spans="1:4" x14ac:dyDescent="0.2">
      <c r="A710">
        <v>709</v>
      </c>
      <c r="B710" s="626">
        <v>0</v>
      </c>
      <c r="C710" s="626">
        <v>1000000</v>
      </c>
      <c r="D710" s="626">
        <v>0</v>
      </c>
    </row>
    <row r="711" spans="1:4" x14ac:dyDescent="0.2">
      <c r="A711">
        <v>710</v>
      </c>
      <c r="B711" s="626">
        <v>0</v>
      </c>
      <c r="C711" s="626">
        <v>1000000</v>
      </c>
      <c r="D711" s="626">
        <v>0</v>
      </c>
    </row>
    <row r="712" spans="1:4" x14ac:dyDescent="0.2">
      <c r="A712">
        <v>711</v>
      </c>
      <c r="B712" s="626">
        <v>0</v>
      </c>
      <c r="C712" s="626">
        <v>1000000</v>
      </c>
      <c r="D712" s="626">
        <v>0</v>
      </c>
    </row>
    <row r="713" spans="1:4" x14ac:dyDescent="0.2">
      <c r="A713">
        <v>712</v>
      </c>
      <c r="B713" s="626">
        <v>0</v>
      </c>
      <c r="C713" s="626">
        <v>1000000</v>
      </c>
      <c r="D713" s="626">
        <v>0</v>
      </c>
    </row>
    <row r="714" spans="1:4" x14ac:dyDescent="0.2">
      <c r="A714">
        <v>713</v>
      </c>
      <c r="B714" s="626">
        <v>0</v>
      </c>
      <c r="C714" s="626">
        <v>1000000</v>
      </c>
      <c r="D714" s="626">
        <v>0</v>
      </c>
    </row>
    <row r="715" spans="1:4" x14ac:dyDescent="0.2">
      <c r="A715">
        <v>714</v>
      </c>
      <c r="B715" s="626">
        <v>0</v>
      </c>
      <c r="C715" s="626">
        <v>1000000</v>
      </c>
      <c r="D715" s="626">
        <v>0</v>
      </c>
    </row>
    <row r="716" spans="1:4" x14ac:dyDescent="0.2">
      <c r="A716">
        <v>715</v>
      </c>
      <c r="B716" s="626">
        <v>0</v>
      </c>
      <c r="C716" s="626">
        <v>1000000</v>
      </c>
      <c r="D716" s="626">
        <v>0</v>
      </c>
    </row>
    <row r="717" spans="1:4" x14ac:dyDescent="0.2">
      <c r="A717">
        <v>716</v>
      </c>
      <c r="B717" s="626">
        <v>0</v>
      </c>
      <c r="C717" s="626">
        <v>1000000</v>
      </c>
      <c r="D717" s="626">
        <v>0</v>
      </c>
    </row>
    <row r="718" spans="1:4" x14ac:dyDescent="0.2">
      <c r="A718">
        <v>717</v>
      </c>
      <c r="B718" s="626">
        <v>0</v>
      </c>
      <c r="C718" s="626">
        <v>1000000</v>
      </c>
      <c r="D718" s="626">
        <v>0</v>
      </c>
    </row>
    <row r="719" spans="1:4" x14ac:dyDescent="0.2">
      <c r="A719">
        <v>718</v>
      </c>
      <c r="B719" s="626">
        <v>0</v>
      </c>
      <c r="C719" s="626">
        <v>1000000</v>
      </c>
      <c r="D719" s="626">
        <v>0</v>
      </c>
    </row>
    <row r="720" spans="1:4" x14ac:dyDescent="0.2">
      <c r="A720">
        <v>719</v>
      </c>
      <c r="B720" s="626">
        <v>0</v>
      </c>
      <c r="C720" s="626">
        <v>1000000</v>
      </c>
      <c r="D720" s="626">
        <v>0</v>
      </c>
    </row>
    <row r="721" spans="1:4" x14ac:dyDescent="0.2">
      <c r="A721">
        <v>720</v>
      </c>
      <c r="B721" s="626">
        <v>0</v>
      </c>
      <c r="C721" s="626">
        <v>1000000</v>
      </c>
      <c r="D721" s="626">
        <v>0</v>
      </c>
    </row>
    <row r="722" spans="1:4" x14ac:dyDescent="0.2">
      <c r="A722">
        <v>721</v>
      </c>
      <c r="B722" s="626">
        <v>0</v>
      </c>
      <c r="C722" s="626">
        <v>1000000</v>
      </c>
      <c r="D722" s="626">
        <v>0</v>
      </c>
    </row>
    <row r="723" spans="1:4" x14ac:dyDescent="0.2">
      <c r="A723">
        <v>722</v>
      </c>
      <c r="B723" s="626">
        <v>0</v>
      </c>
      <c r="C723" s="626">
        <v>1000000</v>
      </c>
      <c r="D723" s="626">
        <v>0</v>
      </c>
    </row>
    <row r="724" spans="1:4" x14ac:dyDescent="0.2">
      <c r="A724">
        <v>723</v>
      </c>
      <c r="B724" s="626">
        <v>0</v>
      </c>
      <c r="C724" s="626">
        <v>1000000</v>
      </c>
      <c r="D724" s="626">
        <v>0</v>
      </c>
    </row>
    <row r="725" spans="1:4" x14ac:dyDescent="0.2">
      <c r="A725">
        <v>724</v>
      </c>
      <c r="B725" s="626">
        <v>0</v>
      </c>
      <c r="C725" s="626">
        <v>1000000</v>
      </c>
      <c r="D725" s="626">
        <v>0</v>
      </c>
    </row>
    <row r="726" spans="1:4" x14ac:dyDescent="0.2">
      <c r="A726">
        <v>725</v>
      </c>
      <c r="B726" s="626">
        <v>0</v>
      </c>
      <c r="C726" s="626">
        <v>1000000</v>
      </c>
      <c r="D726" s="626">
        <v>0</v>
      </c>
    </row>
    <row r="727" spans="1:4" x14ac:dyDescent="0.2">
      <c r="A727">
        <v>726</v>
      </c>
      <c r="B727" s="626">
        <v>0</v>
      </c>
      <c r="C727" s="626">
        <v>1000000</v>
      </c>
      <c r="D727" s="626">
        <v>0</v>
      </c>
    </row>
    <row r="728" spans="1:4" x14ac:dyDescent="0.2">
      <c r="A728">
        <v>727</v>
      </c>
      <c r="B728" s="626">
        <v>0</v>
      </c>
      <c r="C728" s="626">
        <v>1000000</v>
      </c>
      <c r="D728" s="626">
        <v>0</v>
      </c>
    </row>
    <row r="729" spans="1:4" x14ac:dyDescent="0.2">
      <c r="A729">
        <v>728</v>
      </c>
      <c r="B729" s="626">
        <v>0</v>
      </c>
      <c r="C729" s="626">
        <v>1000000</v>
      </c>
      <c r="D729" s="626">
        <v>0</v>
      </c>
    </row>
    <row r="730" spans="1:4" x14ac:dyDescent="0.2">
      <c r="A730">
        <v>729</v>
      </c>
      <c r="B730" s="626">
        <v>0</v>
      </c>
      <c r="C730" s="626">
        <v>1000000</v>
      </c>
      <c r="D730" s="626">
        <v>0</v>
      </c>
    </row>
    <row r="731" spans="1:4" x14ac:dyDescent="0.2">
      <c r="A731">
        <v>730</v>
      </c>
      <c r="B731" s="626">
        <v>0</v>
      </c>
      <c r="C731" s="626">
        <v>1000000</v>
      </c>
      <c r="D731" s="626">
        <v>0</v>
      </c>
    </row>
    <row r="732" spans="1:4" x14ac:dyDescent="0.2">
      <c r="A732">
        <v>731</v>
      </c>
      <c r="B732" s="626">
        <v>0</v>
      </c>
      <c r="C732" s="626">
        <v>1000000</v>
      </c>
      <c r="D732" s="626">
        <v>0</v>
      </c>
    </row>
    <row r="733" spans="1:4" x14ac:dyDescent="0.2">
      <c r="A733">
        <v>732</v>
      </c>
      <c r="B733" s="626">
        <v>0</v>
      </c>
      <c r="C733" s="626">
        <v>1000000</v>
      </c>
      <c r="D733" s="626">
        <v>0</v>
      </c>
    </row>
    <row r="734" spans="1:4" x14ac:dyDescent="0.2">
      <c r="A734">
        <v>733</v>
      </c>
      <c r="B734" s="626">
        <v>0</v>
      </c>
      <c r="C734" s="626">
        <v>1000000</v>
      </c>
      <c r="D734" s="626">
        <v>0</v>
      </c>
    </row>
    <row r="735" spans="1:4" x14ac:dyDescent="0.2">
      <c r="A735">
        <v>734</v>
      </c>
      <c r="B735" s="626">
        <v>0</v>
      </c>
      <c r="C735" s="626">
        <v>1000000</v>
      </c>
      <c r="D735" s="626">
        <v>0</v>
      </c>
    </row>
    <row r="736" spans="1:4" x14ac:dyDescent="0.2">
      <c r="A736">
        <v>735</v>
      </c>
      <c r="B736" s="626">
        <v>0</v>
      </c>
      <c r="C736" s="626">
        <v>1000000</v>
      </c>
      <c r="D736" s="626">
        <v>0</v>
      </c>
    </row>
    <row r="737" spans="1:4" x14ac:dyDescent="0.2">
      <c r="A737">
        <v>736</v>
      </c>
      <c r="B737" s="626">
        <v>0</v>
      </c>
      <c r="C737" s="626">
        <v>1000000</v>
      </c>
      <c r="D737" s="626">
        <v>0</v>
      </c>
    </row>
    <row r="738" spans="1:4" x14ac:dyDescent="0.2">
      <c r="A738">
        <v>737</v>
      </c>
      <c r="B738" s="626">
        <v>0</v>
      </c>
      <c r="C738" s="626">
        <v>1000000</v>
      </c>
      <c r="D738" s="626">
        <v>0</v>
      </c>
    </row>
    <row r="739" spans="1:4" x14ac:dyDescent="0.2">
      <c r="A739">
        <v>738</v>
      </c>
      <c r="B739" s="626">
        <v>0</v>
      </c>
      <c r="C739" s="626">
        <v>1000000</v>
      </c>
      <c r="D739" s="626">
        <v>0</v>
      </c>
    </row>
    <row r="740" spans="1:4" x14ac:dyDescent="0.2">
      <c r="A740">
        <v>739</v>
      </c>
      <c r="B740" s="626">
        <v>0</v>
      </c>
      <c r="C740" s="626">
        <v>1000000</v>
      </c>
      <c r="D740" s="626">
        <v>0</v>
      </c>
    </row>
    <row r="741" spans="1:4" x14ac:dyDescent="0.2">
      <c r="A741">
        <v>740</v>
      </c>
      <c r="B741" s="626">
        <v>0</v>
      </c>
      <c r="C741" s="626">
        <v>1000000</v>
      </c>
      <c r="D741" s="626">
        <v>0</v>
      </c>
    </row>
    <row r="742" spans="1:4" x14ac:dyDescent="0.2">
      <c r="A742">
        <v>741</v>
      </c>
      <c r="B742" s="626">
        <v>0</v>
      </c>
      <c r="C742" s="626">
        <v>1000000</v>
      </c>
      <c r="D742" s="626">
        <v>0</v>
      </c>
    </row>
    <row r="743" spans="1:4" x14ac:dyDescent="0.2">
      <c r="A743">
        <v>742</v>
      </c>
      <c r="B743" s="626">
        <v>0</v>
      </c>
      <c r="C743" s="626">
        <v>1000000</v>
      </c>
      <c r="D743" s="626">
        <v>0</v>
      </c>
    </row>
    <row r="744" spans="1:4" x14ac:dyDescent="0.2">
      <c r="A744">
        <v>743</v>
      </c>
      <c r="B744" s="626">
        <v>0</v>
      </c>
      <c r="C744" s="626">
        <v>1000000</v>
      </c>
      <c r="D744" s="626">
        <v>0</v>
      </c>
    </row>
    <row r="745" spans="1:4" x14ac:dyDescent="0.2">
      <c r="A745">
        <v>744</v>
      </c>
      <c r="B745" s="626">
        <v>0</v>
      </c>
      <c r="C745" s="626">
        <v>1000000</v>
      </c>
      <c r="D745" s="626">
        <v>0</v>
      </c>
    </row>
    <row r="746" spans="1:4" x14ac:dyDescent="0.2">
      <c r="A746">
        <v>745</v>
      </c>
      <c r="B746" s="626">
        <v>0</v>
      </c>
      <c r="C746" s="626">
        <v>1000000</v>
      </c>
      <c r="D746" s="626">
        <v>0</v>
      </c>
    </row>
    <row r="747" spans="1:4" x14ac:dyDescent="0.2">
      <c r="A747">
        <v>746</v>
      </c>
      <c r="B747" s="626">
        <v>0</v>
      </c>
      <c r="C747" s="626">
        <v>1000000</v>
      </c>
      <c r="D747" s="626">
        <v>0</v>
      </c>
    </row>
    <row r="748" spans="1:4" x14ac:dyDescent="0.2">
      <c r="A748">
        <v>747</v>
      </c>
      <c r="B748" s="626">
        <v>0</v>
      </c>
      <c r="C748" s="626">
        <v>1000000</v>
      </c>
      <c r="D748" s="626">
        <v>0</v>
      </c>
    </row>
    <row r="749" spans="1:4" x14ac:dyDescent="0.2">
      <c r="A749">
        <v>748</v>
      </c>
      <c r="B749" s="626">
        <v>0</v>
      </c>
      <c r="C749" s="626">
        <v>1000000</v>
      </c>
      <c r="D749" s="626">
        <v>0</v>
      </c>
    </row>
    <row r="750" spans="1:4" x14ac:dyDescent="0.2">
      <c r="A750">
        <v>749</v>
      </c>
      <c r="B750" s="626">
        <v>0</v>
      </c>
      <c r="C750" s="626">
        <v>1000000</v>
      </c>
      <c r="D750" s="626">
        <v>0</v>
      </c>
    </row>
    <row r="751" spans="1:4" x14ac:dyDescent="0.2">
      <c r="A751">
        <v>750</v>
      </c>
      <c r="B751" s="626">
        <v>0</v>
      </c>
      <c r="C751" s="626">
        <v>1000000</v>
      </c>
      <c r="D751" s="626">
        <v>0</v>
      </c>
    </row>
    <row r="752" spans="1:4" x14ac:dyDescent="0.2">
      <c r="A752">
        <v>751</v>
      </c>
      <c r="B752" s="626">
        <v>0</v>
      </c>
      <c r="C752" s="626">
        <v>1000000</v>
      </c>
      <c r="D752" s="626">
        <v>0</v>
      </c>
    </row>
    <row r="753" spans="1:4" x14ac:dyDescent="0.2">
      <c r="A753">
        <v>752</v>
      </c>
      <c r="B753" s="626">
        <v>0</v>
      </c>
      <c r="C753" s="626">
        <v>1000000</v>
      </c>
      <c r="D753" s="626">
        <v>0</v>
      </c>
    </row>
    <row r="754" spans="1:4" x14ac:dyDescent="0.2">
      <c r="A754">
        <v>753</v>
      </c>
      <c r="B754" s="626">
        <v>0</v>
      </c>
      <c r="C754" s="626">
        <v>1000000</v>
      </c>
      <c r="D754" s="626">
        <v>0</v>
      </c>
    </row>
    <row r="755" spans="1:4" x14ac:dyDescent="0.2">
      <c r="A755">
        <v>754</v>
      </c>
      <c r="B755" s="626">
        <v>0</v>
      </c>
      <c r="C755" s="626">
        <v>1000000</v>
      </c>
      <c r="D755" s="626">
        <v>0</v>
      </c>
    </row>
    <row r="756" spans="1:4" x14ac:dyDescent="0.2">
      <c r="A756">
        <v>755</v>
      </c>
      <c r="B756" s="626">
        <v>0</v>
      </c>
      <c r="C756" s="626">
        <v>1000000</v>
      </c>
      <c r="D756" s="626">
        <v>0</v>
      </c>
    </row>
    <row r="757" spans="1:4" x14ac:dyDescent="0.2">
      <c r="A757">
        <v>756</v>
      </c>
      <c r="B757" s="626">
        <v>0</v>
      </c>
      <c r="C757" s="626">
        <v>1000000</v>
      </c>
      <c r="D757" s="626">
        <v>0</v>
      </c>
    </row>
    <row r="758" spans="1:4" x14ac:dyDescent="0.2">
      <c r="A758">
        <v>757</v>
      </c>
      <c r="B758" s="626">
        <v>0</v>
      </c>
      <c r="C758" s="626">
        <v>1000000</v>
      </c>
      <c r="D758" s="626">
        <v>0</v>
      </c>
    </row>
    <row r="759" spans="1:4" x14ac:dyDescent="0.2">
      <c r="A759">
        <v>758</v>
      </c>
      <c r="B759" s="626">
        <v>0</v>
      </c>
      <c r="C759" s="626">
        <v>1000000</v>
      </c>
      <c r="D759" s="626">
        <v>0</v>
      </c>
    </row>
    <row r="760" spans="1:4" x14ac:dyDescent="0.2">
      <c r="A760">
        <v>759</v>
      </c>
      <c r="B760" s="626">
        <v>0</v>
      </c>
      <c r="C760" s="626">
        <v>1000000</v>
      </c>
      <c r="D760" s="626">
        <v>0</v>
      </c>
    </row>
    <row r="761" spans="1:4" x14ac:dyDescent="0.2">
      <c r="A761">
        <v>760</v>
      </c>
      <c r="B761" s="626">
        <v>0</v>
      </c>
      <c r="C761" s="626">
        <v>1000000</v>
      </c>
      <c r="D761" s="626">
        <v>0</v>
      </c>
    </row>
    <row r="762" spans="1:4" x14ac:dyDescent="0.2">
      <c r="A762">
        <v>761</v>
      </c>
      <c r="B762" s="626">
        <v>0</v>
      </c>
      <c r="C762" s="626">
        <v>1000000</v>
      </c>
      <c r="D762" s="626">
        <v>0</v>
      </c>
    </row>
    <row r="763" spans="1:4" x14ac:dyDescent="0.2">
      <c r="A763">
        <v>762</v>
      </c>
      <c r="B763" s="626">
        <v>0</v>
      </c>
      <c r="C763" s="626">
        <v>1000000</v>
      </c>
      <c r="D763" s="626">
        <v>0</v>
      </c>
    </row>
    <row r="764" spans="1:4" x14ac:dyDescent="0.2">
      <c r="A764">
        <v>763</v>
      </c>
      <c r="B764" s="626">
        <v>0</v>
      </c>
      <c r="C764" s="626">
        <v>1000000</v>
      </c>
      <c r="D764" s="626">
        <v>0</v>
      </c>
    </row>
    <row r="765" spans="1:4" x14ac:dyDescent="0.2">
      <c r="A765">
        <v>764</v>
      </c>
      <c r="B765" s="626">
        <v>0</v>
      </c>
      <c r="C765" s="626">
        <v>1000000</v>
      </c>
      <c r="D765" s="626">
        <v>0</v>
      </c>
    </row>
    <row r="766" spans="1:4" x14ac:dyDescent="0.2">
      <c r="A766">
        <v>765</v>
      </c>
      <c r="B766" s="626">
        <v>0</v>
      </c>
      <c r="C766" s="626">
        <v>1000000</v>
      </c>
      <c r="D766" s="626">
        <v>0</v>
      </c>
    </row>
    <row r="767" spans="1:4" x14ac:dyDescent="0.2">
      <c r="A767">
        <v>766</v>
      </c>
      <c r="B767" s="626">
        <v>0</v>
      </c>
      <c r="C767" s="626">
        <v>1000000</v>
      </c>
      <c r="D767" s="626">
        <v>0</v>
      </c>
    </row>
    <row r="768" spans="1:4" x14ac:dyDescent="0.2">
      <c r="A768">
        <v>767</v>
      </c>
      <c r="B768" s="626">
        <v>0</v>
      </c>
      <c r="C768" s="626">
        <v>1000000</v>
      </c>
      <c r="D768" s="626">
        <v>0</v>
      </c>
    </row>
    <row r="769" spans="1:4" x14ac:dyDescent="0.2">
      <c r="A769">
        <v>768</v>
      </c>
      <c r="B769" s="626">
        <v>0</v>
      </c>
      <c r="C769" s="626">
        <v>1000000</v>
      </c>
      <c r="D769" s="626">
        <v>0</v>
      </c>
    </row>
    <row r="770" spans="1:4" x14ac:dyDescent="0.2">
      <c r="A770">
        <v>769</v>
      </c>
      <c r="B770" s="626">
        <v>0</v>
      </c>
      <c r="C770" s="626">
        <v>1000000</v>
      </c>
      <c r="D770" s="626">
        <v>0</v>
      </c>
    </row>
    <row r="771" spans="1:4" x14ac:dyDescent="0.2">
      <c r="A771">
        <v>770</v>
      </c>
      <c r="B771" s="626">
        <v>0</v>
      </c>
      <c r="C771" s="626">
        <v>1000000</v>
      </c>
      <c r="D771" s="626">
        <v>0</v>
      </c>
    </row>
    <row r="772" spans="1:4" x14ac:dyDescent="0.2">
      <c r="A772">
        <v>771</v>
      </c>
      <c r="B772" s="626">
        <v>0</v>
      </c>
      <c r="C772" s="626">
        <v>1000000</v>
      </c>
      <c r="D772" s="626">
        <v>0</v>
      </c>
    </row>
    <row r="773" spans="1:4" x14ac:dyDescent="0.2">
      <c r="A773">
        <v>772</v>
      </c>
      <c r="B773" s="626">
        <v>0</v>
      </c>
      <c r="C773" s="626">
        <v>1000000</v>
      </c>
      <c r="D773" s="626">
        <v>0</v>
      </c>
    </row>
    <row r="774" spans="1:4" x14ac:dyDescent="0.2">
      <c r="A774">
        <v>773</v>
      </c>
      <c r="B774" s="626">
        <v>0</v>
      </c>
      <c r="C774" s="626">
        <v>1000000</v>
      </c>
      <c r="D774" s="626">
        <v>0</v>
      </c>
    </row>
    <row r="775" spans="1:4" x14ac:dyDescent="0.2">
      <c r="A775">
        <v>774</v>
      </c>
      <c r="B775" s="626">
        <v>0</v>
      </c>
      <c r="C775" s="626">
        <v>1000000</v>
      </c>
      <c r="D775" s="626">
        <v>0</v>
      </c>
    </row>
    <row r="776" spans="1:4" x14ac:dyDescent="0.2">
      <c r="A776">
        <v>775</v>
      </c>
      <c r="B776" s="626">
        <v>0</v>
      </c>
      <c r="C776" s="626">
        <v>1000000</v>
      </c>
      <c r="D776" s="626">
        <v>0</v>
      </c>
    </row>
    <row r="777" spans="1:4" x14ac:dyDescent="0.2">
      <c r="A777">
        <v>776</v>
      </c>
      <c r="B777" s="626">
        <v>0</v>
      </c>
      <c r="C777" s="626">
        <v>1000000</v>
      </c>
      <c r="D777" s="626">
        <v>0</v>
      </c>
    </row>
    <row r="778" spans="1:4" x14ac:dyDescent="0.2">
      <c r="A778">
        <v>777</v>
      </c>
      <c r="B778" s="626">
        <v>0</v>
      </c>
      <c r="C778" s="626">
        <v>1000000</v>
      </c>
      <c r="D778" s="626">
        <v>0</v>
      </c>
    </row>
    <row r="779" spans="1:4" x14ac:dyDescent="0.2">
      <c r="A779">
        <v>778</v>
      </c>
      <c r="B779" s="626">
        <v>0</v>
      </c>
      <c r="C779" s="626">
        <v>1000000</v>
      </c>
      <c r="D779" s="626">
        <v>0</v>
      </c>
    </row>
    <row r="780" spans="1:4" x14ac:dyDescent="0.2">
      <c r="A780">
        <v>779</v>
      </c>
      <c r="B780" s="626">
        <v>0</v>
      </c>
      <c r="C780" s="626">
        <v>1000000</v>
      </c>
      <c r="D780" s="626">
        <v>0</v>
      </c>
    </row>
    <row r="781" spans="1:4" x14ac:dyDescent="0.2">
      <c r="A781">
        <v>780</v>
      </c>
      <c r="B781" s="626">
        <v>0</v>
      </c>
      <c r="C781" s="626">
        <v>1000000</v>
      </c>
      <c r="D781" s="626">
        <v>0</v>
      </c>
    </row>
    <row r="782" spans="1:4" x14ac:dyDescent="0.2">
      <c r="A782">
        <v>781</v>
      </c>
      <c r="B782" s="626">
        <v>0</v>
      </c>
      <c r="C782" s="626">
        <v>1000000</v>
      </c>
      <c r="D782" s="626">
        <v>0</v>
      </c>
    </row>
    <row r="783" spans="1:4" x14ac:dyDescent="0.2">
      <c r="A783">
        <v>782</v>
      </c>
      <c r="B783" s="626">
        <v>0</v>
      </c>
      <c r="C783" s="626">
        <v>1000000</v>
      </c>
      <c r="D783" s="626">
        <v>0</v>
      </c>
    </row>
    <row r="784" spans="1:4" x14ac:dyDescent="0.2">
      <c r="A784">
        <v>783</v>
      </c>
      <c r="B784" s="626">
        <v>0</v>
      </c>
      <c r="C784" s="626">
        <v>1000000</v>
      </c>
      <c r="D784" s="626">
        <v>0</v>
      </c>
    </row>
    <row r="785" spans="1:4" x14ac:dyDescent="0.2">
      <c r="A785">
        <v>784</v>
      </c>
      <c r="B785" s="626">
        <v>0</v>
      </c>
      <c r="C785" s="626">
        <v>1000000</v>
      </c>
      <c r="D785" s="626">
        <v>0</v>
      </c>
    </row>
    <row r="786" spans="1:4" x14ac:dyDescent="0.2">
      <c r="A786">
        <v>785</v>
      </c>
      <c r="B786" s="626">
        <v>0</v>
      </c>
      <c r="C786" s="626">
        <v>1000000</v>
      </c>
      <c r="D786" s="626">
        <v>0</v>
      </c>
    </row>
    <row r="787" spans="1:4" x14ac:dyDescent="0.2">
      <c r="A787">
        <v>786</v>
      </c>
      <c r="B787" s="626">
        <v>0</v>
      </c>
      <c r="C787" s="626">
        <v>1000000</v>
      </c>
      <c r="D787" s="626">
        <v>0</v>
      </c>
    </row>
    <row r="788" spans="1:4" x14ac:dyDescent="0.2">
      <c r="A788">
        <v>787</v>
      </c>
      <c r="B788" s="626">
        <v>0</v>
      </c>
      <c r="C788" s="626">
        <v>1000000</v>
      </c>
      <c r="D788" s="626">
        <v>0</v>
      </c>
    </row>
    <row r="789" spans="1:4" x14ac:dyDescent="0.2">
      <c r="A789">
        <v>788</v>
      </c>
      <c r="B789" s="626">
        <v>0</v>
      </c>
      <c r="C789" s="626">
        <v>1000000</v>
      </c>
      <c r="D789" s="626">
        <v>0</v>
      </c>
    </row>
    <row r="790" spans="1:4" x14ac:dyDescent="0.2">
      <c r="A790">
        <v>789</v>
      </c>
      <c r="B790" s="626">
        <v>0</v>
      </c>
      <c r="C790" s="626">
        <v>1000000</v>
      </c>
      <c r="D790" s="626">
        <v>0</v>
      </c>
    </row>
    <row r="791" spans="1:4" x14ac:dyDescent="0.2">
      <c r="A791">
        <v>790</v>
      </c>
      <c r="B791" s="626">
        <v>0</v>
      </c>
      <c r="C791" s="626">
        <v>1000000</v>
      </c>
      <c r="D791" s="626">
        <v>0</v>
      </c>
    </row>
    <row r="792" spans="1:4" x14ac:dyDescent="0.2">
      <c r="A792">
        <v>791</v>
      </c>
      <c r="B792" s="626">
        <v>0</v>
      </c>
      <c r="C792" s="626">
        <v>1000000</v>
      </c>
      <c r="D792" s="626">
        <v>0</v>
      </c>
    </row>
    <row r="793" spans="1:4" x14ac:dyDescent="0.2">
      <c r="A793">
        <v>792</v>
      </c>
      <c r="B793" s="626">
        <v>0</v>
      </c>
      <c r="C793" s="626">
        <v>1000000</v>
      </c>
      <c r="D793" s="626">
        <v>0</v>
      </c>
    </row>
    <row r="794" spans="1:4" x14ac:dyDescent="0.2">
      <c r="A794">
        <v>793</v>
      </c>
      <c r="B794" s="626">
        <v>0</v>
      </c>
      <c r="C794" s="626">
        <v>1000000</v>
      </c>
      <c r="D794" s="626">
        <v>0</v>
      </c>
    </row>
    <row r="795" spans="1:4" x14ac:dyDescent="0.2">
      <c r="A795">
        <v>794</v>
      </c>
      <c r="B795" s="626">
        <v>0</v>
      </c>
      <c r="C795" s="626">
        <v>1000000</v>
      </c>
      <c r="D795" s="626">
        <v>0</v>
      </c>
    </row>
    <row r="796" spans="1:4" x14ac:dyDescent="0.2">
      <c r="A796">
        <v>795</v>
      </c>
      <c r="B796" s="626">
        <v>0</v>
      </c>
      <c r="C796" s="626">
        <v>1000000</v>
      </c>
      <c r="D796" s="626">
        <v>0</v>
      </c>
    </row>
    <row r="797" spans="1:4" x14ac:dyDescent="0.2">
      <c r="A797">
        <v>796</v>
      </c>
      <c r="B797" s="626">
        <v>0</v>
      </c>
      <c r="C797" s="626">
        <v>1000000</v>
      </c>
      <c r="D797" s="626">
        <v>0</v>
      </c>
    </row>
    <row r="798" spans="1:4" x14ac:dyDescent="0.2">
      <c r="A798">
        <v>797</v>
      </c>
      <c r="B798" s="626">
        <v>0</v>
      </c>
      <c r="C798" s="626">
        <v>1000000</v>
      </c>
      <c r="D798" s="626">
        <v>0</v>
      </c>
    </row>
    <row r="799" spans="1:4" x14ac:dyDescent="0.2">
      <c r="A799">
        <v>798</v>
      </c>
      <c r="B799" s="626">
        <v>0</v>
      </c>
      <c r="C799" s="626">
        <v>1000000</v>
      </c>
      <c r="D799" s="626">
        <v>0</v>
      </c>
    </row>
    <row r="800" spans="1:4" x14ac:dyDescent="0.2">
      <c r="A800">
        <v>799</v>
      </c>
      <c r="B800" s="626">
        <v>0</v>
      </c>
      <c r="C800" s="626">
        <v>1000000</v>
      </c>
      <c r="D800" s="626">
        <v>0</v>
      </c>
    </row>
    <row r="801" spans="1:4" x14ac:dyDescent="0.2">
      <c r="A801">
        <v>800</v>
      </c>
      <c r="B801" s="626">
        <v>0</v>
      </c>
      <c r="C801" s="626">
        <v>1000000</v>
      </c>
      <c r="D801" s="626">
        <v>0</v>
      </c>
    </row>
    <row r="802" spans="1:4" x14ac:dyDescent="0.2">
      <c r="A802">
        <v>801</v>
      </c>
      <c r="B802" s="626">
        <v>0</v>
      </c>
      <c r="C802" s="626">
        <v>1000000</v>
      </c>
      <c r="D802" s="626">
        <v>0</v>
      </c>
    </row>
    <row r="803" spans="1:4" x14ac:dyDescent="0.2">
      <c r="A803">
        <v>802</v>
      </c>
      <c r="B803" s="626">
        <v>0</v>
      </c>
      <c r="C803" s="626">
        <v>1000000</v>
      </c>
      <c r="D803" s="626">
        <v>0</v>
      </c>
    </row>
    <row r="804" spans="1:4" x14ac:dyDescent="0.2">
      <c r="A804">
        <v>803</v>
      </c>
      <c r="B804" s="626">
        <v>0</v>
      </c>
      <c r="C804" s="626">
        <v>1000000</v>
      </c>
      <c r="D804" s="626">
        <v>0</v>
      </c>
    </row>
    <row r="805" spans="1:4" x14ac:dyDescent="0.2">
      <c r="A805">
        <v>804</v>
      </c>
      <c r="B805" s="626">
        <v>0</v>
      </c>
      <c r="C805" s="626">
        <v>1000000</v>
      </c>
      <c r="D805" s="626">
        <v>0</v>
      </c>
    </row>
    <row r="806" spans="1:4" x14ac:dyDescent="0.2">
      <c r="A806">
        <v>805</v>
      </c>
      <c r="B806" s="626">
        <v>0</v>
      </c>
      <c r="C806" s="626">
        <v>1000000</v>
      </c>
      <c r="D806" s="626">
        <v>0</v>
      </c>
    </row>
    <row r="807" spans="1:4" x14ac:dyDescent="0.2">
      <c r="A807">
        <v>806</v>
      </c>
      <c r="B807" s="626">
        <v>0</v>
      </c>
      <c r="C807" s="626">
        <v>1000000</v>
      </c>
      <c r="D807" s="626">
        <v>0</v>
      </c>
    </row>
    <row r="808" spans="1:4" x14ac:dyDescent="0.2">
      <c r="A808">
        <v>807</v>
      </c>
      <c r="B808" s="626">
        <v>0</v>
      </c>
      <c r="C808" s="626">
        <v>1000000</v>
      </c>
      <c r="D808" s="626">
        <v>0</v>
      </c>
    </row>
    <row r="809" spans="1:4" x14ac:dyDescent="0.2">
      <c r="A809">
        <v>808</v>
      </c>
      <c r="B809" s="626">
        <v>0</v>
      </c>
      <c r="C809" s="626">
        <v>1000000</v>
      </c>
      <c r="D809" s="626">
        <v>0</v>
      </c>
    </row>
    <row r="810" spans="1:4" x14ac:dyDescent="0.2">
      <c r="A810">
        <v>809</v>
      </c>
      <c r="B810" s="626">
        <v>0</v>
      </c>
      <c r="C810" s="626">
        <v>1000000</v>
      </c>
      <c r="D810" s="626">
        <v>0</v>
      </c>
    </row>
    <row r="811" spans="1:4" x14ac:dyDescent="0.2">
      <c r="A811">
        <v>810</v>
      </c>
      <c r="B811" s="626">
        <v>0</v>
      </c>
      <c r="C811" s="626">
        <v>1000000</v>
      </c>
      <c r="D811" s="626">
        <v>0</v>
      </c>
    </row>
    <row r="812" spans="1:4" x14ac:dyDescent="0.2">
      <c r="A812">
        <v>811</v>
      </c>
      <c r="B812" s="626">
        <v>0</v>
      </c>
      <c r="C812" s="626">
        <v>1000000</v>
      </c>
      <c r="D812" s="626">
        <v>0</v>
      </c>
    </row>
    <row r="813" spans="1:4" x14ac:dyDescent="0.2">
      <c r="A813">
        <v>812</v>
      </c>
      <c r="B813" s="626">
        <v>0</v>
      </c>
      <c r="C813" s="626">
        <v>1000000</v>
      </c>
      <c r="D813" s="626">
        <v>0</v>
      </c>
    </row>
    <row r="814" spans="1:4" x14ac:dyDescent="0.2">
      <c r="A814">
        <v>813</v>
      </c>
      <c r="B814" s="626">
        <v>0</v>
      </c>
      <c r="C814" s="626">
        <v>1000000</v>
      </c>
      <c r="D814" s="626">
        <v>0</v>
      </c>
    </row>
    <row r="815" spans="1:4" x14ac:dyDescent="0.2">
      <c r="A815">
        <v>814</v>
      </c>
      <c r="B815" s="626">
        <v>0</v>
      </c>
      <c r="C815" s="626">
        <v>1000000</v>
      </c>
      <c r="D815" s="626">
        <v>0</v>
      </c>
    </row>
    <row r="816" spans="1:4" x14ac:dyDescent="0.2">
      <c r="A816">
        <v>815</v>
      </c>
      <c r="B816" s="626">
        <v>0</v>
      </c>
      <c r="C816" s="626">
        <v>1000000</v>
      </c>
      <c r="D816" s="626">
        <v>0</v>
      </c>
    </row>
    <row r="817" spans="1:4" x14ac:dyDescent="0.2">
      <c r="A817">
        <v>816</v>
      </c>
      <c r="B817" s="626">
        <v>0</v>
      </c>
      <c r="C817" s="626">
        <v>1000000</v>
      </c>
      <c r="D817" s="626">
        <v>0</v>
      </c>
    </row>
    <row r="818" spans="1:4" x14ac:dyDescent="0.2">
      <c r="A818">
        <v>817</v>
      </c>
      <c r="B818" s="626">
        <v>0</v>
      </c>
      <c r="C818" s="626">
        <v>1000000</v>
      </c>
      <c r="D818" s="626">
        <v>0</v>
      </c>
    </row>
    <row r="819" spans="1:4" x14ac:dyDescent="0.2">
      <c r="A819">
        <v>818</v>
      </c>
      <c r="B819" s="626">
        <v>0</v>
      </c>
      <c r="C819" s="626">
        <v>1000000</v>
      </c>
      <c r="D819" s="626">
        <v>0</v>
      </c>
    </row>
    <row r="820" spans="1:4" x14ac:dyDescent="0.2">
      <c r="A820">
        <v>819</v>
      </c>
      <c r="B820" s="626">
        <v>0</v>
      </c>
      <c r="C820" s="626">
        <v>1000000</v>
      </c>
      <c r="D820" s="626">
        <v>0</v>
      </c>
    </row>
    <row r="821" spans="1:4" x14ac:dyDescent="0.2">
      <c r="A821">
        <v>820</v>
      </c>
      <c r="B821" s="626">
        <v>0</v>
      </c>
      <c r="C821" s="626">
        <v>1000000</v>
      </c>
      <c r="D821" s="626">
        <v>0</v>
      </c>
    </row>
    <row r="822" spans="1:4" x14ac:dyDescent="0.2">
      <c r="A822">
        <v>821</v>
      </c>
      <c r="B822" s="626">
        <v>0</v>
      </c>
      <c r="C822" s="626">
        <v>1000000</v>
      </c>
      <c r="D822" s="626">
        <v>0</v>
      </c>
    </row>
    <row r="823" spans="1:4" x14ac:dyDescent="0.2">
      <c r="A823">
        <v>822</v>
      </c>
      <c r="B823" s="626">
        <v>0</v>
      </c>
      <c r="C823" s="626">
        <v>1000000</v>
      </c>
      <c r="D823" s="626">
        <v>0</v>
      </c>
    </row>
    <row r="824" spans="1:4" x14ac:dyDescent="0.2">
      <c r="A824">
        <v>823</v>
      </c>
      <c r="B824" s="626">
        <v>0</v>
      </c>
      <c r="C824" s="626">
        <v>1000000</v>
      </c>
      <c r="D824" s="626">
        <v>0</v>
      </c>
    </row>
    <row r="825" spans="1:4" x14ac:dyDescent="0.2">
      <c r="A825">
        <v>824</v>
      </c>
      <c r="B825" s="626">
        <v>0</v>
      </c>
      <c r="C825" s="626">
        <v>1000000</v>
      </c>
      <c r="D825" s="626">
        <v>0</v>
      </c>
    </row>
    <row r="826" spans="1:4" x14ac:dyDescent="0.2">
      <c r="A826">
        <v>825</v>
      </c>
      <c r="B826" s="626">
        <v>0</v>
      </c>
      <c r="C826" s="626">
        <v>1000000</v>
      </c>
      <c r="D826" s="626">
        <v>0</v>
      </c>
    </row>
    <row r="827" spans="1:4" x14ac:dyDescent="0.2">
      <c r="A827">
        <v>826</v>
      </c>
      <c r="B827" s="626">
        <v>0</v>
      </c>
      <c r="C827" s="626">
        <v>1000000</v>
      </c>
      <c r="D827" s="626">
        <v>0</v>
      </c>
    </row>
    <row r="828" spans="1:4" x14ac:dyDescent="0.2">
      <c r="A828">
        <v>827</v>
      </c>
      <c r="B828" s="626">
        <v>0</v>
      </c>
      <c r="C828" s="626">
        <v>1000000</v>
      </c>
      <c r="D828" s="626">
        <v>0</v>
      </c>
    </row>
    <row r="829" spans="1:4" x14ac:dyDescent="0.2">
      <c r="A829">
        <v>828</v>
      </c>
      <c r="B829" s="626">
        <v>0</v>
      </c>
      <c r="C829" s="626">
        <v>1000000</v>
      </c>
      <c r="D829" s="626">
        <v>0</v>
      </c>
    </row>
    <row r="830" spans="1:4" x14ac:dyDescent="0.2">
      <c r="A830">
        <v>829</v>
      </c>
      <c r="B830" s="626">
        <v>0</v>
      </c>
      <c r="C830" s="626">
        <v>1000000</v>
      </c>
      <c r="D830" s="626">
        <v>0</v>
      </c>
    </row>
    <row r="831" spans="1:4" x14ac:dyDescent="0.2">
      <c r="A831">
        <v>830</v>
      </c>
      <c r="B831" s="626">
        <v>0</v>
      </c>
      <c r="C831" s="626">
        <v>1000000</v>
      </c>
      <c r="D831" s="626">
        <v>0</v>
      </c>
    </row>
    <row r="832" spans="1:4" x14ac:dyDescent="0.2">
      <c r="A832">
        <v>831</v>
      </c>
      <c r="B832" s="626">
        <v>0</v>
      </c>
      <c r="C832" s="626">
        <v>1000000</v>
      </c>
      <c r="D832" s="626">
        <v>0</v>
      </c>
    </row>
    <row r="833" spans="1:4" x14ac:dyDescent="0.2">
      <c r="A833">
        <v>832</v>
      </c>
      <c r="B833" s="626">
        <v>0</v>
      </c>
      <c r="C833" s="626">
        <v>1000000</v>
      </c>
      <c r="D833" s="626">
        <v>0</v>
      </c>
    </row>
    <row r="834" spans="1:4" x14ac:dyDescent="0.2">
      <c r="A834">
        <v>833</v>
      </c>
      <c r="B834" s="626">
        <v>0</v>
      </c>
      <c r="C834" s="626">
        <v>1000000</v>
      </c>
      <c r="D834" s="626">
        <v>0</v>
      </c>
    </row>
    <row r="835" spans="1:4" x14ac:dyDescent="0.2">
      <c r="A835">
        <v>834</v>
      </c>
      <c r="B835" s="626">
        <v>0</v>
      </c>
      <c r="C835" s="626">
        <v>1000000</v>
      </c>
      <c r="D835" s="626">
        <v>0</v>
      </c>
    </row>
    <row r="836" spans="1:4" x14ac:dyDescent="0.2">
      <c r="A836">
        <v>835</v>
      </c>
      <c r="B836" s="626">
        <v>0</v>
      </c>
      <c r="C836" s="626">
        <v>1000000</v>
      </c>
      <c r="D836" s="626">
        <v>0</v>
      </c>
    </row>
    <row r="837" spans="1:4" x14ac:dyDescent="0.2">
      <c r="A837">
        <v>836</v>
      </c>
      <c r="B837" s="626">
        <v>0</v>
      </c>
      <c r="C837" s="626">
        <v>1000000</v>
      </c>
      <c r="D837" s="626">
        <v>0</v>
      </c>
    </row>
    <row r="838" spans="1:4" x14ac:dyDescent="0.2">
      <c r="A838">
        <v>837</v>
      </c>
      <c r="B838" s="626">
        <v>0</v>
      </c>
      <c r="C838" s="626">
        <v>1000000</v>
      </c>
      <c r="D838" s="626">
        <v>0</v>
      </c>
    </row>
    <row r="839" spans="1:4" x14ac:dyDescent="0.2">
      <c r="A839">
        <v>838</v>
      </c>
      <c r="B839" s="626">
        <v>0</v>
      </c>
      <c r="C839" s="626">
        <v>1000000</v>
      </c>
      <c r="D839" s="626">
        <v>0</v>
      </c>
    </row>
    <row r="840" spans="1:4" x14ac:dyDescent="0.2">
      <c r="A840">
        <v>839</v>
      </c>
      <c r="B840" s="626">
        <v>0</v>
      </c>
      <c r="C840" s="626">
        <v>1000000</v>
      </c>
      <c r="D840" s="626">
        <v>0</v>
      </c>
    </row>
    <row r="841" spans="1:4" x14ac:dyDescent="0.2">
      <c r="A841">
        <v>840</v>
      </c>
      <c r="B841" s="626">
        <v>0</v>
      </c>
      <c r="C841" s="626">
        <v>1000000</v>
      </c>
      <c r="D841" s="626">
        <v>0</v>
      </c>
    </row>
    <row r="842" spans="1:4" x14ac:dyDescent="0.2">
      <c r="A842">
        <v>841</v>
      </c>
      <c r="B842" s="626">
        <v>0</v>
      </c>
      <c r="C842" s="626">
        <v>1000000</v>
      </c>
      <c r="D842" s="626">
        <v>0</v>
      </c>
    </row>
    <row r="843" spans="1:4" x14ac:dyDescent="0.2">
      <c r="A843">
        <v>842</v>
      </c>
      <c r="B843" s="626">
        <v>0</v>
      </c>
      <c r="C843" s="626">
        <v>1000000</v>
      </c>
      <c r="D843" s="626">
        <v>0</v>
      </c>
    </row>
    <row r="844" spans="1:4" x14ac:dyDescent="0.2">
      <c r="A844">
        <v>843</v>
      </c>
      <c r="B844" s="626">
        <v>0</v>
      </c>
      <c r="C844" s="626">
        <v>1000000</v>
      </c>
      <c r="D844" s="626">
        <v>0</v>
      </c>
    </row>
    <row r="845" spans="1:4" x14ac:dyDescent="0.2">
      <c r="A845">
        <v>844</v>
      </c>
      <c r="B845" s="626">
        <v>0</v>
      </c>
      <c r="C845" s="626">
        <v>1000000</v>
      </c>
      <c r="D845" s="626">
        <v>0</v>
      </c>
    </row>
    <row r="846" spans="1:4" x14ac:dyDescent="0.2">
      <c r="A846">
        <v>845</v>
      </c>
      <c r="B846" s="626">
        <v>0</v>
      </c>
      <c r="C846" s="626">
        <v>1000000</v>
      </c>
      <c r="D846" s="626">
        <v>0</v>
      </c>
    </row>
    <row r="847" spans="1:4" x14ac:dyDescent="0.2">
      <c r="A847">
        <v>846</v>
      </c>
      <c r="B847" s="626">
        <v>0</v>
      </c>
      <c r="C847" s="626">
        <v>1000000</v>
      </c>
      <c r="D847" s="626">
        <v>0</v>
      </c>
    </row>
    <row r="848" spans="1:4" x14ac:dyDescent="0.2">
      <c r="A848">
        <v>847</v>
      </c>
      <c r="B848" s="626">
        <v>0</v>
      </c>
      <c r="C848" s="626">
        <v>1000000</v>
      </c>
      <c r="D848" s="626">
        <v>0</v>
      </c>
    </row>
    <row r="849" spans="1:4" x14ac:dyDescent="0.2">
      <c r="A849">
        <v>848</v>
      </c>
      <c r="B849" s="626">
        <v>0</v>
      </c>
      <c r="C849" s="626">
        <v>1000000</v>
      </c>
      <c r="D849" s="626">
        <v>0</v>
      </c>
    </row>
    <row r="850" spans="1:4" x14ac:dyDescent="0.2">
      <c r="A850">
        <v>849</v>
      </c>
      <c r="B850" s="626">
        <v>0</v>
      </c>
      <c r="C850" s="626">
        <v>1000000</v>
      </c>
      <c r="D850" s="626">
        <v>0</v>
      </c>
    </row>
    <row r="851" spans="1:4" x14ac:dyDescent="0.2">
      <c r="A851">
        <v>850</v>
      </c>
      <c r="B851" s="626">
        <v>0</v>
      </c>
      <c r="C851" s="626">
        <v>1000000</v>
      </c>
      <c r="D851" s="626">
        <v>0</v>
      </c>
    </row>
    <row r="852" spans="1:4" x14ac:dyDescent="0.2">
      <c r="A852">
        <v>851</v>
      </c>
      <c r="B852" s="626">
        <v>0</v>
      </c>
      <c r="C852" s="626">
        <v>1000000</v>
      </c>
      <c r="D852" s="626">
        <v>0</v>
      </c>
    </row>
    <row r="853" spans="1:4" x14ac:dyDescent="0.2">
      <c r="A853">
        <v>852</v>
      </c>
      <c r="B853" s="626">
        <v>0</v>
      </c>
      <c r="C853" s="626">
        <v>1000000</v>
      </c>
      <c r="D853" s="626">
        <v>0</v>
      </c>
    </row>
    <row r="854" spans="1:4" x14ac:dyDescent="0.2">
      <c r="A854">
        <v>853</v>
      </c>
      <c r="B854" s="626">
        <v>0</v>
      </c>
      <c r="C854" s="626">
        <v>1000000</v>
      </c>
      <c r="D854" s="626">
        <v>0</v>
      </c>
    </row>
    <row r="855" spans="1:4" x14ac:dyDescent="0.2">
      <c r="A855">
        <v>854</v>
      </c>
      <c r="B855" s="626">
        <v>0</v>
      </c>
      <c r="C855" s="626">
        <v>1000000</v>
      </c>
      <c r="D855" s="626">
        <v>0</v>
      </c>
    </row>
    <row r="856" spans="1:4" x14ac:dyDescent="0.2">
      <c r="A856">
        <v>855</v>
      </c>
      <c r="B856" s="626">
        <v>0</v>
      </c>
      <c r="C856" s="626">
        <v>1000000</v>
      </c>
      <c r="D856" s="626">
        <v>0</v>
      </c>
    </row>
    <row r="857" spans="1:4" x14ac:dyDescent="0.2">
      <c r="A857">
        <v>856</v>
      </c>
      <c r="B857" s="626">
        <v>0</v>
      </c>
      <c r="C857" s="626">
        <v>1000000</v>
      </c>
      <c r="D857" s="626">
        <v>0</v>
      </c>
    </row>
    <row r="858" spans="1:4" x14ac:dyDescent="0.2">
      <c r="A858">
        <v>857</v>
      </c>
      <c r="B858" s="626">
        <v>0</v>
      </c>
      <c r="C858" s="626">
        <v>1000000</v>
      </c>
      <c r="D858" s="626">
        <v>0</v>
      </c>
    </row>
    <row r="859" spans="1:4" x14ac:dyDescent="0.2">
      <c r="A859">
        <v>858</v>
      </c>
      <c r="B859" s="626">
        <v>0</v>
      </c>
      <c r="C859" s="626">
        <v>1000000</v>
      </c>
      <c r="D859" s="626">
        <v>0</v>
      </c>
    </row>
    <row r="860" spans="1:4" x14ac:dyDescent="0.2">
      <c r="A860">
        <v>859</v>
      </c>
      <c r="B860" s="626">
        <v>0</v>
      </c>
      <c r="C860" s="626">
        <v>1000000</v>
      </c>
      <c r="D860" s="626">
        <v>0</v>
      </c>
    </row>
    <row r="861" spans="1:4" x14ac:dyDescent="0.2">
      <c r="A861">
        <v>860</v>
      </c>
      <c r="B861" s="626">
        <v>0</v>
      </c>
      <c r="C861" s="626">
        <v>1000000</v>
      </c>
      <c r="D861" s="626">
        <v>0</v>
      </c>
    </row>
    <row r="862" spans="1:4" x14ac:dyDescent="0.2">
      <c r="A862">
        <v>861</v>
      </c>
      <c r="B862" s="626">
        <v>0</v>
      </c>
      <c r="C862" s="626">
        <v>1000000</v>
      </c>
      <c r="D862" s="626">
        <v>0</v>
      </c>
    </row>
    <row r="863" spans="1:4" x14ac:dyDescent="0.2">
      <c r="A863">
        <v>862</v>
      </c>
      <c r="B863" s="626">
        <v>0</v>
      </c>
      <c r="C863" s="626">
        <v>1000000</v>
      </c>
      <c r="D863" s="626">
        <v>0</v>
      </c>
    </row>
    <row r="864" spans="1:4" x14ac:dyDescent="0.2">
      <c r="A864">
        <v>863</v>
      </c>
      <c r="B864" s="626">
        <v>0</v>
      </c>
      <c r="C864" s="626">
        <v>1000000</v>
      </c>
      <c r="D864" s="626">
        <v>0</v>
      </c>
    </row>
    <row r="865" spans="1:4" x14ac:dyDescent="0.2">
      <c r="A865">
        <v>864</v>
      </c>
      <c r="B865" s="626">
        <v>0</v>
      </c>
      <c r="C865" s="626">
        <v>1000000</v>
      </c>
      <c r="D865" s="626">
        <v>0</v>
      </c>
    </row>
    <row r="866" spans="1:4" x14ac:dyDescent="0.2">
      <c r="A866">
        <v>865</v>
      </c>
      <c r="B866" s="626">
        <v>0</v>
      </c>
      <c r="C866" s="626">
        <v>1000000</v>
      </c>
      <c r="D866" s="626">
        <v>0</v>
      </c>
    </row>
    <row r="867" spans="1:4" x14ac:dyDescent="0.2">
      <c r="A867">
        <v>866</v>
      </c>
      <c r="B867" s="626">
        <v>0</v>
      </c>
      <c r="C867" s="626">
        <v>1000000</v>
      </c>
      <c r="D867" s="626">
        <v>0</v>
      </c>
    </row>
    <row r="868" spans="1:4" x14ac:dyDescent="0.2">
      <c r="A868">
        <v>867</v>
      </c>
      <c r="B868" s="626">
        <v>0</v>
      </c>
      <c r="C868" s="626">
        <v>1000000</v>
      </c>
      <c r="D868" s="626">
        <v>0</v>
      </c>
    </row>
    <row r="869" spans="1:4" x14ac:dyDescent="0.2">
      <c r="A869">
        <v>868</v>
      </c>
      <c r="B869" s="626">
        <v>0</v>
      </c>
      <c r="C869" s="626">
        <v>1000000</v>
      </c>
      <c r="D869" s="626">
        <v>0</v>
      </c>
    </row>
    <row r="870" spans="1:4" x14ac:dyDescent="0.2">
      <c r="A870">
        <v>869</v>
      </c>
      <c r="B870" s="626">
        <v>0</v>
      </c>
      <c r="C870" s="626">
        <v>1000000</v>
      </c>
      <c r="D870" s="626">
        <v>0</v>
      </c>
    </row>
    <row r="871" spans="1:4" x14ac:dyDescent="0.2">
      <c r="A871">
        <v>870</v>
      </c>
      <c r="B871" s="626">
        <v>0</v>
      </c>
      <c r="C871" s="626">
        <v>1000000</v>
      </c>
      <c r="D871" s="626">
        <v>0</v>
      </c>
    </row>
    <row r="872" spans="1:4" x14ac:dyDescent="0.2">
      <c r="A872">
        <v>871</v>
      </c>
      <c r="B872" s="626">
        <v>0</v>
      </c>
      <c r="C872" s="626">
        <v>1000000</v>
      </c>
      <c r="D872" s="626">
        <v>0</v>
      </c>
    </row>
    <row r="873" spans="1:4" x14ac:dyDescent="0.2">
      <c r="A873">
        <v>872</v>
      </c>
      <c r="B873" s="626">
        <v>0</v>
      </c>
      <c r="C873" s="626">
        <v>1000000</v>
      </c>
      <c r="D873" s="626">
        <v>0</v>
      </c>
    </row>
    <row r="874" spans="1:4" x14ac:dyDescent="0.2">
      <c r="A874">
        <v>873</v>
      </c>
      <c r="B874" s="626">
        <v>0</v>
      </c>
      <c r="C874" s="626">
        <v>1000000</v>
      </c>
      <c r="D874" s="626">
        <v>0</v>
      </c>
    </row>
    <row r="875" spans="1:4" x14ac:dyDescent="0.2">
      <c r="A875">
        <v>874</v>
      </c>
      <c r="B875" s="626">
        <v>0</v>
      </c>
      <c r="C875" s="626">
        <v>1000000</v>
      </c>
      <c r="D875" s="626">
        <v>0</v>
      </c>
    </row>
    <row r="876" spans="1:4" x14ac:dyDescent="0.2">
      <c r="A876">
        <v>875</v>
      </c>
      <c r="B876" s="626">
        <v>0</v>
      </c>
      <c r="C876" s="626">
        <v>1000000</v>
      </c>
      <c r="D876" s="626">
        <v>0</v>
      </c>
    </row>
    <row r="877" spans="1:4" x14ac:dyDescent="0.2">
      <c r="A877">
        <v>876</v>
      </c>
      <c r="B877" s="626">
        <v>0</v>
      </c>
      <c r="C877" s="626">
        <v>1000000</v>
      </c>
      <c r="D877" s="626">
        <v>0</v>
      </c>
    </row>
    <row r="878" spans="1:4" x14ac:dyDescent="0.2">
      <c r="A878">
        <v>877</v>
      </c>
      <c r="B878" s="626">
        <v>0</v>
      </c>
      <c r="C878" s="626">
        <v>1000000</v>
      </c>
      <c r="D878" s="626">
        <v>0</v>
      </c>
    </row>
    <row r="879" spans="1:4" x14ac:dyDescent="0.2">
      <c r="A879">
        <v>878</v>
      </c>
      <c r="B879" s="626">
        <v>0</v>
      </c>
      <c r="C879" s="626">
        <v>1000000</v>
      </c>
      <c r="D879" s="626">
        <v>0</v>
      </c>
    </row>
    <row r="880" spans="1:4" x14ac:dyDescent="0.2">
      <c r="A880">
        <v>879</v>
      </c>
      <c r="B880" s="626">
        <v>0</v>
      </c>
      <c r="C880" s="626">
        <v>1000000</v>
      </c>
      <c r="D880" s="626">
        <v>0</v>
      </c>
    </row>
    <row r="881" spans="1:4" x14ac:dyDescent="0.2">
      <c r="A881">
        <v>880</v>
      </c>
      <c r="B881" s="626">
        <v>0</v>
      </c>
      <c r="C881" s="626">
        <v>1000000</v>
      </c>
      <c r="D881" s="626">
        <v>0</v>
      </c>
    </row>
    <row r="882" spans="1:4" x14ac:dyDescent="0.2">
      <c r="A882">
        <v>881</v>
      </c>
      <c r="B882" s="626">
        <v>0</v>
      </c>
      <c r="C882" s="626">
        <v>1000000</v>
      </c>
      <c r="D882" s="626">
        <v>0</v>
      </c>
    </row>
    <row r="883" spans="1:4" x14ac:dyDescent="0.2">
      <c r="A883">
        <v>882</v>
      </c>
      <c r="B883" s="626">
        <v>0</v>
      </c>
      <c r="C883" s="626">
        <v>1000000</v>
      </c>
      <c r="D883" s="626">
        <v>0</v>
      </c>
    </row>
    <row r="884" spans="1:4" x14ac:dyDescent="0.2">
      <c r="A884">
        <v>883</v>
      </c>
      <c r="B884" s="626">
        <v>0</v>
      </c>
      <c r="C884" s="626">
        <v>1000000</v>
      </c>
      <c r="D884" s="626">
        <v>0</v>
      </c>
    </row>
    <row r="885" spans="1:4" x14ac:dyDescent="0.2">
      <c r="A885">
        <v>884</v>
      </c>
      <c r="B885" s="626">
        <v>0</v>
      </c>
      <c r="C885" s="626">
        <v>1000000</v>
      </c>
      <c r="D885" s="626">
        <v>0</v>
      </c>
    </row>
    <row r="886" spans="1:4" x14ac:dyDescent="0.2">
      <c r="A886">
        <v>885</v>
      </c>
      <c r="B886" s="626">
        <v>0</v>
      </c>
      <c r="C886" s="626">
        <v>1000000</v>
      </c>
      <c r="D886" s="626">
        <v>0</v>
      </c>
    </row>
    <row r="887" spans="1:4" x14ac:dyDescent="0.2">
      <c r="A887">
        <v>886</v>
      </c>
      <c r="B887" s="626">
        <v>0</v>
      </c>
      <c r="C887" s="626">
        <v>1000000</v>
      </c>
      <c r="D887" s="626">
        <v>0</v>
      </c>
    </row>
    <row r="888" spans="1:4" x14ac:dyDescent="0.2">
      <c r="A888">
        <v>887</v>
      </c>
      <c r="B888" s="626">
        <v>0</v>
      </c>
      <c r="C888" s="626">
        <v>1000000</v>
      </c>
      <c r="D888" s="626">
        <v>0</v>
      </c>
    </row>
    <row r="889" spans="1:4" x14ac:dyDescent="0.2">
      <c r="A889">
        <v>888</v>
      </c>
      <c r="B889" s="626">
        <v>0</v>
      </c>
      <c r="C889" s="626">
        <v>1000000</v>
      </c>
      <c r="D889" s="626">
        <v>0</v>
      </c>
    </row>
    <row r="890" spans="1:4" x14ac:dyDescent="0.2">
      <c r="A890">
        <v>889</v>
      </c>
      <c r="B890" s="626">
        <v>0</v>
      </c>
      <c r="C890" s="626">
        <v>1000000</v>
      </c>
      <c r="D890" s="626">
        <v>0</v>
      </c>
    </row>
    <row r="891" spans="1:4" x14ac:dyDescent="0.2">
      <c r="A891">
        <v>890</v>
      </c>
      <c r="B891" s="626">
        <v>0</v>
      </c>
      <c r="C891" s="626">
        <v>1000000</v>
      </c>
      <c r="D891" s="626">
        <v>0</v>
      </c>
    </row>
    <row r="892" spans="1:4" x14ac:dyDescent="0.2">
      <c r="A892">
        <v>891</v>
      </c>
      <c r="B892" s="626">
        <v>0</v>
      </c>
      <c r="C892" s="626">
        <v>1000000</v>
      </c>
      <c r="D892" s="626">
        <v>0</v>
      </c>
    </row>
    <row r="893" spans="1:4" x14ac:dyDescent="0.2">
      <c r="A893">
        <v>892</v>
      </c>
      <c r="B893" s="626">
        <v>0</v>
      </c>
      <c r="C893" s="626">
        <v>1000000</v>
      </c>
      <c r="D893" s="626">
        <v>0</v>
      </c>
    </row>
    <row r="894" spans="1:4" x14ac:dyDescent="0.2">
      <c r="A894">
        <v>893</v>
      </c>
      <c r="B894" s="626">
        <v>0</v>
      </c>
      <c r="C894" s="626">
        <v>1000000</v>
      </c>
      <c r="D894" s="626">
        <v>0</v>
      </c>
    </row>
    <row r="895" spans="1:4" x14ac:dyDescent="0.2">
      <c r="A895">
        <v>894</v>
      </c>
      <c r="B895" s="626">
        <v>0</v>
      </c>
      <c r="C895" s="626">
        <v>1000000</v>
      </c>
      <c r="D895" s="626">
        <v>0</v>
      </c>
    </row>
    <row r="896" spans="1:4" x14ac:dyDescent="0.2">
      <c r="A896">
        <v>895</v>
      </c>
      <c r="B896" s="626">
        <v>0</v>
      </c>
      <c r="C896" s="626">
        <v>1000000</v>
      </c>
      <c r="D896" s="626">
        <v>0</v>
      </c>
    </row>
    <row r="897" spans="1:4" x14ac:dyDescent="0.2">
      <c r="A897">
        <v>896</v>
      </c>
      <c r="B897" s="626">
        <v>0</v>
      </c>
      <c r="C897" s="626">
        <v>1000000</v>
      </c>
      <c r="D897" s="626">
        <v>0</v>
      </c>
    </row>
    <row r="898" spans="1:4" x14ac:dyDescent="0.2">
      <c r="A898">
        <v>897</v>
      </c>
      <c r="B898" s="626">
        <v>0</v>
      </c>
      <c r="C898" s="626">
        <v>1000000</v>
      </c>
      <c r="D898" s="626">
        <v>0</v>
      </c>
    </row>
    <row r="899" spans="1:4" x14ac:dyDescent="0.2">
      <c r="A899">
        <v>898</v>
      </c>
      <c r="B899" s="626">
        <v>0</v>
      </c>
      <c r="C899" s="626">
        <v>1000000</v>
      </c>
      <c r="D899" s="626">
        <v>0</v>
      </c>
    </row>
    <row r="900" spans="1:4" x14ac:dyDescent="0.2">
      <c r="A900">
        <v>899</v>
      </c>
      <c r="B900" s="626">
        <v>0</v>
      </c>
      <c r="C900" s="626">
        <v>1000000</v>
      </c>
      <c r="D900" s="626">
        <v>0</v>
      </c>
    </row>
    <row r="901" spans="1:4" x14ac:dyDescent="0.2">
      <c r="A901">
        <v>900</v>
      </c>
      <c r="B901" s="626">
        <v>0</v>
      </c>
      <c r="C901" s="626">
        <v>1000000</v>
      </c>
      <c r="D901" s="626">
        <v>0</v>
      </c>
    </row>
    <row r="902" spans="1:4" x14ac:dyDescent="0.2">
      <c r="A902">
        <v>901</v>
      </c>
      <c r="B902" s="626">
        <v>0</v>
      </c>
      <c r="C902" s="626">
        <v>1000000</v>
      </c>
      <c r="D902" s="626">
        <v>0</v>
      </c>
    </row>
    <row r="903" spans="1:4" x14ac:dyDescent="0.2">
      <c r="A903">
        <v>902</v>
      </c>
      <c r="B903" s="626">
        <v>0</v>
      </c>
      <c r="C903" s="626">
        <v>1000000</v>
      </c>
      <c r="D903" s="626">
        <v>0</v>
      </c>
    </row>
    <row r="904" spans="1:4" x14ac:dyDescent="0.2">
      <c r="A904">
        <v>903</v>
      </c>
      <c r="B904" s="626">
        <v>0</v>
      </c>
      <c r="C904" s="626">
        <v>1000000</v>
      </c>
      <c r="D904" s="626">
        <v>0</v>
      </c>
    </row>
    <row r="905" spans="1:4" x14ac:dyDescent="0.2">
      <c r="A905">
        <v>904</v>
      </c>
      <c r="B905" s="626">
        <v>0</v>
      </c>
      <c r="C905" s="626">
        <v>1000000</v>
      </c>
      <c r="D905" s="626">
        <v>0</v>
      </c>
    </row>
    <row r="906" spans="1:4" x14ac:dyDescent="0.2">
      <c r="A906">
        <v>905</v>
      </c>
      <c r="B906" s="626">
        <v>0</v>
      </c>
      <c r="C906" s="626">
        <v>1000000</v>
      </c>
      <c r="D906" s="626">
        <v>0</v>
      </c>
    </row>
    <row r="907" spans="1:4" x14ac:dyDescent="0.2">
      <c r="A907">
        <v>906</v>
      </c>
      <c r="B907" s="626">
        <v>0</v>
      </c>
      <c r="C907" s="626">
        <v>1000000</v>
      </c>
      <c r="D907" s="626">
        <v>0</v>
      </c>
    </row>
    <row r="908" spans="1:4" x14ac:dyDescent="0.2">
      <c r="A908">
        <v>907</v>
      </c>
      <c r="B908" s="626">
        <v>0</v>
      </c>
      <c r="C908" s="626">
        <v>1000000</v>
      </c>
      <c r="D908" s="626">
        <v>0</v>
      </c>
    </row>
    <row r="909" spans="1:4" x14ac:dyDescent="0.2">
      <c r="A909">
        <v>908</v>
      </c>
      <c r="B909" s="626">
        <v>0</v>
      </c>
      <c r="C909" s="626">
        <v>1000000</v>
      </c>
      <c r="D909" s="626">
        <v>0</v>
      </c>
    </row>
    <row r="910" spans="1:4" x14ac:dyDescent="0.2">
      <c r="A910">
        <v>909</v>
      </c>
      <c r="B910" s="626">
        <v>0</v>
      </c>
      <c r="C910" s="626">
        <v>1000000</v>
      </c>
      <c r="D910" s="626">
        <v>0</v>
      </c>
    </row>
    <row r="911" spans="1:4" x14ac:dyDescent="0.2">
      <c r="A911">
        <v>910</v>
      </c>
      <c r="B911" s="626">
        <v>0</v>
      </c>
      <c r="C911" s="626">
        <v>1000000</v>
      </c>
      <c r="D911" s="626">
        <v>0</v>
      </c>
    </row>
    <row r="912" spans="1:4" x14ac:dyDescent="0.2">
      <c r="A912">
        <v>911</v>
      </c>
      <c r="B912" s="626">
        <v>0</v>
      </c>
      <c r="C912" s="626">
        <v>1000000</v>
      </c>
      <c r="D912" s="626">
        <v>0</v>
      </c>
    </row>
    <row r="913" spans="1:4" x14ac:dyDescent="0.2">
      <c r="A913">
        <v>912</v>
      </c>
      <c r="B913" s="626">
        <v>0</v>
      </c>
      <c r="C913" s="626">
        <v>1000000</v>
      </c>
      <c r="D913" s="626">
        <v>0</v>
      </c>
    </row>
    <row r="914" spans="1:4" x14ac:dyDescent="0.2">
      <c r="A914">
        <v>913</v>
      </c>
      <c r="B914" s="626">
        <v>0</v>
      </c>
      <c r="C914" s="626">
        <v>1000000</v>
      </c>
      <c r="D914" s="626">
        <v>0</v>
      </c>
    </row>
    <row r="915" spans="1:4" x14ac:dyDescent="0.2">
      <c r="A915">
        <v>914</v>
      </c>
      <c r="B915" s="626">
        <v>0</v>
      </c>
      <c r="C915" s="626">
        <v>1000000</v>
      </c>
      <c r="D915" s="626">
        <v>0</v>
      </c>
    </row>
    <row r="916" spans="1:4" x14ac:dyDescent="0.2">
      <c r="A916">
        <v>915</v>
      </c>
      <c r="B916" s="626">
        <v>0</v>
      </c>
      <c r="C916" s="626">
        <v>1000000</v>
      </c>
      <c r="D916" s="626">
        <v>0</v>
      </c>
    </row>
    <row r="917" spans="1:4" x14ac:dyDescent="0.2">
      <c r="A917">
        <v>916</v>
      </c>
      <c r="B917" s="626">
        <v>0</v>
      </c>
      <c r="C917" s="626">
        <v>1000000</v>
      </c>
      <c r="D917" s="626">
        <v>0</v>
      </c>
    </row>
    <row r="918" spans="1:4" x14ac:dyDescent="0.2">
      <c r="A918">
        <v>917</v>
      </c>
      <c r="B918" s="626">
        <v>0</v>
      </c>
      <c r="C918" s="626">
        <v>1000000</v>
      </c>
      <c r="D918" s="626">
        <v>0</v>
      </c>
    </row>
    <row r="919" spans="1:4" x14ac:dyDescent="0.2">
      <c r="A919">
        <v>918</v>
      </c>
      <c r="B919" s="626">
        <v>0</v>
      </c>
      <c r="C919" s="626">
        <v>1000000</v>
      </c>
      <c r="D919" s="626">
        <v>0</v>
      </c>
    </row>
    <row r="920" spans="1:4" x14ac:dyDescent="0.2">
      <c r="A920">
        <v>919</v>
      </c>
      <c r="B920" s="626">
        <v>0</v>
      </c>
      <c r="C920" s="626">
        <v>1000000</v>
      </c>
      <c r="D920" s="626">
        <v>0</v>
      </c>
    </row>
    <row r="921" spans="1:4" x14ac:dyDescent="0.2">
      <c r="A921">
        <v>920</v>
      </c>
      <c r="B921" s="626">
        <v>0</v>
      </c>
      <c r="C921" s="626">
        <v>1000000</v>
      </c>
      <c r="D921" s="626">
        <v>0</v>
      </c>
    </row>
    <row r="922" spans="1:4" x14ac:dyDescent="0.2">
      <c r="A922">
        <v>921</v>
      </c>
      <c r="B922" s="626">
        <v>0</v>
      </c>
      <c r="C922" s="626">
        <v>1000000</v>
      </c>
      <c r="D922" s="626">
        <v>0</v>
      </c>
    </row>
    <row r="923" spans="1:4" x14ac:dyDescent="0.2">
      <c r="A923">
        <v>922</v>
      </c>
      <c r="B923" s="626">
        <v>0</v>
      </c>
      <c r="C923" s="626">
        <v>1000000</v>
      </c>
      <c r="D923" s="626">
        <v>0</v>
      </c>
    </row>
    <row r="924" spans="1:4" x14ac:dyDescent="0.2">
      <c r="A924">
        <v>923</v>
      </c>
      <c r="B924" s="626">
        <v>0</v>
      </c>
      <c r="C924" s="626">
        <v>1000000</v>
      </c>
      <c r="D924" s="626">
        <v>0</v>
      </c>
    </row>
    <row r="925" spans="1:4" x14ac:dyDescent="0.2">
      <c r="A925">
        <v>924</v>
      </c>
      <c r="B925" s="626">
        <v>0</v>
      </c>
      <c r="C925" s="626">
        <v>1000000</v>
      </c>
      <c r="D925" s="626">
        <v>0</v>
      </c>
    </row>
    <row r="926" spans="1:4" x14ac:dyDescent="0.2">
      <c r="A926">
        <v>925</v>
      </c>
      <c r="B926" s="626">
        <v>0</v>
      </c>
      <c r="C926" s="626">
        <v>1000000</v>
      </c>
      <c r="D926" s="626">
        <v>0</v>
      </c>
    </row>
    <row r="927" spans="1:4" x14ac:dyDescent="0.2">
      <c r="A927">
        <v>926</v>
      </c>
      <c r="B927" s="626">
        <v>0</v>
      </c>
      <c r="C927" s="626">
        <v>1000000</v>
      </c>
      <c r="D927" s="626">
        <v>0</v>
      </c>
    </row>
    <row r="928" spans="1:4" x14ac:dyDescent="0.2">
      <c r="A928">
        <v>927</v>
      </c>
      <c r="B928" s="626">
        <v>0</v>
      </c>
      <c r="C928" s="626">
        <v>1000000</v>
      </c>
      <c r="D928" s="626">
        <v>0</v>
      </c>
    </row>
    <row r="929" spans="1:4" x14ac:dyDescent="0.2">
      <c r="A929">
        <v>928</v>
      </c>
      <c r="B929" s="626">
        <v>0</v>
      </c>
      <c r="C929" s="626">
        <v>1000000</v>
      </c>
      <c r="D929" s="626">
        <v>0</v>
      </c>
    </row>
    <row r="930" spans="1:4" x14ac:dyDescent="0.2">
      <c r="A930">
        <v>929</v>
      </c>
      <c r="B930" s="626">
        <v>0</v>
      </c>
      <c r="C930" s="626">
        <v>1000000</v>
      </c>
      <c r="D930" s="626">
        <v>0</v>
      </c>
    </row>
    <row r="931" spans="1:4" x14ac:dyDescent="0.2">
      <c r="A931">
        <v>930</v>
      </c>
      <c r="B931" s="626">
        <v>0</v>
      </c>
      <c r="C931" s="626">
        <v>1000000</v>
      </c>
      <c r="D931" s="626">
        <v>0</v>
      </c>
    </row>
    <row r="932" spans="1:4" x14ac:dyDescent="0.2">
      <c r="A932">
        <v>931</v>
      </c>
      <c r="B932" s="626">
        <v>0</v>
      </c>
      <c r="C932" s="626">
        <v>1000000</v>
      </c>
      <c r="D932" s="626">
        <v>0</v>
      </c>
    </row>
    <row r="933" spans="1:4" x14ac:dyDescent="0.2">
      <c r="A933">
        <v>932</v>
      </c>
      <c r="B933" s="626">
        <v>0</v>
      </c>
      <c r="C933" s="626">
        <v>1000000</v>
      </c>
      <c r="D933" s="626">
        <v>0</v>
      </c>
    </row>
    <row r="934" spans="1:4" x14ac:dyDescent="0.2">
      <c r="A934">
        <v>933</v>
      </c>
      <c r="B934" s="626">
        <v>0</v>
      </c>
      <c r="C934" s="626">
        <v>1000000</v>
      </c>
      <c r="D934" s="626">
        <v>0</v>
      </c>
    </row>
    <row r="935" spans="1:4" x14ac:dyDescent="0.2">
      <c r="A935">
        <v>934</v>
      </c>
      <c r="B935" s="626">
        <v>0</v>
      </c>
      <c r="C935" s="626">
        <v>1000000</v>
      </c>
      <c r="D935" s="626">
        <v>0</v>
      </c>
    </row>
    <row r="936" spans="1:4" x14ac:dyDescent="0.2">
      <c r="A936">
        <v>935</v>
      </c>
      <c r="B936" s="626">
        <v>0</v>
      </c>
      <c r="C936" s="626">
        <v>1000000</v>
      </c>
      <c r="D936" s="626">
        <v>0</v>
      </c>
    </row>
    <row r="937" spans="1:4" x14ac:dyDescent="0.2">
      <c r="A937">
        <v>936</v>
      </c>
      <c r="B937" s="626">
        <v>0</v>
      </c>
      <c r="C937" s="626">
        <v>1000000</v>
      </c>
      <c r="D937" s="626">
        <v>0</v>
      </c>
    </row>
    <row r="938" spans="1:4" x14ac:dyDescent="0.2">
      <c r="A938">
        <v>937</v>
      </c>
      <c r="B938" s="626">
        <v>0</v>
      </c>
      <c r="C938" s="626">
        <v>1000000</v>
      </c>
      <c r="D938" s="626">
        <v>0</v>
      </c>
    </row>
    <row r="939" spans="1:4" x14ac:dyDescent="0.2">
      <c r="A939">
        <v>938</v>
      </c>
      <c r="B939" s="626">
        <v>0</v>
      </c>
      <c r="C939" s="626">
        <v>1000000</v>
      </c>
      <c r="D939" s="626">
        <v>0</v>
      </c>
    </row>
    <row r="940" spans="1:4" x14ac:dyDescent="0.2">
      <c r="A940">
        <v>939</v>
      </c>
      <c r="B940" s="626">
        <v>0</v>
      </c>
      <c r="C940" s="626">
        <v>1000000</v>
      </c>
      <c r="D940" s="626">
        <v>0</v>
      </c>
    </row>
    <row r="941" spans="1:4" x14ac:dyDescent="0.2">
      <c r="A941">
        <v>940</v>
      </c>
      <c r="B941" s="626">
        <v>0</v>
      </c>
      <c r="C941" s="626">
        <v>1000000</v>
      </c>
      <c r="D941" s="626">
        <v>0</v>
      </c>
    </row>
    <row r="942" spans="1:4" x14ac:dyDescent="0.2">
      <c r="A942">
        <v>941</v>
      </c>
      <c r="B942" s="626">
        <v>0</v>
      </c>
      <c r="C942" s="626">
        <v>1000000</v>
      </c>
      <c r="D942" s="626">
        <v>0</v>
      </c>
    </row>
    <row r="943" spans="1:4" x14ac:dyDescent="0.2">
      <c r="A943">
        <v>942</v>
      </c>
      <c r="B943" s="626">
        <v>0</v>
      </c>
      <c r="C943" s="626">
        <v>1000000</v>
      </c>
      <c r="D943" s="626">
        <v>0</v>
      </c>
    </row>
    <row r="944" spans="1:4" x14ac:dyDescent="0.2">
      <c r="A944">
        <v>943</v>
      </c>
      <c r="B944" s="626">
        <v>0</v>
      </c>
      <c r="C944" s="626">
        <v>1000000</v>
      </c>
      <c r="D944" s="626">
        <v>0</v>
      </c>
    </row>
    <row r="945" spans="1:4" x14ac:dyDescent="0.2">
      <c r="A945">
        <v>944</v>
      </c>
      <c r="B945" s="626">
        <v>0</v>
      </c>
      <c r="C945" s="626">
        <v>1000000</v>
      </c>
      <c r="D945" s="626">
        <v>0</v>
      </c>
    </row>
    <row r="946" spans="1:4" x14ac:dyDescent="0.2">
      <c r="A946">
        <v>945</v>
      </c>
      <c r="B946" s="626">
        <v>0</v>
      </c>
      <c r="C946" s="626">
        <v>1000000</v>
      </c>
      <c r="D946" s="626">
        <v>0</v>
      </c>
    </row>
    <row r="947" spans="1:4" x14ac:dyDescent="0.2">
      <c r="A947">
        <v>946</v>
      </c>
      <c r="B947" s="626">
        <v>0</v>
      </c>
      <c r="C947" s="626">
        <v>1000000</v>
      </c>
      <c r="D947" s="626">
        <v>0</v>
      </c>
    </row>
    <row r="948" spans="1:4" x14ac:dyDescent="0.2">
      <c r="A948">
        <v>947</v>
      </c>
      <c r="B948" s="626">
        <v>0</v>
      </c>
      <c r="C948" s="626">
        <v>1000000</v>
      </c>
      <c r="D948" s="626">
        <v>0</v>
      </c>
    </row>
    <row r="949" spans="1:4" x14ac:dyDescent="0.2">
      <c r="A949">
        <v>948</v>
      </c>
      <c r="B949" s="626">
        <v>0</v>
      </c>
      <c r="C949" s="626">
        <v>1000000</v>
      </c>
      <c r="D949" s="626">
        <v>0</v>
      </c>
    </row>
    <row r="950" spans="1:4" x14ac:dyDescent="0.2">
      <c r="A950">
        <v>949</v>
      </c>
      <c r="B950" s="626">
        <v>0</v>
      </c>
      <c r="C950" s="626">
        <v>1000000</v>
      </c>
      <c r="D950" s="626">
        <v>0</v>
      </c>
    </row>
    <row r="951" spans="1:4" x14ac:dyDescent="0.2">
      <c r="A951">
        <v>950</v>
      </c>
      <c r="B951" s="626">
        <v>0</v>
      </c>
      <c r="C951" s="626">
        <v>1000000</v>
      </c>
      <c r="D951" s="626">
        <v>0</v>
      </c>
    </row>
    <row r="952" spans="1:4" x14ac:dyDescent="0.2">
      <c r="A952">
        <v>951</v>
      </c>
      <c r="B952" s="626">
        <v>0</v>
      </c>
      <c r="C952" s="626">
        <v>1000000</v>
      </c>
      <c r="D952" s="626">
        <v>0</v>
      </c>
    </row>
    <row r="953" spans="1:4" x14ac:dyDescent="0.2">
      <c r="A953">
        <v>952</v>
      </c>
      <c r="B953" s="626">
        <v>0</v>
      </c>
      <c r="C953" s="626">
        <v>1000000</v>
      </c>
      <c r="D953" s="626">
        <v>0</v>
      </c>
    </row>
    <row r="954" spans="1:4" x14ac:dyDescent="0.2">
      <c r="A954">
        <v>953</v>
      </c>
      <c r="B954" s="626">
        <v>0</v>
      </c>
      <c r="C954" s="626">
        <v>1000000</v>
      </c>
      <c r="D954" s="626">
        <v>0</v>
      </c>
    </row>
    <row r="955" spans="1:4" x14ac:dyDescent="0.2">
      <c r="A955">
        <v>954</v>
      </c>
      <c r="B955" s="626">
        <v>0</v>
      </c>
      <c r="C955" s="626">
        <v>1000000</v>
      </c>
      <c r="D955" s="626">
        <v>0</v>
      </c>
    </row>
    <row r="956" spans="1:4" x14ac:dyDescent="0.2">
      <c r="A956">
        <v>955</v>
      </c>
      <c r="B956" s="626">
        <v>0</v>
      </c>
      <c r="C956" s="626">
        <v>1000000</v>
      </c>
      <c r="D956" s="626">
        <v>0</v>
      </c>
    </row>
    <row r="957" spans="1:4" x14ac:dyDescent="0.2">
      <c r="A957">
        <v>956</v>
      </c>
      <c r="B957" s="626">
        <v>0</v>
      </c>
      <c r="C957" s="626">
        <v>1000000</v>
      </c>
      <c r="D957" s="626">
        <v>0</v>
      </c>
    </row>
    <row r="958" spans="1:4" x14ac:dyDescent="0.2">
      <c r="A958">
        <v>957</v>
      </c>
      <c r="B958" s="626">
        <v>0</v>
      </c>
      <c r="C958" s="626">
        <v>1000000</v>
      </c>
      <c r="D958" s="626">
        <v>0</v>
      </c>
    </row>
    <row r="959" spans="1:4" x14ac:dyDescent="0.2">
      <c r="A959">
        <v>958</v>
      </c>
      <c r="B959" s="626">
        <v>0</v>
      </c>
      <c r="C959" s="626">
        <v>1000000</v>
      </c>
      <c r="D959" s="626">
        <v>0</v>
      </c>
    </row>
    <row r="960" spans="1:4" x14ac:dyDescent="0.2">
      <c r="A960">
        <v>959</v>
      </c>
      <c r="B960" s="626">
        <v>0</v>
      </c>
      <c r="C960" s="626">
        <v>1000000</v>
      </c>
      <c r="D960" s="626">
        <v>0</v>
      </c>
    </row>
    <row r="961" spans="1:4" x14ac:dyDescent="0.2">
      <c r="A961">
        <v>960</v>
      </c>
      <c r="B961" s="626">
        <v>0</v>
      </c>
      <c r="C961" s="626">
        <v>1000000</v>
      </c>
      <c r="D961" s="626">
        <v>0</v>
      </c>
    </row>
    <row r="962" spans="1:4" x14ac:dyDescent="0.2">
      <c r="A962">
        <v>961</v>
      </c>
      <c r="B962" s="626">
        <v>0</v>
      </c>
      <c r="C962" s="626">
        <v>1000000</v>
      </c>
      <c r="D962" s="626">
        <v>0</v>
      </c>
    </row>
    <row r="963" spans="1:4" x14ac:dyDescent="0.2">
      <c r="A963">
        <v>962</v>
      </c>
      <c r="B963" s="626">
        <v>0</v>
      </c>
      <c r="C963" s="626">
        <v>1000000</v>
      </c>
      <c r="D963" s="626">
        <v>0</v>
      </c>
    </row>
    <row r="964" spans="1:4" x14ac:dyDescent="0.2">
      <c r="A964">
        <v>963</v>
      </c>
      <c r="B964" s="626">
        <v>0</v>
      </c>
      <c r="C964" s="626">
        <v>1000000</v>
      </c>
      <c r="D964" s="626">
        <v>0</v>
      </c>
    </row>
    <row r="965" spans="1:4" x14ac:dyDescent="0.2">
      <c r="A965">
        <v>964</v>
      </c>
      <c r="B965" s="626">
        <v>0</v>
      </c>
      <c r="C965" s="626">
        <v>1000000</v>
      </c>
      <c r="D965" s="626">
        <v>0</v>
      </c>
    </row>
    <row r="966" spans="1:4" x14ac:dyDescent="0.2">
      <c r="A966">
        <v>965</v>
      </c>
      <c r="B966" s="626">
        <v>0</v>
      </c>
      <c r="C966" s="626">
        <v>1000000</v>
      </c>
      <c r="D966" s="626">
        <v>0</v>
      </c>
    </row>
    <row r="967" spans="1:4" x14ac:dyDescent="0.2">
      <c r="A967">
        <v>966</v>
      </c>
      <c r="B967" s="626">
        <v>0</v>
      </c>
      <c r="C967" s="626">
        <v>1000000</v>
      </c>
      <c r="D967" s="626">
        <v>0</v>
      </c>
    </row>
    <row r="968" spans="1:4" x14ac:dyDescent="0.2">
      <c r="A968">
        <v>967</v>
      </c>
      <c r="B968" s="626">
        <v>0</v>
      </c>
      <c r="C968" s="626">
        <v>1000000</v>
      </c>
      <c r="D968" s="626">
        <v>0</v>
      </c>
    </row>
    <row r="969" spans="1:4" x14ac:dyDescent="0.2">
      <c r="A969">
        <v>968</v>
      </c>
      <c r="B969" s="626">
        <v>0</v>
      </c>
      <c r="C969" s="626">
        <v>1000000</v>
      </c>
      <c r="D969" s="626">
        <v>0</v>
      </c>
    </row>
    <row r="970" spans="1:4" x14ac:dyDescent="0.2">
      <c r="A970">
        <v>969</v>
      </c>
      <c r="B970" s="626">
        <v>0</v>
      </c>
      <c r="C970" s="626">
        <v>1000000</v>
      </c>
      <c r="D970" s="626">
        <v>0</v>
      </c>
    </row>
    <row r="971" spans="1:4" x14ac:dyDescent="0.2">
      <c r="A971">
        <v>970</v>
      </c>
      <c r="B971" s="626">
        <v>0</v>
      </c>
      <c r="C971" s="626">
        <v>1000000</v>
      </c>
      <c r="D971" s="626">
        <v>0</v>
      </c>
    </row>
    <row r="972" spans="1:4" x14ac:dyDescent="0.2">
      <c r="A972">
        <v>971</v>
      </c>
      <c r="B972" s="626">
        <v>0</v>
      </c>
      <c r="C972" s="626">
        <v>1000000</v>
      </c>
      <c r="D972" s="626">
        <v>0</v>
      </c>
    </row>
    <row r="973" spans="1:4" x14ac:dyDescent="0.2">
      <c r="A973">
        <v>972</v>
      </c>
      <c r="B973" s="626">
        <v>0</v>
      </c>
      <c r="C973" s="626">
        <v>1000000</v>
      </c>
      <c r="D973" s="626">
        <v>0</v>
      </c>
    </row>
    <row r="974" spans="1:4" x14ac:dyDescent="0.2">
      <c r="A974">
        <v>973</v>
      </c>
      <c r="B974" s="626">
        <v>0</v>
      </c>
      <c r="C974" s="626">
        <v>1000000</v>
      </c>
      <c r="D974" s="626">
        <v>0</v>
      </c>
    </row>
    <row r="975" spans="1:4" x14ac:dyDescent="0.2">
      <c r="A975">
        <v>974</v>
      </c>
      <c r="B975" s="626">
        <v>0</v>
      </c>
      <c r="C975" s="626">
        <v>1000000</v>
      </c>
      <c r="D975" s="626">
        <v>0</v>
      </c>
    </row>
    <row r="976" spans="1:4" x14ac:dyDescent="0.2">
      <c r="A976">
        <v>975</v>
      </c>
      <c r="B976" s="626">
        <v>0</v>
      </c>
      <c r="C976" s="626">
        <v>1000000</v>
      </c>
      <c r="D976" s="626">
        <v>0</v>
      </c>
    </row>
    <row r="977" spans="1:4" x14ac:dyDescent="0.2">
      <c r="A977">
        <v>976</v>
      </c>
      <c r="B977" s="626">
        <v>0</v>
      </c>
      <c r="C977" s="626">
        <v>1000000</v>
      </c>
      <c r="D977" s="626">
        <v>0</v>
      </c>
    </row>
    <row r="978" spans="1:4" x14ac:dyDescent="0.2">
      <c r="A978">
        <v>977</v>
      </c>
      <c r="B978" s="626">
        <v>0</v>
      </c>
      <c r="C978" s="626">
        <v>1000000</v>
      </c>
      <c r="D978" s="626">
        <v>0</v>
      </c>
    </row>
    <row r="979" spans="1:4" x14ac:dyDescent="0.2">
      <c r="A979">
        <v>978</v>
      </c>
      <c r="B979" s="626">
        <v>0</v>
      </c>
      <c r="C979" s="626">
        <v>1000000</v>
      </c>
      <c r="D979" s="626">
        <v>0</v>
      </c>
    </row>
    <row r="980" spans="1:4" x14ac:dyDescent="0.2">
      <c r="A980">
        <v>979</v>
      </c>
      <c r="B980" s="626">
        <v>0</v>
      </c>
      <c r="C980" s="626">
        <v>1000000</v>
      </c>
      <c r="D980" s="626">
        <v>0</v>
      </c>
    </row>
    <row r="981" spans="1:4" x14ac:dyDescent="0.2">
      <c r="A981">
        <v>980</v>
      </c>
      <c r="B981" s="626">
        <v>0</v>
      </c>
      <c r="C981" s="626">
        <v>1000000</v>
      </c>
      <c r="D981" s="626">
        <v>0</v>
      </c>
    </row>
    <row r="982" spans="1:4" x14ac:dyDescent="0.2">
      <c r="A982">
        <v>981</v>
      </c>
      <c r="B982" s="626">
        <v>0</v>
      </c>
      <c r="C982" s="626">
        <v>1000000</v>
      </c>
      <c r="D982" s="626">
        <v>0</v>
      </c>
    </row>
    <row r="983" spans="1:4" x14ac:dyDescent="0.2">
      <c r="A983">
        <v>982</v>
      </c>
      <c r="B983" s="626">
        <v>0</v>
      </c>
      <c r="C983" s="626">
        <v>1000000</v>
      </c>
      <c r="D983" s="626">
        <v>0</v>
      </c>
    </row>
    <row r="984" spans="1:4" x14ac:dyDescent="0.2">
      <c r="A984">
        <v>983</v>
      </c>
      <c r="B984" s="626">
        <v>0</v>
      </c>
      <c r="C984" s="626">
        <v>1000000</v>
      </c>
      <c r="D984" s="626">
        <v>0</v>
      </c>
    </row>
    <row r="985" spans="1:4" x14ac:dyDescent="0.2">
      <c r="A985">
        <v>984</v>
      </c>
      <c r="B985" s="626">
        <v>0</v>
      </c>
      <c r="C985" s="626">
        <v>1000000</v>
      </c>
      <c r="D985" s="626">
        <v>0</v>
      </c>
    </row>
    <row r="986" spans="1:4" x14ac:dyDescent="0.2">
      <c r="A986">
        <v>985</v>
      </c>
      <c r="B986" s="626">
        <v>0</v>
      </c>
      <c r="C986" s="626">
        <v>1000000</v>
      </c>
      <c r="D986" s="626">
        <v>0</v>
      </c>
    </row>
    <row r="987" spans="1:4" x14ac:dyDescent="0.2">
      <c r="A987">
        <v>986</v>
      </c>
      <c r="B987" s="626">
        <v>0</v>
      </c>
      <c r="C987" s="626">
        <v>1000000</v>
      </c>
      <c r="D987" s="626">
        <v>0</v>
      </c>
    </row>
    <row r="988" spans="1:4" x14ac:dyDescent="0.2">
      <c r="A988">
        <v>987</v>
      </c>
      <c r="B988" s="626">
        <v>0</v>
      </c>
      <c r="C988" s="626">
        <v>1000000</v>
      </c>
      <c r="D988" s="626">
        <v>0</v>
      </c>
    </row>
    <row r="989" spans="1:4" x14ac:dyDescent="0.2">
      <c r="A989">
        <v>988</v>
      </c>
      <c r="B989" s="626">
        <v>0</v>
      </c>
      <c r="C989" s="626">
        <v>1000000</v>
      </c>
      <c r="D989" s="626">
        <v>0</v>
      </c>
    </row>
    <row r="990" spans="1:4" x14ac:dyDescent="0.2">
      <c r="A990">
        <v>989</v>
      </c>
      <c r="B990" s="626">
        <v>0</v>
      </c>
      <c r="C990" s="626">
        <v>1000000</v>
      </c>
      <c r="D990" s="626">
        <v>0</v>
      </c>
    </row>
    <row r="991" spans="1:4" x14ac:dyDescent="0.2">
      <c r="A991">
        <v>990</v>
      </c>
      <c r="B991" s="626">
        <v>0</v>
      </c>
      <c r="C991" s="626">
        <v>1000000</v>
      </c>
      <c r="D991" s="626">
        <v>0</v>
      </c>
    </row>
    <row r="992" spans="1:4" x14ac:dyDescent="0.2">
      <c r="A992">
        <v>991</v>
      </c>
      <c r="B992" s="626">
        <v>0</v>
      </c>
      <c r="C992" s="626">
        <v>1000000</v>
      </c>
      <c r="D992" s="626">
        <v>0</v>
      </c>
    </row>
    <row r="993" spans="1:4" x14ac:dyDescent="0.2">
      <c r="A993">
        <v>992</v>
      </c>
      <c r="B993" s="626">
        <v>0</v>
      </c>
      <c r="C993" s="626">
        <v>1000000</v>
      </c>
      <c r="D993" s="626">
        <v>0</v>
      </c>
    </row>
    <row r="994" spans="1:4" x14ac:dyDescent="0.2">
      <c r="A994">
        <v>993</v>
      </c>
      <c r="B994" s="626">
        <v>0</v>
      </c>
      <c r="C994" s="626">
        <v>1000000</v>
      </c>
      <c r="D994" s="626">
        <v>0</v>
      </c>
    </row>
    <row r="995" spans="1:4" x14ac:dyDescent="0.2">
      <c r="A995">
        <v>994</v>
      </c>
      <c r="B995" s="626">
        <v>0</v>
      </c>
      <c r="C995" s="626">
        <v>1000000</v>
      </c>
      <c r="D995" s="626">
        <v>0</v>
      </c>
    </row>
    <row r="996" spans="1:4" x14ac:dyDescent="0.2">
      <c r="A996">
        <v>995</v>
      </c>
      <c r="B996" s="626">
        <v>0</v>
      </c>
      <c r="C996" s="626">
        <v>1000000</v>
      </c>
      <c r="D996" s="626">
        <v>0</v>
      </c>
    </row>
    <row r="997" spans="1:4" x14ac:dyDescent="0.2">
      <c r="A997">
        <v>996</v>
      </c>
      <c r="B997" s="626">
        <v>0</v>
      </c>
      <c r="C997" s="626">
        <v>1000000</v>
      </c>
      <c r="D997" s="626">
        <v>0</v>
      </c>
    </row>
    <row r="998" spans="1:4" x14ac:dyDescent="0.2">
      <c r="A998">
        <v>997</v>
      </c>
      <c r="B998" s="626">
        <v>0</v>
      </c>
      <c r="C998" s="626">
        <v>1000000</v>
      </c>
      <c r="D998" s="626">
        <v>0</v>
      </c>
    </row>
    <row r="999" spans="1:4" x14ac:dyDescent="0.2">
      <c r="A999">
        <v>998</v>
      </c>
      <c r="B999" s="626">
        <v>0</v>
      </c>
      <c r="C999" s="626">
        <v>1000000</v>
      </c>
      <c r="D999" s="626">
        <v>0</v>
      </c>
    </row>
    <row r="1000" spans="1:4" x14ac:dyDescent="0.2">
      <c r="A1000">
        <v>999</v>
      </c>
      <c r="B1000" s="626">
        <v>0</v>
      </c>
      <c r="C1000" s="626">
        <v>1000000</v>
      </c>
      <c r="D1000" s="626">
        <v>0</v>
      </c>
    </row>
    <row r="1001" spans="1:4" x14ac:dyDescent="0.2">
      <c r="A1001">
        <v>1000</v>
      </c>
      <c r="B1001" s="626">
        <v>0</v>
      </c>
      <c r="C1001" s="626">
        <v>1000000</v>
      </c>
      <c r="D1001" s="626">
        <v>0</v>
      </c>
    </row>
    <row r="1002" spans="1:4" x14ac:dyDescent="0.2">
      <c r="A1002">
        <v>1001</v>
      </c>
      <c r="B1002" s="626">
        <v>0</v>
      </c>
      <c r="C1002" s="626">
        <v>1000000</v>
      </c>
      <c r="D1002" s="626">
        <v>0</v>
      </c>
    </row>
    <row r="1003" spans="1:4" x14ac:dyDescent="0.2">
      <c r="A1003">
        <v>1002</v>
      </c>
      <c r="B1003" s="626">
        <v>0</v>
      </c>
      <c r="C1003" s="626">
        <v>1000000</v>
      </c>
      <c r="D1003" s="626">
        <v>0</v>
      </c>
    </row>
    <row r="1004" spans="1:4" x14ac:dyDescent="0.2">
      <c r="A1004">
        <v>1003</v>
      </c>
      <c r="B1004" s="626">
        <v>0</v>
      </c>
      <c r="C1004" s="626">
        <v>1000000</v>
      </c>
      <c r="D1004" s="626">
        <v>0</v>
      </c>
    </row>
    <row r="1005" spans="1:4" x14ac:dyDescent="0.2">
      <c r="A1005">
        <v>1004</v>
      </c>
      <c r="B1005" s="626">
        <v>0</v>
      </c>
      <c r="C1005" s="626">
        <v>1000000</v>
      </c>
      <c r="D1005" s="626">
        <v>0</v>
      </c>
    </row>
    <row r="1006" spans="1:4" x14ac:dyDescent="0.2">
      <c r="A1006">
        <v>1005</v>
      </c>
      <c r="B1006" s="626">
        <v>0</v>
      </c>
      <c r="C1006" s="626">
        <v>1000000</v>
      </c>
      <c r="D1006" s="626">
        <v>0</v>
      </c>
    </row>
    <row r="1007" spans="1:4" x14ac:dyDescent="0.2">
      <c r="A1007">
        <v>1006</v>
      </c>
      <c r="B1007" s="626">
        <v>0</v>
      </c>
      <c r="C1007" s="626">
        <v>1000000</v>
      </c>
      <c r="D1007" s="626">
        <v>0</v>
      </c>
    </row>
    <row r="1008" spans="1:4" x14ac:dyDescent="0.2">
      <c r="A1008">
        <v>1007</v>
      </c>
      <c r="B1008" s="626">
        <v>0</v>
      </c>
      <c r="C1008" s="626">
        <v>1000000</v>
      </c>
      <c r="D1008" s="626">
        <v>0</v>
      </c>
    </row>
    <row r="1009" spans="1:4" x14ac:dyDescent="0.2">
      <c r="A1009">
        <v>1008</v>
      </c>
      <c r="B1009" s="626">
        <v>0</v>
      </c>
      <c r="C1009" s="626">
        <v>1000000</v>
      </c>
      <c r="D1009" s="626">
        <v>0</v>
      </c>
    </row>
    <row r="1010" spans="1:4" x14ac:dyDescent="0.2">
      <c r="A1010">
        <v>1009</v>
      </c>
      <c r="B1010" s="626">
        <v>0</v>
      </c>
      <c r="C1010" s="626">
        <v>1000000</v>
      </c>
      <c r="D1010" s="626">
        <v>0</v>
      </c>
    </row>
    <row r="1011" spans="1:4" x14ac:dyDescent="0.2">
      <c r="A1011">
        <v>1010</v>
      </c>
      <c r="B1011" s="626">
        <v>0</v>
      </c>
      <c r="C1011" s="626">
        <v>1000000</v>
      </c>
      <c r="D1011" s="626">
        <v>0</v>
      </c>
    </row>
    <row r="1012" spans="1:4" x14ac:dyDescent="0.2">
      <c r="A1012">
        <v>1011</v>
      </c>
      <c r="B1012" s="626">
        <v>0</v>
      </c>
      <c r="C1012" s="626">
        <v>1000000</v>
      </c>
      <c r="D1012" s="626">
        <v>0</v>
      </c>
    </row>
    <row r="1013" spans="1:4" x14ac:dyDescent="0.2">
      <c r="A1013">
        <v>1012</v>
      </c>
      <c r="B1013" s="626">
        <v>0</v>
      </c>
      <c r="C1013" s="626">
        <v>1000000</v>
      </c>
      <c r="D1013" s="626">
        <v>0</v>
      </c>
    </row>
    <row r="1014" spans="1:4" x14ac:dyDescent="0.2">
      <c r="A1014">
        <v>1013</v>
      </c>
      <c r="B1014" s="626">
        <v>0</v>
      </c>
      <c r="C1014" s="626">
        <v>1000000</v>
      </c>
      <c r="D1014" s="626">
        <v>0</v>
      </c>
    </row>
    <row r="1015" spans="1:4" x14ac:dyDescent="0.2">
      <c r="A1015">
        <v>1014</v>
      </c>
      <c r="B1015" s="626">
        <v>0</v>
      </c>
      <c r="C1015" s="626">
        <v>1000000</v>
      </c>
      <c r="D1015" s="626">
        <v>0</v>
      </c>
    </row>
    <row r="1016" spans="1:4" x14ac:dyDescent="0.2">
      <c r="A1016">
        <v>1015</v>
      </c>
      <c r="B1016" s="626">
        <v>0</v>
      </c>
      <c r="C1016" s="626">
        <v>1000000</v>
      </c>
      <c r="D1016" s="626">
        <v>0</v>
      </c>
    </row>
    <row r="1017" spans="1:4" x14ac:dyDescent="0.2">
      <c r="A1017">
        <v>1016</v>
      </c>
      <c r="B1017" s="626">
        <v>0</v>
      </c>
      <c r="C1017" s="626">
        <v>1000000</v>
      </c>
      <c r="D1017" s="626">
        <v>0</v>
      </c>
    </row>
    <row r="1018" spans="1:4" x14ac:dyDescent="0.2">
      <c r="A1018">
        <v>1017</v>
      </c>
      <c r="B1018" s="626">
        <v>0</v>
      </c>
      <c r="C1018" s="626">
        <v>1000000</v>
      </c>
      <c r="D1018" s="626">
        <v>0</v>
      </c>
    </row>
    <row r="1019" spans="1:4" x14ac:dyDescent="0.2">
      <c r="A1019">
        <v>1018</v>
      </c>
      <c r="B1019" s="626">
        <v>0</v>
      </c>
      <c r="C1019" s="626">
        <v>1000000</v>
      </c>
      <c r="D1019" s="626">
        <v>0</v>
      </c>
    </row>
    <row r="1020" spans="1:4" x14ac:dyDescent="0.2">
      <c r="A1020">
        <v>1019</v>
      </c>
      <c r="B1020" s="626">
        <v>0</v>
      </c>
      <c r="C1020" s="626">
        <v>1000000</v>
      </c>
      <c r="D1020" s="626">
        <v>0</v>
      </c>
    </row>
    <row r="1021" spans="1:4" x14ac:dyDescent="0.2">
      <c r="A1021">
        <v>1020</v>
      </c>
      <c r="B1021" s="626">
        <v>0</v>
      </c>
      <c r="C1021" s="626">
        <v>1000000</v>
      </c>
      <c r="D1021" s="626">
        <v>0</v>
      </c>
    </row>
    <row r="1022" spans="1:4" x14ac:dyDescent="0.2">
      <c r="A1022">
        <v>1021</v>
      </c>
      <c r="B1022" s="626">
        <v>0</v>
      </c>
      <c r="C1022" s="626">
        <v>1000000</v>
      </c>
      <c r="D1022" s="626">
        <v>0</v>
      </c>
    </row>
    <row r="1023" spans="1:4" x14ac:dyDescent="0.2">
      <c r="A1023">
        <v>1022</v>
      </c>
      <c r="B1023" s="626">
        <v>0</v>
      </c>
      <c r="C1023" s="626">
        <v>1000000</v>
      </c>
      <c r="D1023" s="626">
        <v>0</v>
      </c>
    </row>
    <row r="1024" spans="1:4" x14ac:dyDescent="0.2">
      <c r="A1024">
        <v>1023</v>
      </c>
      <c r="B1024" s="626">
        <v>0</v>
      </c>
      <c r="C1024" s="626">
        <v>1000000</v>
      </c>
      <c r="D1024" s="626">
        <v>0</v>
      </c>
    </row>
    <row r="1025" spans="1:4" x14ac:dyDescent="0.2">
      <c r="A1025">
        <v>1024</v>
      </c>
      <c r="B1025" s="626">
        <v>0</v>
      </c>
      <c r="C1025" s="626">
        <v>1000000</v>
      </c>
      <c r="D1025" s="626">
        <v>0</v>
      </c>
    </row>
    <row r="1026" spans="1:4" x14ac:dyDescent="0.2">
      <c r="A1026">
        <v>1025</v>
      </c>
      <c r="B1026" s="626">
        <v>0</v>
      </c>
      <c r="C1026" s="626">
        <v>1000000</v>
      </c>
      <c r="D1026" s="626">
        <v>0</v>
      </c>
    </row>
    <row r="1027" spans="1:4" x14ac:dyDescent="0.2">
      <c r="A1027">
        <v>1026</v>
      </c>
      <c r="B1027" s="626">
        <v>0</v>
      </c>
      <c r="C1027" s="626">
        <v>1000000</v>
      </c>
      <c r="D1027" s="626">
        <v>0</v>
      </c>
    </row>
    <row r="1028" spans="1:4" x14ac:dyDescent="0.2">
      <c r="A1028">
        <v>1027</v>
      </c>
      <c r="B1028" s="626">
        <v>0</v>
      </c>
      <c r="C1028" s="626">
        <v>1000000</v>
      </c>
      <c r="D1028" s="626">
        <v>0</v>
      </c>
    </row>
    <row r="1029" spans="1:4" x14ac:dyDescent="0.2">
      <c r="A1029">
        <v>1028</v>
      </c>
      <c r="B1029" s="626">
        <v>0</v>
      </c>
      <c r="C1029" s="626">
        <v>1000000</v>
      </c>
      <c r="D1029" s="626">
        <v>0</v>
      </c>
    </row>
    <row r="1030" spans="1:4" x14ac:dyDescent="0.2">
      <c r="A1030">
        <v>1029</v>
      </c>
      <c r="B1030" s="626">
        <v>0</v>
      </c>
      <c r="C1030" s="626">
        <v>1000000</v>
      </c>
      <c r="D1030" s="626">
        <v>0</v>
      </c>
    </row>
    <row r="1031" spans="1:4" x14ac:dyDescent="0.2">
      <c r="A1031">
        <v>1030</v>
      </c>
      <c r="B1031" s="626">
        <v>0</v>
      </c>
      <c r="C1031" s="626">
        <v>1000000</v>
      </c>
      <c r="D1031" s="626">
        <v>0</v>
      </c>
    </row>
    <row r="1032" spans="1:4" x14ac:dyDescent="0.2">
      <c r="A1032">
        <v>1031</v>
      </c>
      <c r="B1032" s="626">
        <v>0</v>
      </c>
      <c r="C1032" s="626">
        <v>1000000</v>
      </c>
      <c r="D1032" s="626">
        <v>0</v>
      </c>
    </row>
    <row r="1033" spans="1:4" x14ac:dyDescent="0.2">
      <c r="A1033">
        <v>1032</v>
      </c>
      <c r="B1033" s="626">
        <v>0</v>
      </c>
      <c r="C1033" s="626">
        <v>1000000</v>
      </c>
      <c r="D1033" s="626">
        <v>0</v>
      </c>
    </row>
    <row r="1034" spans="1:4" x14ac:dyDescent="0.2">
      <c r="A1034">
        <v>1033</v>
      </c>
      <c r="B1034" s="626">
        <v>0</v>
      </c>
      <c r="C1034" s="626">
        <v>1000000</v>
      </c>
      <c r="D1034" s="626">
        <v>0</v>
      </c>
    </row>
    <row r="1035" spans="1:4" x14ac:dyDescent="0.2">
      <c r="A1035">
        <v>1034</v>
      </c>
      <c r="B1035" s="626">
        <v>0</v>
      </c>
      <c r="C1035" s="626">
        <v>1000000</v>
      </c>
      <c r="D1035" s="626">
        <v>0</v>
      </c>
    </row>
    <row r="1036" spans="1:4" x14ac:dyDescent="0.2">
      <c r="A1036">
        <v>1035</v>
      </c>
      <c r="B1036" s="626">
        <v>0</v>
      </c>
      <c r="C1036" s="626">
        <v>1000000</v>
      </c>
      <c r="D1036" s="626">
        <v>0</v>
      </c>
    </row>
    <row r="1037" spans="1:4" x14ac:dyDescent="0.2">
      <c r="A1037">
        <v>1036</v>
      </c>
      <c r="B1037" s="626">
        <v>0</v>
      </c>
      <c r="C1037" s="626">
        <v>1000000</v>
      </c>
      <c r="D1037" s="626">
        <v>0</v>
      </c>
    </row>
    <row r="1038" spans="1:4" x14ac:dyDescent="0.2">
      <c r="A1038">
        <v>1037</v>
      </c>
      <c r="B1038" s="626">
        <v>0</v>
      </c>
      <c r="C1038" s="626">
        <v>1000000</v>
      </c>
      <c r="D1038" s="626">
        <v>0</v>
      </c>
    </row>
    <row r="1039" spans="1:4" x14ac:dyDescent="0.2">
      <c r="A1039">
        <v>1038</v>
      </c>
      <c r="B1039" s="626">
        <v>0</v>
      </c>
      <c r="C1039" s="626">
        <v>1000000</v>
      </c>
      <c r="D1039" s="626">
        <v>0</v>
      </c>
    </row>
    <row r="1040" spans="1:4" x14ac:dyDescent="0.2">
      <c r="A1040">
        <v>1039</v>
      </c>
      <c r="B1040" s="626">
        <v>0</v>
      </c>
      <c r="C1040" s="626">
        <v>1000000</v>
      </c>
      <c r="D1040" s="626">
        <v>0</v>
      </c>
    </row>
    <row r="1041" spans="1:4" x14ac:dyDescent="0.2">
      <c r="A1041">
        <v>1040</v>
      </c>
      <c r="B1041" s="626">
        <v>0</v>
      </c>
      <c r="C1041" s="626">
        <v>1000000</v>
      </c>
      <c r="D1041" s="626">
        <v>0</v>
      </c>
    </row>
    <row r="1042" spans="1:4" x14ac:dyDescent="0.2">
      <c r="A1042">
        <v>1041</v>
      </c>
      <c r="B1042" s="626">
        <v>0</v>
      </c>
      <c r="C1042" s="626">
        <v>1000000</v>
      </c>
      <c r="D1042" s="626">
        <v>0</v>
      </c>
    </row>
    <row r="1043" spans="1:4" x14ac:dyDescent="0.2">
      <c r="A1043">
        <v>1042</v>
      </c>
      <c r="B1043" s="626">
        <v>0</v>
      </c>
      <c r="C1043" s="626">
        <v>1000000</v>
      </c>
      <c r="D1043" s="626">
        <v>0</v>
      </c>
    </row>
    <row r="1044" spans="1:4" x14ac:dyDescent="0.2">
      <c r="A1044">
        <v>1043</v>
      </c>
      <c r="B1044" s="626">
        <v>0</v>
      </c>
      <c r="C1044" s="626">
        <v>1000000</v>
      </c>
      <c r="D1044" s="626">
        <v>0</v>
      </c>
    </row>
    <row r="1045" spans="1:4" x14ac:dyDescent="0.2">
      <c r="A1045">
        <v>1044</v>
      </c>
      <c r="B1045" s="626">
        <v>0</v>
      </c>
      <c r="C1045" s="626">
        <v>1000000</v>
      </c>
      <c r="D1045" s="626">
        <v>0</v>
      </c>
    </row>
    <row r="1046" spans="1:4" x14ac:dyDescent="0.2">
      <c r="A1046">
        <v>1045</v>
      </c>
      <c r="B1046" s="626">
        <v>0</v>
      </c>
      <c r="C1046" s="626">
        <v>1000000</v>
      </c>
      <c r="D1046" s="626">
        <v>0</v>
      </c>
    </row>
    <row r="1047" spans="1:4" x14ac:dyDescent="0.2">
      <c r="A1047">
        <v>1046</v>
      </c>
      <c r="B1047" s="626">
        <v>0</v>
      </c>
      <c r="C1047" s="626">
        <v>1000000</v>
      </c>
      <c r="D1047" s="626">
        <v>0</v>
      </c>
    </row>
    <row r="1048" spans="1:4" x14ac:dyDescent="0.2">
      <c r="A1048">
        <v>1047</v>
      </c>
      <c r="B1048" s="626">
        <v>0</v>
      </c>
      <c r="C1048" s="626">
        <v>1000000</v>
      </c>
      <c r="D1048" s="626">
        <v>0</v>
      </c>
    </row>
    <row r="1049" spans="1:4" x14ac:dyDescent="0.2">
      <c r="A1049">
        <v>1048</v>
      </c>
      <c r="B1049" s="626">
        <v>0</v>
      </c>
      <c r="C1049" s="626">
        <v>1000000</v>
      </c>
      <c r="D1049" s="626">
        <v>0</v>
      </c>
    </row>
    <row r="1050" spans="1:4" x14ac:dyDescent="0.2">
      <c r="A1050">
        <v>1049</v>
      </c>
      <c r="B1050" s="626">
        <v>0</v>
      </c>
      <c r="C1050" s="626">
        <v>1000000</v>
      </c>
      <c r="D1050" s="626">
        <v>0</v>
      </c>
    </row>
    <row r="1051" spans="1:4" x14ac:dyDescent="0.2">
      <c r="A1051">
        <v>1050</v>
      </c>
      <c r="B1051" s="626">
        <v>0</v>
      </c>
      <c r="C1051" s="626">
        <v>1000000</v>
      </c>
      <c r="D1051" s="626">
        <v>0</v>
      </c>
    </row>
    <row r="1052" spans="1:4" x14ac:dyDescent="0.2">
      <c r="A1052">
        <v>1051</v>
      </c>
      <c r="B1052" s="626">
        <v>0</v>
      </c>
      <c r="C1052" s="626">
        <v>1000000</v>
      </c>
      <c r="D1052" s="626">
        <v>0</v>
      </c>
    </row>
    <row r="1053" spans="1:4" x14ac:dyDescent="0.2">
      <c r="A1053">
        <v>1052</v>
      </c>
      <c r="B1053" s="626">
        <v>0</v>
      </c>
      <c r="C1053" s="626">
        <v>1000000</v>
      </c>
      <c r="D1053" s="626">
        <v>0</v>
      </c>
    </row>
    <row r="1054" spans="1:4" x14ac:dyDescent="0.2">
      <c r="A1054">
        <v>1053</v>
      </c>
      <c r="B1054" s="626">
        <v>0</v>
      </c>
      <c r="C1054" s="626">
        <v>1000000</v>
      </c>
      <c r="D1054" s="626">
        <v>0</v>
      </c>
    </row>
    <row r="1055" spans="1:4" x14ac:dyDescent="0.2">
      <c r="A1055">
        <v>1054</v>
      </c>
      <c r="B1055" s="626">
        <v>0</v>
      </c>
      <c r="C1055" s="626">
        <v>1000000</v>
      </c>
      <c r="D1055" s="626">
        <v>0</v>
      </c>
    </row>
    <row r="1056" spans="1:4" x14ac:dyDescent="0.2">
      <c r="A1056">
        <v>1055</v>
      </c>
      <c r="B1056" s="626">
        <v>0</v>
      </c>
      <c r="C1056" s="626">
        <v>1000000</v>
      </c>
      <c r="D1056" s="626">
        <v>0</v>
      </c>
    </row>
    <row r="1057" spans="1:4" x14ac:dyDescent="0.2">
      <c r="A1057">
        <v>1056</v>
      </c>
      <c r="B1057" s="626">
        <v>0</v>
      </c>
      <c r="C1057" s="626">
        <v>1000000</v>
      </c>
      <c r="D1057" s="626">
        <v>0</v>
      </c>
    </row>
    <row r="1058" spans="1:4" x14ac:dyDescent="0.2">
      <c r="A1058">
        <v>1057</v>
      </c>
      <c r="B1058" s="626">
        <v>0</v>
      </c>
      <c r="C1058" s="626">
        <v>1000000</v>
      </c>
      <c r="D1058" s="626">
        <v>0</v>
      </c>
    </row>
    <row r="1059" spans="1:4" x14ac:dyDescent="0.2">
      <c r="A1059">
        <v>1058</v>
      </c>
      <c r="B1059" s="626">
        <v>0</v>
      </c>
      <c r="C1059" s="626">
        <v>1000000</v>
      </c>
      <c r="D1059" s="626">
        <v>0</v>
      </c>
    </row>
    <row r="1060" spans="1:4" x14ac:dyDescent="0.2">
      <c r="A1060">
        <v>1059</v>
      </c>
      <c r="B1060" s="626">
        <v>0</v>
      </c>
      <c r="C1060" s="626">
        <v>1000000</v>
      </c>
      <c r="D1060" s="626">
        <v>0</v>
      </c>
    </row>
    <row r="1061" spans="1:4" x14ac:dyDescent="0.2">
      <c r="A1061">
        <v>1060</v>
      </c>
      <c r="B1061" s="626">
        <v>0</v>
      </c>
      <c r="C1061" s="626">
        <v>1000000</v>
      </c>
      <c r="D1061" s="626">
        <v>0</v>
      </c>
    </row>
    <row r="1062" spans="1:4" x14ac:dyDescent="0.2">
      <c r="A1062">
        <v>1061</v>
      </c>
      <c r="B1062" s="626">
        <v>0</v>
      </c>
      <c r="C1062" s="626">
        <v>1000000</v>
      </c>
      <c r="D1062" s="626">
        <v>0</v>
      </c>
    </row>
    <row r="1063" spans="1:4" x14ac:dyDescent="0.2">
      <c r="A1063">
        <v>1062</v>
      </c>
      <c r="B1063" s="626">
        <v>0</v>
      </c>
      <c r="C1063" s="626">
        <v>1000000</v>
      </c>
      <c r="D1063" s="626">
        <v>0</v>
      </c>
    </row>
    <row r="1064" spans="1:4" x14ac:dyDescent="0.2">
      <c r="A1064">
        <v>1063</v>
      </c>
      <c r="B1064" s="626">
        <v>0</v>
      </c>
      <c r="C1064" s="626">
        <v>1000000</v>
      </c>
      <c r="D1064" s="626">
        <v>0</v>
      </c>
    </row>
    <row r="1065" spans="1:4" x14ac:dyDescent="0.2">
      <c r="A1065">
        <v>1064</v>
      </c>
      <c r="B1065" s="626">
        <v>0</v>
      </c>
      <c r="C1065" s="626">
        <v>1000000</v>
      </c>
      <c r="D1065" s="626">
        <v>0</v>
      </c>
    </row>
    <row r="1066" spans="1:4" x14ac:dyDescent="0.2">
      <c r="A1066">
        <v>1065</v>
      </c>
      <c r="B1066" s="626">
        <v>0</v>
      </c>
      <c r="C1066" s="626">
        <v>1000000</v>
      </c>
      <c r="D1066" s="626">
        <v>0</v>
      </c>
    </row>
    <row r="1067" spans="1:4" x14ac:dyDescent="0.2">
      <c r="A1067">
        <v>1066</v>
      </c>
      <c r="B1067" s="626">
        <v>0</v>
      </c>
      <c r="C1067" s="626">
        <v>1000000</v>
      </c>
      <c r="D1067" s="626">
        <v>0</v>
      </c>
    </row>
    <row r="1068" spans="1:4" x14ac:dyDescent="0.2">
      <c r="A1068">
        <v>1067</v>
      </c>
      <c r="B1068" s="626">
        <v>0</v>
      </c>
      <c r="C1068" s="626">
        <v>1000000</v>
      </c>
      <c r="D1068" s="626">
        <v>0</v>
      </c>
    </row>
    <row r="1069" spans="1:4" x14ac:dyDescent="0.2">
      <c r="A1069">
        <v>1068</v>
      </c>
      <c r="B1069" s="626">
        <v>0</v>
      </c>
      <c r="C1069" s="626">
        <v>1000000</v>
      </c>
      <c r="D1069" s="626">
        <v>0</v>
      </c>
    </row>
    <row r="1070" spans="1:4" x14ac:dyDescent="0.2">
      <c r="A1070">
        <v>1069</v>
      </c>
      <c r="B1070" s="626">
        <v>0</v>
      </c>
      <c r="C1070" s="626">
        <v>1000000</v>
      </c>
      <c r="D1070" s="626">
        <v>0</v>
      </c>
    </row>
    <row r="1071" spans="1:4" x14ac:dyDescent="0.2">
      <c r="A1071">
        <v>1070</v>
      </c>
      <c r="B1071" s="626">
        <v>0</v>
      </c>
      <c r="C1071" s="626">
        <v>1000000</v>
      </c>
      <c r="D1071" s="626">
        <v>0</v>
      </c>
    </row>
    <row r="1072" spans="1:4" x14ac:dyDescent="0.2">
      <c r="A1072">
        <v>1071</v>
      </c>
      <c r="B1072" s="626">
        <v>0</v>
      </c>
      <c r="C1072" s="626">
        <v>1000000</v>
      </c>
      <c r="D1072" s="626">
        <v>0</v>
      </c>
    </row>
    <row r="1073" spans="1:4" x14ac:dyDescent="0.2">
      <c r="A1073">
        <v>1072</v>
      </c>
      <c r="B1073" s="626">
        <v>0</v>
      </c>
      <c r="C1073" s="626">
        <v>1000000</v>
      </c>
      <c r="D1073" s="626">
        <v>0</v>
      </c>
    </row>
    <row r="1074" spans="1:4" x14ac:dyDescent="0.2">
      <c r="A1074">
        <v>1073</v>
      </c>
      <c r="B1074" s="626">
        <v>0</v>
      </c>
      <c r="C1074" s="626">
        <v>1000000</v>
      </c>
      <c r="D1074" s="626">
        <v>0</v>
      </c>
    </row>
    <row r="1075" spans="1:4" x14ac:dyDescent="0.2">
      <c r="A1075">
        <v>1074</v>
      </c>
      <c r="B1075" s="626">
        <v>0</v>
      </c>
      <c r="C1075" s="626">
        <v>1000000</v>
      </c>
      <c r="D1075" s="626">
        <v>0</v>
      </c>
    </row>
    <row r="1076" spans="1:4" x14ac:dyDescent="0.2">
      <c r="A1076">
        <v>1075</v>
      </c>
      <c r="B1076" s="626">
        <v>0</v>
      </c>
      <c r="C1076" s="626">
        <v>1000000</v>
      </c>
      <c r="D1076" s="626">
        <v>0</v>
      </c>
    </row>
    <row r="1077" spans="1:4" x14ac:dyDescent="0.2">
      <c r="A1077">
        <v>1076</v>
      </c>
      <c r="B1077" s="626">
        <v>0</v>
      </c>
      <c r="C1077" s="626">
        <v>1000000</v>
      </c>
      <c r="D1077" s="626">
        <v>0</v>
      </c>
    </row>
    <row r="1078" spans="1:4" x14ac:dyDescent="0.2">
      <c r="A1078">
        <v>1077</v>
      </c>
      <c r="B1078" s="626">
        <v>0</v>
      </c>
      <c r="C1078" s="626">
        <v>1000000</v>
      </c>
      <c r="D1078" s="626">
        <v>0</v>
      </c>
    </row>
    <row r="1079" spans="1:4" x14ac:dyDescent="0.2">
      <c r="A1079">
        <v>1078</v>
      </c>
      <c r="B1079" s="626">
        <v>0</v>
      </c>
      <c r="C1079" s="626">
        <v>1000000</v>
      </c>
      <c r="D1079" s="626">
        <v>0</v>
      </c>
    </row>
    <row r="1080" spans="1:4" x14ac:dyDescent="0.2">
      <c r="A1080">
        <v>1079</v>
      </c>
      <c r="B1080" s="626">
        <v>0</v>
      </c>
      <c r="C1080" s="626">
        <v>1000000</v>
      </c>
      <c r="D1080" s="626">
        <v>0</v>
      </c>
    </row>
    <row r="1081" spans="1:4" x14ac:dyDescent="0.2">
      <c r="A1081">
        <v>1080</v>
      </c>
      <c r="B1081" s="626">
        <v>0</v>
      </c>
      <c r="C1081" s="626">
        <v>1000000</v>
      </c>
      <c r="D1081" s="626">
        <v>0</v>
      </c>
    </row>
    <row r="1082" spans="1:4" x14ac:dyDescent="0.2">
      <c r="A1082">
        <v>1081</v>
      </c>
      <c r="B1082" s="626">
        <v>0</v>
      </c>
      <c r="C1082" s="626">
        <v>1000000</v>
      </c>
      <c r="D1082" s="626">
        <v>0</v>
      </c>
    </row>
    <row r="1083" spans="1:4" x14ac:dyDescent="0.2">
      <c r="A1083">
        <v>1082</v>
      </c>
      <c r="B1083" s="626">
        <v>0</v>
      </c>
      <c r="C1083" s="626">
        <v>1000000</v>
      </c>
      <c r="D1083" s="626">
        <v>0</v>
      </c>
    </row>
    <row r="1084" spans="1:4" x14ac:dyDescent="0.2">
      <c r="A1084">
        <v>1083</v>
      </c>
      <c r="B1084" s="626">
        <v>0</v>
      </c>
      <c r="C1084" s="626">
        <v>1000000</v>
      </c>
      <c r="D1084" s="626">
        <v>0</v>
      </c>
    </row>
    <row r="1085" spans="1:4" x14ac:dyDescent="0.2">
      <c r="A1085">
        <v>1084</v>
      </c>
      <c r="B1085" s="626">
        <v>0</v>
      </c>
      <c r="C1085" s="626">
        <v>1000000</v>
      </c>
      <c r="D1085" s="626">
        <v>0</v>
      </c>
    </row>
    <row r="1086" spans="1:4" x14ac:dyDescent="0.2">
      <c r="A1086">
        <v>1085</v>
      </c>
      <c r="B1086" s="626">
        <v>0</v>
      </c>
      <c r="C1086" s="626">
        <v>1000000</v>
      </c>
      <c r="D1086" s="626">
        <v>0</v>
      </c>
    </row>
    <row r="1087" spans="1:4" x14ac:dyDescent="0.2">
      <c r="A1087">
        <v>1086</v>
      </c>
      <c r="B1087" s="626">
        <v>0</v>
      </c>
      <c r="C1087" s="626">
        <v>1000000</v>
      </c>
      <c r="D1087" s="626">
        <v>0</v>
      </c>
    </row>
    <row r="1088" spans="1:4" x14ac:dyDescent="0.2">
      <c r="A1088">
        <v>1087</v>
      </c>
      <c r="B1088" s="626">
        <v>0</v>
      </c>
      <c r="C1088" s="626">
        <v>1000000</v>
      </c>
      <c r="D1088" s="626">
        <v>0</v>
      </c>
    </row>
    <row r="1089" spans="1:4" x14ac:dyDescent="0.2">
      <c r="A1089">
        <v>1088</v>
      </c>
      <c r="B1089" s="626">
        <v>0</v>
      </c>
      <c r="C1089" s="626">
        <v>1000000</v>
      </c>
      <c r="D1089" s="626">
        <v>0</v>
      </c>
    </row>
    <row r="1090" spans="1:4" x14ac:dyDescent="0.2">
      <c r="A1090">
        <v>1089</v>
      </c>
      <c r="B1090" s="626">
        <v>0</v>
      </c>
      <c r="C1090" s="626">
        <v>1000000</v>
      </c>
      <c r="D1090" s="626">
        <v>0</v>
      </c>
    </row>
    <row r="1091" spans="1:4" x14ac:dyDescent="0.2">
      <c r="A1091">
        <v>1090</v>
      </c>
      <c r="B1091" s="626">
        <v>0</v>
      </c>
      <c r="C1091" s="626">
        <v>1000000</v>
      </c>
      <c r="D1091" s="626">
        <v>0</v>
      </c>
    </row>
    <row r="1092" spans="1:4" x14ac:dyDescent="0.2">
      <c r="A1092">
        <v>1091</v>
      </c>
      <c r="B1092" s="626">
        <v>0</v>
      </c>
      <c r="C1092" s="626">
        <v>1000000</v>
      </c>
      <c r="D1092" s="626">
        <v>0</v>
      </c>
    </row>
    <row r="1093" spans="1:4" x14ac:dyDescent="0.2">
      <c r="A1093">
        <v>1092</v>
      </c>
      <c r="B1093" s="626">
        <v>0</v>
      </c>
      <c r="C1093" s="626">
        <v>1000000</v>
      </c>
      <c r="D1093" s="626">
        <v>0</v>
      </c>
    </row>
    <row r="1094" spans="1:4" x14ac:dyDescent="0.2">
      <c r="A1094">
        <v>1093</v>
      </c>
      <c r="B1094" s="626">
        <v>0</v>
      </c>
      <c r="C1094" s="626">
        <v>1000000</v>
      </c>
      <c r="D1094" s="626">
        <v>0</v>
      </c>
    </row>
    <row r="1095" spans="1:4" x14ac:dyDescent="0.2">
      <c r="A1095">
        <v>1094</v>
      </c>
      <c r="B1095" s="626">
        <v>0</v>
      </c>
      <c r="C1095" s="626">
        <v>1000000</v>
      </c>
      <c r="D1095" s="626">
        <v>0</v>
      </c>
    </row>
    <row r="1096" spans="1:4" x14ac:dyDescent="0.2">
      <c r="A1096">
        <v>1095</v>
      </c>
      <c r="B1096" s="626">
        <v>0</v>
      </c>
      <c r="C1096" s="626">
        <v>1000000</v>
      </c>
      <c r="D1096" s="626">
        <v>0</v>
      </c>
    </row>
    <row r="1097" spans="1:4" x14ac:dyDescent="0.2">
      <c r="A1097">
        <v>1096</v>
      </c>
      <c r="B1097" s="626">
        <v>0</v>
      </c>
      <c r="C1097" s="626">
        <v>1000000</v>
      </c>
      <c r="D1097" s="626">
        <v>0</v>
      </c>
    </row>
    <row r="1098" spans="1:4" x14ac:dyDescent="0.2">
      <c r="A1098">
        <v>1097</v>
      </c>
      <c r="B1098" s="626">
        <v>0</v>
      </c>
      <c r="C1098" s="626">
        <v>1000000</v>
      </c>
      <c r="D1098" s="626">
        <v>0</v>
      </c>
    </row>
    <row r="1099" spans="1:4" x14ac:dyDescent="0.2">
      <c r="A1099">
        <v>1098</v>
      </c>
      <c r="B1099" s="626">
        <v>0</v>
      </c>
      <c r="C1099" s="626">
        <v>1000000</v>
      </c>
      <c r="D1099" s="626">
        <v>0</v>
      </c>
    </row>
    <row r="1100" spans="1:4" x14ac:dyDescent="0.2">
      <c r="A1100">
        <v>1099</v>
      </c>
      <c r="B1100" s="626">
        <v>0</v>
      </c>
      <c r="C1100" s="626">
        <v>1000000</v>
      </c>
      <c r="D1100" s="626">
        <v>0</v>
      </c>
    </row>
    <row r="1101" spans="1:4" x14ac:dyDescent="0.2">
      <c r="A1101">
        <v>1100</v>
      </c>
      <c r="B1101" s="626">
        <v>0</v>
      </c>
      <c r="C1101" s="626">
        <v>1000000</v>
      </c>
      <c r="D1101" s="626">
        <v>0</v>
      </c>
    </row>
    <row r="1102" spans="1:4" x14ac:dyDescent="0.2">
      <c r="A1102">
        <v>1101</v>
      </c>
      <c r="B1102" s="626">
        <v>0</v>
      </c>
      <c r="C1102" s="626">
        <v>1000000</v>
      </c>
      <c r="D1102" s="626">
        <v>0</v>
      </c>
    </row>
    <row r="1103" spans="1:4" x14ac:dyDescent="0.2">
      <c r="A1103">
        <v>1102</v>
      </c>
      <c r="B1103" s="626">
        <v>0</v>
      </c>
      <c r="C1103" s="626">
        <v>1000000</v>
      </c>
      <c r="D1103" s="626">
        <v>0</v>
      </c>
    </row>
    <row r="1104" spans="1:4" x14ac:dyDescent="0.2">
      <c r="A1104">
        <v>1103</v>
      </c>
      <c r="B1104" s="626">
        <v>0</v>
      </c>
      <c r="C1104" s="626">
        <v>1000000</v>
      </c>
      <c r="D1104" s="626">
        <v>0</v>
      </c>
    </row>
    <row r="1105" spans="1:4" x14ac:dyDescent="0.2">
      <c r="A1105">
        <v>1104</v>
      </c>
      <c r="B1105" s="626">
        <v>0</v>
      </c>
      <c r="C1105" s="626">
        <v>1000000</v>
      </c>
      <c r="D1105" s="626">
        <v>0</v>
      </c>
    </row>
    <row r="1106" spans="1:4" x14ac:dyDescent="0.2">
      <c r="A1106">
        <v>1105</v>
      </c>
      <c r="B1106" s="626">
        <v>0</v>
      </c>
      <c r="C1106" s="626">
        <v>1000000</v>
      </c>
      <c r="D1106" s="626">
        <v>0</v>
      </c>
    </row>
    <row r="1107" spans="1:4" x14ac:dyDescent="0.2">
      <c r="A1107">
        <v>1106</v>
      </c>
      <c r="B1107" s="626">
        <v>0</v>
      </c>
      <c r="C1107" s="626">
        <v>1000000</v>
      </c>
      <c r="D1107" s="626">
        <v>0</v>
      </c>
    </row>
    <row r="1108" spans="1:4" x14ac:dyDescent="0.2">
      <c r="A1108">
        <v>1107</v>
      </c>
      <c r="B1108" s="626">
        <v>0</v>
      </c>
      <c r="C1108" s="626">
        <v>1000000</v>
      </c>
      <c r="D1108" s="626">
        <v>0</v>
      </c>
    </row>
    <row r="1109" spans="1:4" x14ac:dyDescent="0.2">
      <c r="A1109">
        <v>1108</v>
      </c>
      <c r="B1109" s="626">
        <v>0</v>
      </c>
      <c r="C1109" s="626">
        <v>1000000</v>
      </c>
      <c r="D1109" s="626">
        <v>0</v>
      </c>
    </row>
    <row r="1110" spans="1:4" x14ac:dyDescent="0.2">
      <c r="A1110">
        <v>1109</v>
      </c>
      <c r="B1110" s="626">
        <v>0</v>
      </c>
      <c r="C1110" s="626">
        <v>1000000</v>
      </c>
      <c r="D1110" s="626">
        <v>0</v>
      </c>
    </row>
    <row r="1111" spans="1:4" x14ac:dyDescent="0.2">
      <c r="A1111">
        <v>1110</v>
      </c>
      <c r="B1111" s="626">
        <v>0</v>
      </c>
      <c r="C1111" s="626">
        <v>1000000</v>
      </c>
      <c r="D1111" s="626">
        <v>0</v>
      </c>
    </row>
    <row r="1112" spans="1:4" x14ac:dyDescent="0.2">
      <c r="A1112">
        <v>1111</v>
      </c>
      <c r="B1112" s="626">
        <v>0</v>
      </c>
      <c r="C1112" s="626">
        <v>1000000</v>
      </c>
      <c r="D1112" s="626">
        <v>0</v>
      </c>
    </row>
    <row r="1113" spans="1:4" x14ac:dyDescent="0.2">
      <c r="A1113">
        <v>1112</v>
      </c>
      <c r="B1113" s="626">
        <v>0</v>
      </c>
      <c r="C1113" s="626">
        <v>1000000</v>
      </c>
      <c r="D1113" s="626">
        <v>0</v>
      </c>
    </row>
    <row r="1114" spans="1:4" x14ac:dyDescent="0.2">
      <c r="A1114">
        <v>1113</v>
      </c>
      <c r="B1114" s="626">
        <v>0</v>
      </c>
      <c r="C1114" s="626">
        <v>1000000</v>
      </c>
      <c r="D1114" s="626">
        <v>0</v>
      </c>
    </row>
    <row r="1115" spans="1:4" x14ac:dyDescent="0.2">
      <c r="A1115">
        <v>1114</v>
      </c>
      <c r="B1115" s="626">
        <v>0</v>
      </c>
      <c r="C1115" s="626">
        <v>1000000</v>
      </c>
      <c r="D1115" s="626">
        <v>0</v>
      </c>
    </row>
    <row r="1116" spans="1:4" x14ac:dyDescent="0.2">
      <c r="A1116">
        <v>1115</v>
      </c>
      <c r="B1116" s="626">
        <v>0</v>
      </c>
      <c r="C1116" s="626">
        <v>1000000</v>
      </c>
      <c r="D1116" s="626">
        <v>0</v>
      </c>
    </row>
    <row r="1117" spans="1:4" x14ac:dyDescent="0.2">
      <c r="A1117">
        <v>1116</v>
      </c>
      <c r="B1117" s="626">
        <v>0</v>
      </c>
      <c r="C1117" s="626">
        <v>1000000</v>
      </c>
      <c r="D1117" s="626">
        <v>0</v>
      </c>
    </row>
    <row r="1118" spans="1:4" x14ac:dyDescent="0.2">
      <c r="A1118">
        <v>1117</v>
      </c>
      <c r="B1118" s="626">
        <v>0</v>
      </c>
      <c r="C1118" s="626">
        <v>1000000</v>
      </c>
      <c r="D1118" s="626">
        <v>0</v>
      </c>
    </row>
    <row r="1119" spans="1:4" x14ac:dyDescent="0.2">
      <c r="A1119">
        <v>1118</v>
      </c>
      <c r="B1119" s="626">
        <v>0</v>
      </c>
      <c r="C1119" s="626">
        <v>1000000</v>
      </c>
      <c r="D1119" s="626">
        <v>0</v>
      </c>
    </row>
    <row r="1120" spans="1:4" x14ac:dyDescent="0.2">
      <c r="A1120">
        <v>1119</v>
      </c>
      <c r="B1120" s="626">
        <v>0</v>
      </c>
      <c r="C1120" s="626">
        <v>1000000</v>
      </c>
      <c r="D1120" s="626">
        <v>0</v>
      </c>
    </row>
    <row r="1121" spans="1:4" x14ac:dyDescent="0.2">
      <c r="A1121">
        <v>1120</v>
      </c>
      <c r="B1121" s="626">
        <v>0</v>
      </c>
      <c r="C1121" s="626">
        <v>1000000</v>
      </c>
      <c r="D1121" s="626">
        <v>0</v>
      </c>
    </row>
    <row r="1122" spans="1:4" x14ac:dyDescent="0.2">
      <c r="A1122">
        <v>1121</v>
      </c>
      <c r="B1122" s="626">
        <v>0</v>
      </c>
      <c r="C1122" s="626">
        <v>1000000</v>
      </c>
      <c r="D1122" s="626">
        <v>0</v>
      </c>
    </row>
    <row r="1123" spans="1:4" x14ac:dyDescent="0.2">
      <c r="A1123">
        <v>1122</v>
      </c>
      <c r="B1123" s="626">
        <v>0</v>
      </c>
      <c r="C1123" s="626">
        <v>1000000</v>
      </c>
      <c r="D1123" s="626">
        <v>0</v>
      </c>
    </row>
    <row r="1124" spans="1:4" x14ac:dyDescent="0.2">
      <c r="A1124">
        <v>1123</v>
      </c>
      <c r="B1124" s="626">
        <v>0</v>
      </c>
      <c r="C1124" s="626">
        <v>1000000</v>
      </c>
      <c r="D1124" s="626">
        <v>0</v>
      </c>
    </row>
    <row r="1125" spans="1:4" x14ac:dyDescent="0.2">
      <c r="A1125">
        <v>1124</v>
      </c>
      <c r="B1125" s="626">
        <v>0</v>
      </c>
      <c r="C1125" s="626">
        <v>1000000</v>
      </c>
      <c r="D1125" s="626">
        <v>0</v>
      </c>
    </row>
    <row r="1126" spans="1:4" x14ac:dyDescent="0.2">
      <c r="A1126">
        <v>1125</v>
      </c>
      <c r="B1126" s="626">
        <v>0</v>
      </c>
      <c r="C1126" s="626">
        <v>1000000</v>
      </c>
      <c r="D1126" s="626">
        <v>0</v>
      </c>
    </row>
    <row r="1127" spans="1:4" x14ac:dyDescent="0.2">
      <c r="A1127">
        <v>1126</v>
      </c>
      <c r="B1127" s="626">
        <v>0</v>
      </c>
      <c r="C1127" s="626">
        <v>1000000</v>
      </c>
      <c r="D1127" s="626">
        <v>0</v>
      </c>
    </row>
    <row r="1128" spans="1:4" x14ac:dyDescent="0.2">
      <c r="A1128">
        <v>1127</v>
      </c>
      <c r="B1128" s="626">
        <v>0</v>
      </c>
      <c r="C1128" s="626">
        <v>1000000</v>
      </c>
      <c r="D1128" s="626">
        <v>0</v>
      </c>
    </row>
    <row r="1129" spans="1:4" x14ac:dyDescent="0.2">
      <c r="A1129">
        <v>1128</v>
      </c>
      <c r="B1129" s="626">
        <v>0</v>
      </c>
      <c r="C1129" s="626">
        <v>1000000</v>
      </c>
      <c r="D1129" s="626">
        <v>0</v>
      </c>
    </row>
    <row r="1130" spans="1:4" x14ac:dyDescent="0.2">
      <c r="A1130">
        <v>1129</v>
      </c>
      <c r="B1130" s="626">
        <v>0</v>
      </c>
      <c r="C1130" s="626">
        <v>1000000</v>
      </c>
      <c r="D1130" s="626">
        <v>0</v>
      </c>
    </row>
    <row r="1131" spans="1:4" x14ac:dyDescent="0.2">
      <c r="A1131">
        <v>1130</v>
      </c>
      <c r="B1131" s="626">
        <v>0</v>
      </c>
      <c r="C1131" s="626">
        <v>1000000</v>
      </c>
      <c r="D1131" s="626">
        <v>0</v>
      </c>
    </row>
    <row r="1132" spans="1:4" x14ac:dyDescent="0.2">
      <c r="A1132">
        <v>1131</v>
      </c>
      <c r="B1132" s="626">
        <v>0</v>
      </c>
      <c r="C1132" s="626">
        <v>1000000</v>
      </c>
      <c r="D1132" s="626">
        <v>0</v>
      </c>
    </row>
    <row r="1133" spans="1:4" x14ac:dyDescent="0.2">
      <c r="A1133">
        <v>1132</v>
      </c>
      <c r="B1133" s="626">
        <v>0</v>
      </c>
      <c r="C1133" s="626">
        <v>1000000</v>
      </c>
      <c r="D1133" s="626">
        <v>0</v>
      </c>
    </row>
    <row r="1134" spans="1:4" x14ac:dyDescent="0.2">
      <c r="A1134">
        <v>1133</v>
      </c>
      <c r="B1134" s="626">
        <v>0</v>
      </c>
      <c r="C1134" s="626">
        <v>1000000</v>
      </c>
      <c r="D1134" s="626">
        <v>0</v>
      </c>
    </row>
    <row r="1135" spans="1:4" x14ac:dyDescent="0.2">
      <c r="A1135">
        <v>1134</v>
      </c>
      <c r="B1135" s="626">
        <v>0</v>
      </c>
      <c r="C1135" s="626">
        <v>1000000</v>
      </c>
      <c r="D1135" s="626">
        <v>0</v>
      </c>
    </row>
    <row r="1136" spans="1:4" x14ac:dyDescent="0.2">
      <c r="A1136">
        <v>1135</v>
      </c>
      <c r="B1136" s="626">
        <v>0</v>
      </c>
      <c r="C1136" s="626">
        <v>1000000</v>
      </c>
      <c r="D1136" s="626">
        <v>0</v>
      </c>
    </row>
    <row r="1137" spans="1:4" x14ac:dyDescent="0.2">
      <c r="A1137">
        <v>1136</v>
      </c>
      <c r="B1137" s="626">
        <v>0</v>
      </c>
      <c r="C1137" s="626">
        <v>1000000</v>
      </c>
      <c r="D1137" s="626">
        <v>0</v>
      </c>
    </row>
    <row r="1138" spans="1:4" x14ac:dyDescent="0.2">
      <c r="A1138">
        <v>1137</v>
      </c>
      <c r="B1138" s="626">
        <v>0</v>
      </c>
      <c r="C1138" s="626">
        <v>1000000</v>
      </c>
      <c r="D1138" s="626">
        <v>0</v>
      </c>
    </row>
    <row r="1139" spans="1:4" x14ac:dyDescent="0.2">
      <c r="A1139">
        <v>1138</v>
      </c>
      <c r="B1139" s="626">
        <v>0</v>
      </c>
      <c r="C1139" s="626">
        <v>1000000</v>
      </c>
      <c r="D1139" s="626">
        <v>0</v>
      </c>
    </row>
    <row r="1140" spans="1:4" x14ac:dyDescent="0.2">
      <c r="A1140">
        <v>1139</v>
      </c>
      <c r="B1140" s="626">
        <v>0</v>
      </c>
      <c r="C1140" s="626">
        <v>1000000</v>
      </c>
      <c r="D1140" s="626">
        <v>0</v>
      </c>
    </row>
    <row r="1141" spans="1:4" x14ac:dyDescent="0.2">
      <c r="A1141">
        <v>1140</v>
      </c>
      <c r="B1141" s="626">
        <v>0</v>
      </c>
      <c r="C1141" s="626">
        <v>1000000</v>
      </c>
      <c r="D1141" s="626">
        <v>0</v>
      </c>
    </row>
    <row r="1142" spans="1:4" x14ac:dyDescent="0.2">
      <c r="A1142">
        <v>1141</v>
      </c>
      <c r="B1142" s="626">
        <v>0</v>
      </c>
      <c r="C1142" s="626">
        <v>1000000</v>
      </c>
      <c r="D1142" s="626">
        <v>0</v>
      </c>
    </row>
    <row r="1143" spans="1:4" x14ac:dyDescent="0.2">
      <c r="A1143">
        <v>1142</v>
      </c>
      <c r="B1143" s="626">
        <v>0</v>
      </c>
      <c r="C1143" s="626">
        <v>1000000</v>
      </c>
      <c r="D1143" s="626">
        <v>0</v>
      </c>
    </row>
    <row r="1144" spans="1:4" x14ac:dyDescent="0.2">
      <c r="A1144">
        <v>1143</v>
      </c>
      <c r="B1144" s="626">
        <v>0</v>
      </c>
      <c r="C1144" s="626">
        <v>1000000</v>
      </c>
      <c r="D1144" s="626">
        <v>0</v>
      </c>
    </row>
    <row r="1145" spans="1:4" x14ac:dyDescent="0.2">
      <c r="A1145">
        <v>1144</v>
      </c>
      <c r="B1145" s="626">
        <v>0</v>
      </c>
      <c r="C1145" s="626">
        <v>1000000</v>
      </c>
      <c r="D1145" s="626">
        <v>0</v>
      </c>
    </row>
    <row r="1146" spans="1:4" x14ac:dyDescent="0.2">
      <c r="A1146">
        <v>1145</v>
      </c>
      <c r="B1146" s="626">
        <v>0</v>
      </c>
      <c r="C1146" s="626">
        <v>1000000</v>
      </c>
      <c r="D1146" s="626">
        <v>0</v>
      </c>
    </row>
    <row r="1147" spans="1:4" x14ac:dyDescent="0.2">
      <c r="A1147">
        <v>1146</v>
      </c>
      <c r="B1147" s="626">
        <v>0</v>
      </c>
      <c r="C1147" s="626">
        <v>1000000</v>
      </c>
      <c r="D1147" s="626">
        <v>0</v>
      </c>
    </row>
    <row r="1148" spans="1:4" x14ac:dyDescent="0.2">
      <c r="A1148">
        <v>1147</v>
      </c>
      <c r="B1148" s="626">
        <v>0</v>
      </c>
      <c r="C1148" s="626">
        <v>1000000</v>
      </c>
      <c r="D1148" s="626">
        <v>0</v>
      </c>
    </row>
    <row r="1149" spans="1:4" x14ac:dyDescent="0.2">
      <c r="A1149">
        <v>1148</v>
      </c>
      <c r="B1149" s="626">
        <v>0</v>
      </c>
      <c r="C1149" s="626">
        <v>1000000</v>
      </c>
      <c r="D1149" s="626">
        <v>0</v>
      </c>
    </row>
    <row r="1150" spans="1:4" x14ac:dyDescent="0.2">
      <c r="A1150">
        <v>1149</v>
      </c>
      <c r="B1150" s="626">
        <v>0</v>
      </c>
      <c r="C1150" s="626">
        <v>1000000</v>
      </c>
      <c r="D1150" s="626">
        <v>0</v>
      </c>
    </row>
    <row r="1151" spans="1:4" x14ac:dyDescent="0.2">
      <c r="A1151">
        <v>1150</v>
      </c>
      <c r="B1151" s="626">
        <v>0</v>
      </c>
      <c r="C1151" s="626">
        <v>1000000</v>
      </c>
      <c r="D1151" s="626">
        <v>0</v>
      </c>
    </row>
    <row r="1152" spans="1:4" x14ac:dyDescent="0.2">
      <c r="A1152">
        <v>1151</v>
      </c>
      <c r="B1152" s="626">
        <v>0</v>
      </c>
      <c r="C1152" s="626">
        <v>1000000</v>
      </c>
      <c r="D1152" s="626">
        <v>0</v>
      </c>
    </row>
    <row r="1153" spans="1:4" x14ac:dyDescent="0.2">
      <c r="A1153">
        <v>1152</v>
      </c>
      <c r="B1153" s="626">
        <v>0</v>
      </c>
      <c r="C1153" s="626">
        <v>1000000</v>
      </c>
      <c r="D1153" s="626">
        <v>0</v>
      </c>
    </row>
    <row r="1154" spans="1:4" x14ac:dyDescent="0.2">
      <c r="A1154">
        <v>1153</v>
      </c>
      <c r="B1154" s="626">
        <v>0</v>
      </c>
      <c r="C1154" s="626">
        <v>1000000</v>
      </c>
      <c r="D1154" s="626">
        <v>0</v>
      </c>
    </row>
    <row r="1155" spans="1:4" x14ac:dyDescent="0.2">
      <c r="A1155">
        <v>1154</v>
      </c>
      <c r="B1155" s="626">
        <v>0</v>
      </c>
      <c r="C1155" s="626">
        <v>1000000</v>
      </c>
      <c r="D1155" s="626">
        <v>0</v>
      </c>
    </row>
    <row r="1156" spans="1:4" x14ac:dyDescent="0.2">
      <c r="A1156">
        <v>1155</v>
      </c>
      <c r="B1156" s="626">
        <v>0</v>
      </c>
      <c r="C1156" s="626">
        <v>1000000</v>
      </c>
      <c r="D1156" s="626">
        <v>0</v>
      </c>
    </row>
    <row r="1157" spans="1:4" x14ac:dyDescent="0.2">
      <c r="A1157">
        <v>1156</v>
      </c>
      <c r="B1157" s="626">
        <v>0</v>
      </c>
      <c r="C1157" s="626">
        <v>1000000</v>
      </c>
      <c r="D1157" s="626">
        <v>0</v>
      </c>
    </row>
    <row r="1158" spans="1:4" x14ac:dyDescent="0.2">
      <c r="A1158">
        <v>1157</v>
      </c>
      <c r="B1158" s="626">
        <v>0</v>
      </c>
      <c r="C1158" s="626">
        <v>1000000</v>
      </c>
      <c r="D1158" s="626">
        <v>0</v>
      </c>
    </row>
    <row r="1159" spans="1:4" x14ac:dyDescent="0.2">
      <c r="A1159">
        <v>1158</v>
      </c>
      <c r="B1159" s="626">
        <v>0</v>
      </c>
      <c r="C1159" s="626">
        <v>1000000</v>
      </c>
      <c r="D1159" s="626">
        <v>0</v>
      </c>
    </row>
    <row r="1160" spans="1:4" x14ac:dyDescent="0.2">
      <c r="A1160">
        <v>1159</v>
      </c>
      <c r="B1160" s="626">
        <v>0</v>
      </c>
      <c r="C1160" s="626">
        <v>1000000</v>
      </c>
      <c r="D1160" s="626">
        <v>0</v>
      </c>
    </row>
    <row r="1161" spans="1:4" x14ac:dyDescent="0.2">
      <c r="A1161">
        <v>1160</v>
      </c>
      <c r="B1161" s="626">
        <v>0</v>
      </c>
      <c r="C1161" s="626">
        <v>1000000</v>
      </c>
      <c r="D1161" s="626">
        <v>0</v>
      </c>
    </row>
    <row r="1162" spans="1:4" x14ac:dyDescent="0.2">
      <c r="A1162">
        <v>1161</v>
      </c>
      <c r="B1162" s="626">
        <v>0</v>
      </c>
      <c r="C1162" s="626">
        <v>1000000</v>
      </c>
      <c r="D1162" s="626">
        <v>0</v>
      </c>
    </row>
    <row r="1163" spans="1:4" x14ac:dyDescent="0.2">
      <c r="A1163">
        <v>1162</v>
      </c>
      <c r="B1163" s="626">
        <v>0</v>
      </c>
      <c r="C1163" s="626">
        <v>1000000</v>
      </c>
      <c r="D1163" s="626">
        <v>0</v>
      </c>
    </row>
    <row r="1164" spans="1:4" x14ac:dyDescent="0.2">
      <c r="A1164">
        <v>1163</v>
      </c>
      <c r="B1164" s="626">
        <v>0</v>
      </c>
      <c r="C1164" s="626">
        <v>1000000</v>
      </c>
      <c r="D1164" s="626">
        <v>0</v>
      </c>
    </row>
    <row r="1165" spans="1:4" x14ac:dyDescent="0.2">
      <c r="A1165">
        <v>1164</v>
      </c>
      <c r="B1165" s="626">
        <v>0</v>
      </c>
      <c r="C1165" s="626">
        <v>1000000</v>
      </c>
      <c r="D1165" s="626">
        <v>0</v>
      </c>
    </row>
    <row r="1166" spans="1:4" x14ac:dyDescent="0.2">
      <c r="A1166">
        <v>1165</v>
      </c>
      <c r="B1166" s="626">
        <v>0</v>
      </c>
      <c r="C1166" s="626">
        <v>1000000</v>
      </c>
      <c r="D1166" s="626">
        <v>0</v>
      </c>
    </row>
    <row r="1167" spans="1:4" x14ac:dyDescent="0.2">
      <c r="A1167">
        <v>1166</v>
      </c>
      <c r="B1167" s="626">
        <v>0</v>
      </c>
      <c r="C1167" s="626">
        <v>1000000</v>
      </c>
      <c r="D1167" s="626">
        <v>0</v>
      </c>
    </row>
    <row r="1168" spans="1:4" x14ac:dyDescent="0.2">
      <c r="A1168">
        <v>1167</v>
      </c>
      <c r="B1168" s="626">
        <v>0</v>
      </c>
      <c r="C1168" s="626">
        <v>1000000</v>
      </c>
      <c r="D1168" s="626">
        <v>0</v>
      </c>
    </row>
    <row r="1169" spans="1:4" x14ac:dyDescent="0.2">
      <c r="A1169">
        <v>1168</v>
      </c>
      <c r="B1169" s="626">
        <v>0</v>
      </c>
      <c r="C1169" s="626">
        <v>1000000</v>
      </c>
      <c r="D1169" s="626">
        <v>0</v>
      </c>
    </row>
    <row r="1170" spans="1:4" x14ac:dyDescent="0.2">
      <c r="A1170">
        <v>1169</v>
      </c>
      <c r="B1170" s="626">
        <v>0</v>
      </c>
      <c r="C1170" s="626">
        <v>1000000</v>
      </c>
      <c r="D1170" s="626">
        <v>0</v>
      </c>
    </row>
    <row r="1171" spans="1:4" x14ac:dyDescent="0.2">
      <c r="A1171">
        <v>1170</v>
      </c>
      <c r="B1171" s="626">
        <v>0</v>
      </c>
      <c r="C1171" s="626">
        <v>1000000</v>
      </c>
      <c r="D1171" s="626">
        <v>0</v>
      </c>
    </row>
    <row r="1172" spans="1:4" x14ac:dyDescent="0.2">
      <c r="A1172">
        <v>1171</v>
      </c>
      <c r="B1172" s="626">
        <v>0</v>
      </c>
      <c r="C1172" s="626">
        <v>1000000</v>
      </c>
      <c r="D1172" s="626">
        <v>0</v>
      </c>
    </row>
    <row r="1173" spans="1:4" x14ac:dyDescent="0.2">
      <c r="A1173">
        <v>1172</v>
      </c>
      <c r="B1173" s="626">
        <v>0</v>
      </c>
      <c r="C1173" s="626">
        <v>1000000</v>
      </c>
      <c r="D1173" s="626">
        <v>0</v>
      </c>
    </row>
    <row r="1174" spans="1:4" x14ac:dyDescent="0.2">
      <c r="A1174">
        <v>1173</v>
      </c>
      <c r="B1174" s="626">
        <v>0</v>
      </c>
      <c r="C1174" s="626">
        <v>1000000</v>
      </c>
      <c r="D1174" s="626">
        <v>0</v>
      </c>
    </row>
    <row r="1175" spans="1:4" x14ac:dyDescent="0.2">
      <c r="A1175">
        <v>1174</v>
      </c>
      <c r="B1175" s="626">
        <v>0</v>
      </c>
      <c r="C1175" s="626">
        <v>1000000</v>
      </c>
      <c r="D1175" s="626">
        <v>0</v>
      </c>
    </row>
    <row r="1176" spans="1:4" x14ac:dyDescent="0.2">
      <c r="A1176">
        <v>1175</v>
      </c>
      <c r="B1176" s="626">
        <v>0</v>
      </c>
      <c r="C1176" s="626">
        <v>1000000</v>
      </c>
      <c r="D1176" s="626">
        <v>0</v>
      </c>
    </row>
    <row r="1177" spans="1:4" x14ac:dyDescent="0.2">
      <c r="A1177">
        <v>1176</v>
      </c>
      <c r="B1177" s="626">
        <v>0</v>
      </c>
      <c r="C1177" s="626">
        <v>1000000</v>
      </c>
      <c r="D1177" s="626">
        <v>0</v>
      </c>
    </row>
    <row r="1178" spans="1:4" x14ac:dyDescent="0.2">
      <c r="A1178">
        <v>1177</v>
      </c>
      <c r="B1178" s="626">
        <v>0</v>
      </c>
      <c r="C1178" s="626">
        <v>1000000</v>
      </c>
      <c r="D1178" s="626">
        <v>0</v>
      </c>
    </row>
    <row r="1179" spans="1:4" x14ac:dyDescent="0.2">
      <c r="A1179">
        <v>1178</v>
      </c>
      <c r="B1179" s="626">
        <v>0</v>
      </c>
      <c r="C1179" s="626">
        <v>1000000</v>
      </c>
      <c r="D1179" s="626">
        <v>0</v>
      </c>
    </row>
    <row r="1180" spans="1:4" x14ac:dyDescent="0.2">
      <c r="A1180">
        <v>1179</v>
      </c>
      <c r="B1180" s="626">
        <v>0</v>
      </c>
      <c r="C1180" s="626">
        <v>1000000</v>
      </c>
      <c r="D1180" s="626">
        <v>0</v>
      </c>
    </row>
    <row r="1181" spans="1:4" x14ac:dyDescent="0.2">
      <c r="A1181">
        <v>1180</v>
      </c>
      <c r="B1181" s="626">
        <v>0</v>
      </c>
      <c r="C1181" s="626">
        <v>1000000</v>
      </c>
      <c r="D1181" s="626">
        <v>0</v>
      </c>
    </row>
    <row r="1182" spans="1:4" x14ac:dyDescent="0.2">
      <c r="A1182">
        <v>1181</v>
      </c>
      <c r="B1182" s="626">
        <v>0</v>
      </c>
      <c r="C1182" s="626">
        <v>1000000</v>
      </c>
      <c r="D1182" s="626">
        <v>0</v>
      </c>
    </row>
    <row r="1183" spans="1:4" x14ac:dyDescent="0.2">
      <c r="A1183">
        <v>1182</v>
      </c>
      <c r="B1183" s="626">
        <v>0</v>
      </c>
      <c r="C1183" s="626">
        <v>1000000</v>
      </c>
      <c r="D1183" s="626">
        <v>0</v>
      </c>
    </row>
    <row r="1184" spans="1:4" x14ac:dyDescent="0.2">
      <c r="A1184">
        <v>1183</v>
      </c>
      <c r="B1184" s="626">
        <v>0</v>
      </c>
      <c r="C1184" s="626">
        <v>1000000</v>
      </c>
      <c r="D1184" s="626">
        <v>0</v>
      </c>
    </row>
    <row r="1185" spans="1:4" x14ac:dyDescent="0.2">
      <c r="A1185">
        <v>1184</v>
      </c>
      <c r="B1185" s="626">
        <v>0</v>
      </c>
      <c r="C1185" s="626">
        <v>1000000</v>
      </c>
      <c r="D1185" s="626">
        <v>0</v>
      </c>
    </row>
    <row r="1186" spans="1:4" x14ac:dyDescent="0.2">
      <c r="A1186">
        <v>1185</v>
      </c>
      <c r="B1186" s="626">
        <v>0</v>
      </c>
      <c r="C1186" s="626">
        <v>1000000</v>
      </c>
      <c r="D1186" s="626">
        <v>0</v>
      </c>
    </row>
    <row r="1187" spans="1:4" x14ac:dyDescent="0.2">
      <c r="A1187">
        <v>1186</v>
      </c>
      <c r="B1187" s="626">
        <v>0</v>
      </c>
      <c r="C1187" s="626">
        <v>1000000</v>
      </c>
      <c r="D1187" s="626">
        <v>0</v>
      </c>
    </row>
    <row r="1188" spans="1:4" x14ac:dyDescent="0.2">
      <c r="A1188">
        <v>1187</v>
      </c>
      <c r="B1188" s="626">
        <v>0</v>
      </c>
      <c r="C1188" s="626">
        <v>1000000</v>
      </c>
      <c r="D1188" s="626">
        <v>0</v>
      </c>
    </row>
    <row r="1189" spans="1:4" x14ac:dyDescent="0.2">
      <c r="A1189">
        <v>1188</v>
      </c>
      <c r="B1189" s="626">
        <v>0</v>
      </c>
      <c r="C1189" s="626">
        <v>1000000</v>
      </c>
      <c r="D1189" s="626">
        <v>0</v>
      </c>
    </row>
    <row r="1190" spans="1:4" x14ac:dyDescent="0.2">
      <c r="A1190">
        <v>1189</v>
      </c>
      <c r="B1190" s="626">
        <v>0</v>
      </c>
      <c r="C1190" s="626">
        <v>1000000</v>
      </c>
      <c r="D1190" s="626">
        <v>0</v>
      </c>
    </row>
    <row r="1191" spans="1:4" x14ac:dyDescent="0.2">
      <c r="A1191">
        <v>1190</v>
      </c>
      <c r="B1191" s="626">
        <v>0</v>
      </c>
      <c r="C1191" s="626">
        <v>1000000</v>
      </c>
      <c r="D1191" s="626">
        <v>0</v>
      </c>
    </row>
    <row r="1192" spans="1:4" x14ac:dyDescent="0.2">
      <c r="A1192">
        <v>1191</v>
      </c>
      <c r="B1192" s="626">
        <v>0</v>
      </c>
      <c r="C1192" s="626">
        <v>1000000</v>
      </c>
      <c r="D1192" s="626">
        <v>0</v>
      </c>
    </row>
    <row r="1193" spans="1:4" x14ac:dyDescent="0.2">
      <c r="A1193">
        <v>1192</v>
      </c>
      <c r="B1193" s="626">
        <v>0</v>
      </c>
      <c r="C1193" s="626">
        <v>1000000</v>
      </c>
      <c r="D1193" s="626">
        <v>0</v>
      </c>
    </row>
    <row r="1194" spans="1:4" x14ac:dyDescent="0.2">
      <c r="A1194">
        <v>1193</v>
      </c>
      <c r="B1194" s="626">
        <v>0</v>
      </c>
      <c r="C1194" s="626">
        <v>1000000</v>
      </c>
      <c r="D1194" s="626">
        <v>0</v>
      </c>
    </row>
    <row r="1195" spans="1:4" x14ac:dyDescent="0.2">
      <c r="A1195">
        <v>1194</v>
      </c>
      <c r="B1195" s="626">
        <v>0</v>
      </c>
      <c r="C1195" s="626">
        <v>1000000</v>
      </c>
      <c r="D1195" s="626">
        <v>0</v>
      </c>
    </row>
    <row r="1196" spans="1:4" x14ac:dyDescent="0.2">
      <c r="A1196">
        <v>1195</v>
      </c>
      <c r="B1196" s="626">
        <v>0</v>
      </c>
      <c r="C1196" s="626">
        <v>1000000</v>
      </c>
      <c r="D1196" s="626">
        <v>0</v>
      </c>
    </row>
    <row r="1197" spans="1:4" x14ac:dyDescent="0.2">
      <c r="A1197">
        <v>1196</v>
      </c>
      <c r="B1197" s="626">
        <v>0</v>
      </c>
      <c r="C1197" s="626">
        <v>1000000</v>
      </c>
      <c r="D1197" s="626">
        <v>0</v>
      </c>
    </row>
    <row r="1198" spans="1:4" x14ac:dyDescent="0.2">
      <c r="A1198">
        <v>1197</v>
      </c>
      <c r="B1198" s="626">
        <v>0</v>
      </c>
      <c r="C1198" s="626">
        <v>1000000</v>
      </c>
      <c r="D1198" s="626">
        <v>0</v>
      </c>
    </row>
    <row r="1199" spans="1:4" x14ac:dyDescent="0.2">
      <c r="A1199">
        <v>1198</v>
      </c>
      <c r="B1199" s="626">
        <v>0</v>
      </c>
      <c r="C1199" s="626">
        <v>1000000</v>
      </c>
      <c r="D1199" s="626">
        <v>0</v>
      </c>
    </row>
    <row r="1200" spans="1:4" x14ac:dyDescent="0.2">
      <c r="A1200">
        <v>1199</v>
      </c>
      <c r="B1200" s="626">
        <v>0</v>
      </c>
      <c r="C1200" s="626">
        <v>1000000</v>
      </c>
      <c r="D1200" s="626">
        <v>0</v>
      </c>
    </row>
    <row r="1201" spans="1:4" x14ac:dyDescent="0.2">
      <c r="A1201">
        <v>1200</v>
      </c>
      <c r="B1201" s="626">
        <v>0</v>
      </c>
      <c r="C1201" s="626">
        <v>1000000</v>
      </c>
      <c r="D1201" s="626">
        <v>0</v>
      </c>
    </row>
    <row r="1202" spans="1:4" x14ac:dyDescent="0.2">
      <c r="A1202">
        <v>1201</v>
      </c>
      <c r="B1202" s="626">
        <v>0</v>
      </c>
      <c r="C1202" s="626">
        <v>1000000</v>
      </c>
      <c r="D1202" s="626">
        <v>0</v>
      </c>
    </row>
    <row r="1203" spans="1:4" x14ac:dyDescent="0.2">
      <c r="A1203">
        <v>1202</v>
      </c>
      <c r="B1203" s="626">
        <v>0</v>
      </c>
      <c r="C1203" s="626">
        <v>1000000</v>
      </c>
      <c r="D1203" s="626">
        <v>0</v>
      </c>
    </row>
    <row r="1204" spans="1:4" x14ac:dyDescent="0.2">
      <c r="A1204">
        <v>1203</v>
      </c>
      <c r="B1204" s="626">
        <v>0</v>
      </c>
      <c r="C1204" s="626">
        <v>1000000</v>
      </c>
      <c r="D1204" s="626">
        <v>0</v>
      </c>
    </row>
    <row r="1205" spans="1:4" x14ac:dyDescent="0.2">
      <c r="A1205">
        <v>1204</v>
      </c>
      <c r="B1205" s="626">
        <v>0</v>
      </c>
      <c r="C1205" s="626">
        <v>1000000</v>
      </c>
      <c r="D1205" s="626">
        <v>0</v>
      </c>
    </row>
    <row r="1206" spans="1:4" x14ac:dyDescent="0.2">
      <c r="A1206">
        <v>1205</v>
      </c>
      <c r="B1206" s="626">
        <v>0</v>
      </c>
      <c r="C1206" s="626">
        <v>1000000</v>
      </c>
      <c r="D1206" s="626">
        <v>0</v>
      </c>
    </row>
    <row r="1207" spans="1:4" x14ac:dyDescent="0.2">
      <c r="A1207">
        <v>1206</v>
      </c>
      <c r="B1207" s="626">
        <v>0</v>
      </c>
      <c r="C1207" s="626">
        <v>1000000</v>
      </c>
      <c r="D1207" s="626">
        <v>0</v>
      </c>
    </row>
    <row r="1208" spans="1:4" x14ac:dyDescent="0.2">
      <c r="A1208">
        <v>1207</v>
      </c>
      <c r="B1208" s="626">
        <v>0</v>
      </c>
      <c r="C1208" s="626">
        <v>1000000</v>
      </c>
      <c r="D1208" s="626">
        <v>0</v>
      </c>
    </row>
    <row r="1209" spans="1:4" x14ac:dyDescent="0.2">
      <c r="A1209">
        <v>1208</v>
      </c>
      <c r="B1209" s="626">
        <v>0</v>
      </c>
      <c r="C1209" s="626">
        <v>1000000</v>
      </c>
      <c r="D1209" s="626">
        <v>0</v>
      </c>
    </row>
    <row r="1210" spans="1:4" x14ac:dyDescent="0.2">
      <c r="A1210">
        <v>1209</v>
      </c>
      <c r="B1210" s="626">
        <v>0</v>
      </c>
      <c r="C1210" s="626">
        <v>1000000</v>
      </c>
      <c r="D1210" s="626">
        <v>0</v>
      </c>
    </row>
    <row r="1211" spans="1:4" x14ac:dyDescent="0.2">
      <c r="A1211">
        <v>1210</v>
      </c>
      <c r="B1211" s="626">
        <v>0</v>
      </c>
      <c r="C1211" s="626">
        <v>1000000</v>
      </c>
      <c r="D1211" s="626">
        <v>0</v>
      </c>
    </row>
    <row r="1212" spans="1:4" x14ac:dyDescent="0.2">
      <c r="A1212">
        <v>1211</v>
      </c>
      <c r="B1212" s="626">
        <v>0</v>
      </c>
      <c r="C1212" s="626">
        <v>1000000</v>
      </c>
      <c r="D1212" s="626">
        <v>0</v>
      </c>
    </row>
    <row r="1213" spans="1:4" x14ac:dyDescent="0.2">
      <c r="A1213">
        <v>1212</v>
      </c>
      <c r="B1213" s="626">
        <v>0</v>
      </c>
      <c r="C1213" s="626">
        <v>1000000</v>
      </c>
      <c r="D1213" s="626">
        <v>0</v>
      </c>
    </row>
    <row r="1214" spans="1:4" x14ac:dyDescent="0.2">
      <c r="A1214">
        <v>1213</v>
      </c>
      <c r="B1214" s="626">
        <v>0</v>
      </c>
      <c r="C1214" s="626">
        <v>1000000</v>
      </c>
      <c r="D1214" s="626">
        <v>0</v>
      </c>
    </row>
    <row r="1215" spans="1:4" x14ac:dyDescent="0.2">
      <c r="A1215">
        <v>1214</v>
      </c>
      <c r="B1215" s="626">
        <v>0</v>
      </c>
      <c r="C1215" s="626">
        <v>1000000</v>
      </c>
      <c r="D1215" s="626">
        <v>0</v>
      </c>
    </row>
    <row r="1216" spans="1:4" x14ac:dyDescent="0.2">
      <c r="A1216">
        <v>1215</v>
      </c>
      <c r="B1216" s="626">
        <v>0</v>
      </c>
      <c r="C1216" s="626">
        <v>1000000</v>
      </c>
      <c r="D1216" s="626">
        <v>0</v>
      </c>
    </row>
    <row r="1217" spans="1:4" x14ac:dyDescent="0.2">
      <c r="A1217">
        <v>1216</v>
      </c>
      <c r="B1217" s="626">
        <v>0</v>
      </c>
      <c r="C1217" s="626">
        <v>1000000</v>
      </c>
      <c r="D1217" s="626">
        <v>0</v>
      </c>
    </row>
    <row r="1218" spans="1:4" x14ac:dyDescent="0.2">
      <c r="A1218">
        <v>1217</v>
      </c>
      <c r="B1218" s="626">
        <v>0</v>
      </c>
      <c r="C1218" s="626">
        <v>1000000</v>
      </c>
      <c r="D1218" s="626">
        <v>0</v>
      </c>
    </row>
    <row r="1219" spans="1:4" x14ac:dyDescent="0.2">
      <c r="A1219">
        <v>1218</v>
      </c>
      <c r="B1219" s="626">
        <v>0</v>
      </c>
      <c r="C1219" s="626">
        <v>1000000</v>
      </c>
      <c r="D1219" s="626">
        <v>0</v>
      </c>
    </row>
    <row r="1220" spans="1:4" x14ac:dyDescent="0.2">
      <c r="A1220">
        <v>1219</v>
      </c>
      <c r="B1220" s="626">
        <v>0</v>
      </c>
      <c r="C1220" s="626">
        <v>1000000</v>
      </c>
      <c r="D1220" s="626">
        <v>0</v>
      </c>
    </row>
    <row r="1221" spans="1:4" x14ac:dyDescent="0.2">
      <c r="A1221">
        <v>1220</v>
      </c>
      <c r="B1221" s="626">
        <v>0</v>
      </c>
      <c r="C1221" s="626">
        <v>1000000</v>
      </c>
      <c r="D1221" s="626">
        <v>0</v>
      </c>
    </row>
    <row r="1222" spans="1:4" x14ac:dyDescent="0.2">
      <c r="A1222">
        <v>1221</v>
      </c>
      <c r="B1222" s="626">
        <v>0</v>
      </c>
      <c r="C1222" s="626">
        <v>1000000</v>
      </c>
      <c r="D1222" s="626">
        <v>0</v>
      </c>
    </row>
    <row r="1223" spans="1:4" x14ac:dyDescent="0.2">
      <c r="A1223">
        <v>1222</v>
      </c>
      <c r="B1223" s="626">
        <v>0</v>
      </c>
      <c r="C1223" s="626">
        <v>1000000</v>
      </c>
      <c r="D1223" s="626">
        <v>0</v>
      </c>
    </row>
    <row r="1224" spans="1:4" x14ac:dyDescent="0.2">
      <c r="A1224">
        <v>1223</v>
      </c>
      <c r="B1224" s="626">
        <v>0</v>
      </c>
      <c r="C1224" s="626">
        <v>1000000</v>
      </c>
      <c r="D1224" s="626">
        <v>0</v>
      </c>
    </row>
    <row r="1225" spans="1:4" x14ac:dyDescent="0.2">
      <c r="A1225">
        <v>1224</v>
      </c>
      <c r="B1225" s="626">
        <v>0</v>
      </c>
      <c r="C1225" s="626">
        <v>1000000</v>
      </c>
      <c r="D1225" s="626">
        <v>0</v>
      </c>
    </row>
    <row r="1226" spans="1:4" x14ac:dyDescent="0.2">
      <c r="A1226">
        <v>1225</v>
      </c>
      <c r="B1226" s="626">
        <v>0</v>
      </c>
      <c r="C1226" s="626">
        <v>1000000</v>
      </c>
      <c r="D1226" s="626">
        <v>0</v>
      </c>
    </row>
    <row r="1227" spans="1:4" x14ac:dyDescent="0.2">
      <c r="A1227">
        <v>1226</v>
      </c>
      <c r="B1227" s="626">
        <v>0</v>
      </c>
      <c r="C1227" s="626">
        <v>1000000</v>
      </c>
      <c r="D1227" s="626">
        <v>0</v>
      </c>
    </row>
    <row r="1228" spans="1:4" x14ac:dyDescent="0.2">
      <c r="A1228">
        <v>1227</v>
      </c>
      <c r="B1228" s="626">
        <v>0</v>
      </c>
      <c r="C1228" s="626">
        <v>1000000</v>
      </c>
      <c r="D1228" s="626">
        <v>0</v>
      </c>
    </row>
    <row r="1229" spans="1:4" x14ac:dyDescent="0.2">
      <c r="A1229">
        <v>1228</v>
      </c>
      <c r="B1229" s="626">
        <v>0</v>
      </c>
      <c r="C1229" s="626">
        <v>1000000</v>
      </c>
      <c r="D1229" s="626">
        <v>0</v>
      </c>
    </row>
    <row r="1230" spans="1:4" x14ac:dyDescent="0.2">
      <c r="A1230">
        <v>1229</v>
      </c>
      <c r="B1230" s="626">
        <v>0</v>
      </c>
      <c r="C1230" s="626">
        <v>1000000</v>
      </c>
      <c r="D1230" s="626">
        <v>0</v>
      </c>
    </row>
    <row r="1231" spans="1:4" x14ac:dyDescent="0.2">
      <c r="A1231">
        <v>1230</v>
      </c>
      <c r="B1231" s="626">
        <v>0</v>
      </c>
      <c r="C1231" s="626">
        <v>1000000</v>
      </c>
      <c r="D1231" s="626">
        <v>0</v>
      </c>
    </row>
    <row r="1232" spans="1:4" x14ac:dyDescent="0.2">
      <c r="A1232">
        <v>1231</v>
      </c>
      <c r="B1232" s="626">
        <v>0</v>
      </c>
      <c r="C1232" s="626">
        <v>1000000</v>
      </c>
      <c r="D1232" s="626">
        <v>0</v>
      </c>
    </row>
    <row r="1233" spans="1:4" x14ac:dyDescent="0.2">
      <c r="A1233">
        <v>1232</v>
      </c>
      <c r="B1233" s="626">
        <v>0</v>
      </c>
      <c r="C1233" s="626">
        <v>1000000</v>
      </c>
      <c r="D1233" s="626">
        <v>0</v>
      </c>
    </row>
    <row r="1234" spans="1:4" x14ac:dyDescent="0.2">
      <c r="A1234">
        <v>1233</v>
      </c>
      <c r="B1234" s="626">
        <v>0</v>
      </c>
      <c r="C1234" s="626">
        <v>1000000</v>
      </c>
      <c r="D1234" s="626">
        <v>0</v>
      </c>
    </row>
    <row r="1235" spans="1:4" x14ac:dyDescent="0.2">
      <c r="A1235">
        <v>1234</v>
      </c>
      <c r="B1235" s="626">
        <v>0</v>
      </c>
      <c r="C1235" s="626">
        <v>1000000</v>
      </c>
      <c r="D1235" s="626">
        <v>0</v>
      </c>
    </row>
    <row r="1236" spans="1:4" x14ac:dyDescent="0.2">
      <c r="A1236">
        <v>1235</v>
      </c>
      <c r="B1236" s="626">
        <v>0</v>
      </c>
      <c r="C1236" s="626">
        <v>1000000</v>
      </c>
      <c r="D1236" s="626">
        <v>0</v>
      </c>
    </row>
    <row r="1237" spans="1:4" x14ac:dyDescent="0.2">
      <c r="A1237">
        <v>1236</v>
      </c>
      <c r="B1237" s="626">
        <v>0</v>
      </c>
      <c r="C1237" s="626">
        <v>1000000</v>
      </c>
      <c r="D1237" s="626">
        <v>0</v>
      </c>
    </row>
    <row r="1238" spans="1:4" x14ac:dyDescent="0.2">
      <c r="A1238">
        <v>1237</v>
      </c>
      <c r="B1238" s="626">
        <v>0</v>
      </c>
      <c r="C1238" s="626">
        <v>1000000</v>
      </c>
      <c r="D1238" s="626">
        <v>0</v>
      </c>
    </row>
    <row r="1239" spans="1:4" x14ac:dyDescent="0.2">
      <c r="A1239">
        <v>1238</v>
      </c>
      <c r="B1239" s="626">
        <v>0</v>
      </c>
      <c r="C1239" s="626">
        <v>1000000</v>
      </c>
      <c r="D1239" s="626">
        <v>0</v>
      </c>
    </row>
    <row r="1240" spans="1:4" x14ac:dyDescent="0.2">
      <c r="A1240">
        <v>1239</v>
      </c>
      <c r="B1240" s="626">
        <v>0</v>
      </c>
      <c r="C1240" s="626">
        <v>1000000</v>
      </c>
      <c r="D1240" s="626">
        <v>0</v>
      </c>
    </row>
    <row r="1241" spans="1:4" x14ac:dyDescent="0.2">
      <c r="A1241">
        <v>1240</v>
      </c>
      <c r="B1241" s="626">
        <v>0</v>
      </c>
      <c r="C1241" s="626">
        <v>1000000</v>
      </c>
      <c r="D1241" s="626">
        <v>0</v>
      </c>
    </row>
    <row r="1242" spans="1:4" x14ac:dyDescent="0.2">
      <c r="A1242">
        <v>1241</v>
      </c>
      <c r="B1242" s="626">
        <v>0</v>
      </c>
      <c r="C1242" s="626">
        <v>1000000</v>
      </c>
      <c r="D1242" s="626">
        <v>0</v>
      </c>
    </row>
    <row r="1243" spans="1:4" x14ac:dyDescent="0.2">
      <c r="A1243">
        <v>1242</v>
      </c>
      <c r="B1243" s="626">
        <v>0</v>
      </c>
      <c r="C1243" s="626">
        <v>1000000</v>
      </c>
      <c r="D1243" s="626">
        <v>0</v>
      </c>
    </row>
    <row r="1244" spans="1:4" x14ac:dyDescent="0.2">
      <c r="A1244">
        <v>1243</v>
      </c>
      <c r="B1244" s="626">
        <v>0</v>
      </c>
      <c r="C1244" s="626">
        <v>1000000</v>
      </c>
      <c r="D1244" s="626">
        <v>0</v>
      </c>
    </row>
    <row r="1245" spans="1:4" x14ac:dyDescent="0.2">
      <c r="A1245">
        <v>1244</v>
      </c>
      <c r="B1245" s="626">
        <v>0</v>
      </c>
      <c r="C1245" s="626">
        <v>1000000</v>
      </c>
      <c r="D1245" s="626">
        <v>0</v>
      </c>
    </row>
    <row r="1246" spans="1:4" x14ac:dyDescent="0.2">
      <c r="A1246">
        <v>1245</v>
      </c>
      <c r="B1246" s="626">
        <v>0</v>
      </c>
      <c r="C1246" s="626">
        <v>1000000</v>
      </c>
      <c r="D1246" s="626">
        <v>0</v>
      </c>
    </row>
    <row r="1247" spans="1:4" x14ac:dyDescent="0.2">
      <c r="A1247">
        <v>1246</v>
      </c>
      <c r="B1247" s="626">
        <v>0</v>
      </c>
      <c r="C1247" s="626">
        <v>1000000</v>
      </c>
      <c r="D1247" s="626">
        <v>0</v>
      </c>
    </row>
    <row r="1248" spans="1:4" x14ac:dyDescent="0.2">
      <c r="A1248">
        <v>1247</v>
      </c>
      <c r="B1248" s="626">
        <v>0</v>
      </c>
      <c r="C1248" s="626">
        <v>1000000</v>
      </c>
      <c r="D1248" s="626">
        <v>0</v>
      </c>
    </row>
    <row r="1249" spans="1:4" x14ac:dyDescent="0.2">
      <c r="A1249">
        <v>1248</v>
      </c>
      <c r="B1249" s="626">
        <v>0</v>
      </c>
      <c r="C1249" s="626">
        <v>1000000</v>
      </c>
      <c r="D1249" s="626">
        <v>0</v>
      </c>
    </row>
    <row r="1250" spans="1:4" x14ac:dyDescent="0.2">
      <c r="A1250">
        <v>1249</v>
      </c>
      <c r="B1250" s="626">
        <v>0</v>
      </c>
      <c r="C1250" s="626">
        <v>1000000</v>
      </c>
      <c r="D1250" s="626">
        <v>0</v>
      </c>
    </row>
    <row r="1251" spans="1:4" x14ac:dyDescent="0.2">
      <c r="A1251">
        <v>1250</v>
      </c>
      <c r="B1251" s="626">
        <v>0</v>
      </c>
      <c r="C1251" s="626">
        <v>1000000</v>
      </c>
      <c r="D1251" s="626">
        <v>0</v>
      </c>
    </row>
    <row r="1252" spans="1:4" x14ac:dyDescent="0.2">
      <c r="A1252">
        <v>1251</v>
      </c>
      <c r="B1252" s="626">
        <v>0</v>
      </c>
      <c r="C1252" s="626">
        <v>1000000</v>
      </c>
      <c r="D1252" s="626">
        <v>0</v>
      </c>
    </row>
    <row r="1253" spans="1:4" x14ac:dyDescent="0.2">
      <c r="A1253">
        <v>1252</v>
      </c>
      <c r="B1253" s="626">
        <v>0</v>
      </c>
      <c r="C1253" s="626">
        <v>1000000</v>
      </c>
      <c r="D1253" s="626">
        <v>0</v>
      </c>
    </row>
    <row r="1254" spans="1:4" x14ac:dyDescent="0.2">
      <c r="A1254">
        <v>1253</v>
      </c>
      <c r="B1254" s="626">
        <v>0</v>
      </c>
      <c r="C1254" s="626">
        <v>1000000</v>
      </c>
      <c r="D1254" s="626">
        <v>0</v>
      </c>
    </row>
    <row r="1255" spans="1:4" x14ac:dyDescent="0.2">
      <c r="A1255">
        <v>1254</v>
      </c>
      <c r="B1255" s="626">
        <v>0</v>
      </c>
      <c r="C1255" s="626">
        <v>1000000</v>
      </c>
      <c r="D1255" s="626">
        <v>0</v>
      </c>
    </row>
    <row r="1256" spans="1:4" x14ac:dyDescent="0.2">
      <c r="A1256">
        <v>1255</v>
      </c>
      <c r="B1256" s="626">
        <v>0</v>
      </c>
      <c r="C1256" s="626">
        <v>1000000</v>
      </c>
      <c r="D1256" s="626">
        <v>0</v>
      </c>
    </row>
    <row r="1257" spans="1:4" x14ac:dyDescent="0.2">
      <c r="A1257">
        <v>1256</v>
      </c>
      <c r="B1257" s="626">
        <v>0</v>
      </c>
      <c r="C1257" s="626">
        <v>1000000</v>
      </c>
      <c r="D1257" s="626">
        <v>0</v>
      </c>
    </row>
    <row r="1258" spans="1:4" x14ac:dyDescent="0.2">
      <c r="A1258">
        <v>1257</v>
      </c>
      <c r="B1258" s="626">
        <v>0</v>
      </c>
      <c r="C1258" s="626">
        <v>1000000</v>
      </c>
      <c r="D1258" s="626">
        <v>0</v>
      </c>
    </row>
    <row r="1259" spans="1:4" x14ac:dyDescent="0.2">
      <c r="A1259">
        <v>1258</v>
      </c>
      <c r="B1259" s="626">
        <v>0</v>
      </c>
      <c r="C1259" s="626">
        <v>1000000</v>
      </c>
      <c r="D1259" s="626">
        <v>0</v>
      </c>
    </row>
    <row r="1260" spans="1:4" x14ac:dyDescent="0.2">
      <c r="A1260">
        <v>1259</v>
      </c>
      <c r="B1260" s="626">
        <v>0</v>
      </c>
      <c r="C1260" s="626">
        <v>1000000</v>
      </c>
      <c r="D1260" s="626">
        <v>0</v>
      </c>
    </row>
    <row r="1261" spans="1:4" x14ac:dyDescent="0.2">
      <c r="A1261">
        <v>1260</v>
      </c>
      <c r="B1261" s="626">
        <v>0</v>
      </c>
      <c r="C1261" s="626">
        <v>1000000</v>
      </c>
      <c r="D1261" s="626">
        <v>0</v>
      </c>
    </row>
    <row r="1262" spans="1:4" x14ac:dyDescent="0.2">
      <c r="A1262">
        <v>1261</v>
      </c>
      <c r="B1262" s="626">
        <v>0</v>
      </c>
      <c r="C1262" s="626">
        <v>1000000</v>
      </c>
      <c r="D1262" s="626">
        <v>0</v>
      </c>
    </row>
    <row r="1263" spans="1:4" x14ac:dyDescent="0.2">
      <c r="A1263">
        <v>1262</v>
      </c>
      <c r="B1263" s="626">
        <v>0</v>
      </c>
      <c r="C1263" s="626">
        <v>1000000</v>
      </c>
      <c r="D1263" s="626">
        <v>0</v>
      </c>
    </row>
    <row r="1264" spans="1:4" x14ac:dyDescent="0.2">
      <c r="A1264">
        <v>1263</v>
      </c>
      <c r="B1264" s="626">
        <v>0</v>
      </c>
      <c r="C1264" s="626">
        <v>1000000</v>
      </c>
      <c r="D1264" s="626">
        <v>0</v>
      </c>
    </row>
    <row r="1265" spans="1:4" x14ac:dyDescent="0.2">
      <c r="A1265">
        <v>1264</v>
      </c>
      <c r="B1265" s="626">
        <v>0</v>
      </c>
      <c r="C1265" s="626">
        <v>1000000</v>
      </c>
      <c r="D1265" s="626">
        <v>0</v>
      </c>
    </row>
    <row r="1266" spans="1:4" x14ac:dyDescent="0.2">
      <c r="A1266">
        <v>1265</v>
      </c>
      <c r="B1266" s="626">
        <v>0</v>
      </c>
      <c r="C1266" s="626">
        <v>1000000</v>
      </c>
      <c r="D1266" s="626">
        <v>0</v>
      </c>
    </row>
    <row r="1267" spans="1:4" x14ac:dyDescent="0.2">
      <c r="A1267">
        <v>1266</v>
      </c>
      <c r="B1267" s="626">
        <v>0</v>
      </c>
      <c r="C1267" s="626">
        <v>1000000</v>
      </c>
      <c r="D1267" s="626">
        <v>0</v>
      </c>
    </row>
    <row r="1268" spans="1:4" x14ac:dyDescent="0.2">
      <c r="A1268">
        <v>1267</v>
      </c>
      <c r="B1268" s="626">
        <v>0</v>
      </c>
      <c r="C1268" s="626">
        <v>1000000</v>
      </c>
      <c r="D1268" s="626">
        <v>0</v>
      </c>
    </row>
    <row r="1269" spans="1:4" x14ac:dyDescent="0.2">
      <c r="A1269">
        <v>1268</v>
      </c>
      <c r="B1269" s="626">
        <v>0</v>
      </c>
      <c r="C1269" s="626">
        <v>1000000</v>
      </c>
      <c r="D1269" s="626">
        <v>0</v>
      </c>
    </row>
    <row r="1270" spans="1:4" x14ac:dyDescent="0.2">
      <c r="A1270">
        <v>1269</v>
      </c>
      <c r="B1270" s="626">
        <v>0</v>
      </c>
      <c r="C1270" s="626">
        <v>1000000</v>
      </c>
      <c r="D1270" s="626">
        <v>0</v>
      </c>
    </row>
    <row r="1271" spans="1:4" x14ac:dyDescent="0.2">
      <c r="A1271">
        <v>1270</v>
      </c>
      <c r="B1271" s="626">
        <v>0</v>
      </c>
      <c r="C1271" s="626">
        <v>1000000</v>
      </c>
      <c r="D1271" s="626">
        <v>0</v>
      </c>
    </row>
    <row r="1272" spans="1:4" x14ac:dyDescent="0.2">
      <c r="A1272">
        <v>1271</v>
      </c>
      <c r="B1272" s="626">
        <v>0</v>
      </c>
      <c r="C1272" s="626">
        <v>1000000</v>
      </c>
      <c r="D1272" s="626">
        <v>0</v>
      </c>
    </row>
    <row r="1273" spans="1:4" x14ac:dyDescent="0.2">
      <c r="A1273">
        <v>1272</v>
      </c>
      <c r="B1273" s="626">
        <v>0</v>
      </c>
      <c r="C1273" s="626">
        <v>1000000</v>
      </c>
      <c r="D1273" s="626">
        <v>0</v>
      </c>
    </row>
    <row r="1274" spans="1:4" x14ac:dyDescent="0.2">
      <c r="A1274">
        <v>1273</v>
      </c>
      <c r="B1274" s="626">
        <v>0</v>
      </c>
      <c r="C1274" s="626">
        <v>1000000</v>
      </c>
      <c r="D1274" s="626">
        <v>0</v>
      </c>
    </row>
    <row r="1275" spans="1:4" x14ac:dyDescent="0.2">
      <c r="A1275">
        <v>1274</v>
      </c>
      <c r="B1275" s="626">
        <v>0</v>
      </c>
      <c r="C1275" s="626">
        <v>1000000</v>
      </c>
      <c r="D1275" s="626">
        <v>0</v>
      </c>
    </row>
    <row r="1276" spans="1:4" x14ac:dyDescent="0.2">
      <c r="A1276">
        <v>1275</v>
      </c>
      <c r="B1276" s="626">
        <v>0</v>
      </c>
      <c r="C1276" s="626">
        <v>1000000</v>
      </c>
      <c r="D1276" s="626">
        <v>0</v>
      </c>
    </row>
    <row r="1277" spans="1:4" x14ac:dyDescent="0.2">
      <c r="A1277">
        <v>1276</v>
      </c>
      <c r="B1277" s="626">
        <v>0</v>
      </c>
      <c r="C1277" s="626">
        <v>1000000</v>
      </c>
      <c r="D1277" s="626">
        <v>0</v>
      </c>
    </row>
    <row r="1278" spans="1:4" x14ac:dyDescent="0.2">
      <c r="A1278">
        <v>1277</v>
      </c>
      <c r="B1278" s="626">
        <v>0</v>
      </c>
      <c r="C1278" s="626">
        <v>1000000</v>
      </c>
      <c r="D1278" s="626">
        <v>0</v>
      </c>
    </row>
    <row r="1279" spans="1:4" x14ac:dyDescent="0.2">
      <c r="A1279">
        <v>1278</v>
      </c>
      <c r="B1279" s="626">
        <v>0</v>
      </c>
      <c r="C1279" s="626">
        <v>1000000</v>
      </c>
      <c r="D1279" s="626">
        <v>0</v>
      </c>
    </row>
    <row r="1280" spans="1:4" x14ac:dyDescent="0.2">
      <c r="A1280">
        <v>1279</v>
      </c>
      <c r="B1280" s="626">
        <v>0</v>
      </c>
      <c r="C1280" s="626">
        <v>1000000</v>
      </c>
      <c r="D1280" s="626">
        <v>0</v>
      </c>
    </row>
    <row r="1281" spans="1:4" x14ac:dyDescent="0.2">
      <c r="A1281">
        <v>1280</v>
      </c>
      <c r="B1281" s="626">
        <v>0</v>
      </c>
      <c r="C1281" s="626">
        <v>1000000</v>
      </c>
      <c r="D1281" s="626">
        <v>0</v>
      </c>
    </row>
    <row r="1282" spans="1:4" x14ac:dyDescent="0.2">
      <c r="A1282">
        <v>1281</v>
      </c>
      <c r="B1282" s="626">
        <v>0</v>
      </c>
      <c r="C1282" s="626">
        <v>1000000</v>
      </c>
      <c r="D1282" s="626">
        <v>0</v>
      </c>
    </row>
    <row r="1283" spans="1:4" x14ac:dyDescent="0.2">
      <c r="A1283">
        <v>1282</v>
      </c>
      <c r="B1283" s="626">
        <v>0</v>
      </c>
      <c r="C1283" s="626">
        <v>1000000</v>
      </c>
      <c r="D1283" s="626">
        <v>0</v>
      </c>
    </row>
    <row r="1284" spans="1:4" x14ac:dyDescent="0.2">
      <c r="A1284">
        <v>1283</v>
      </c>
      <c r="B1284" s="626">
        <v>0</v>
      </c>
      <c r="C1284" s="626">
        <v>1000000</v>
      </c>
      <c r="D1284" s="626">
        <v>0</v>
      </c>
    </row>
    <row r="1285" spans="1:4" x14ac:dyDescent="0.2">
      <c r="A1285">
        <v>1284</v>
      </c>
      <c r="B1285" s="626">
        <v>0</v>
      </c>
      <c r="C1285" s="626">
        <v>1000000</v>
      </c>
      <c r="D1285" s="626">
        <v>0</v>
      </c>
    </row>
    <row r="1286" spans="1:4" x14ac:dyDescent="0.2">
      <c r="A1286">
        <v>1285</v>
      </c>
      <c r="B1286" s="626">
        <v>0</v>
      </c>
      <c r="C1286" s="626">
        <v>1000000</v>
      </c>
      <c r="D1286" s="626">
        <v>0</v>
      </c>
    </row>
    <row r="1287" spans="1:4" x14ac:dyDescent="0.2">
      <c r="A1287">
        <v>1286</v>
      </c>
      <c r="B1287" s="626">
        <v>0</v>
      </c>
      <c r="C1287" s="626">
        <v>1000000</v>
      </c>
      <c r="D1287" s="626">
        <v>0</v>
      </c>
    </row>
    <row r="1288" spans="1:4" x14ac:dyDescent="0.2">
      <c r="A1288">
        <v>1287</v>
      </c>
      <c r="B1288" s="626">
        <v>0</v>
      </c>
      <c r="C1288" s="626">
        <v>1000000</v>
      </c>
      <c r="D1288" s="626">
        <v>0</v>
      </c>
    </row>
    <row r="1289" spans="1:4" x14ac:dyDescent="0.2">
      <c r="A1289">
        <v>1288</v>
      </c>
      <c r="B1289" s="626">
        <v>0</v>
      </c>
      <c r="C1289" s="626">
        <v>1000000</v>
      </c>
      <c r="D1289" s="626">
        <v>0</v>
      </c>
    </row>
    <row r="1290" spans="1:4" x14ac:dyDescent="0.2">
      <c r="A1290">
        <v>1289</v>
      </c>
      <c r="B1290" s="626">
        <v>0</v>
      </c>
      <c r="C1290" s="626">
        <v>1000000</v>
      </c>
      <c r="D1290" s="626">
        <v>0</v>
      </c>
    </row>
    <row r="1291" spans="1:4" x14ac:dyDescent="0.2">
      <c r="A1291">
        <v>1290</v>
      </c>
      <c r="B1291" s="626">
        <v>0</v>
      </c>
      <c r="C1291" s="626">
        <v>1000000</v>
      </c>
      <c r="D1291" s="626">
        <v>0</v>
      </c>
    </row>
    <row r="1292" spans="1:4" x14ac:dyDescent="0.2">
      <c r="A1292">
        <v>1291</v>
      </c>
      <c r="B1292" s="626">
        <v>0</v>
      </c>
      <c r="C1292" s="626">
        <v>1000000</v>
      </c>
      <c r="D1292" s="626">
        <v>0</v>
      </c>
    </row>
    <row r="1293" spans="1:4" x14ac:dyDescent="0.2">
      <c r="A1293">
        <v>1292</v>
      </c>
      <c r="B1293" s="626">
        <v>0</v>
      </c>
      <c r="C1293" s="626">
        <v>1000000</v>
      </c>
      <c r="D1293" s="626">
        <v>0</v>
      </c>
    </row>
    <row r="1294" spans="1:4" x14ac:dyDescent="0.2">
      <c r="A1294">
        <v>1293</v>
      </c>
      <c r="B1294" s="626">
        <v>0</v>
      </c>
      <c r="C1294" s="626">
        <v>1000000</v>
      </c>
      <c r="D1294" s="626">
        <v>0</v>
      </c>
    </row>
    <row r="1295" spans="1:4" x14ac:dyDescent="0.2">
      <c r="A1295">
        <v>1294</v>
      </c>
      <c r="B1295" s="626">
        <v>0</v>
      </c>
      <c r="C1295" s="626">
        <v>1000000</v>
      </c>
      <c r="D1295" s="626">
        <v>0</v>
      </c>
    </row>
    <row r="1296" spans="1:4" x14ac:dyDescent="0.2">
      <c r="A1296">
        <v>1295</v>
      </c>
      <c r="B1296" s="626">
        <v>0</v>
      </c>
      <c r="C1296" s="626">
        <v>1000000</v>
      </c>
      <c r="D1296" s="626">
        <v>0</v>
      </c>
    </row>
    <row r="1297" spans="1:4" x14ac:dyDescent="0.2">
      <c r="A1297">
        <v>1296</v>
      </c>
      <c r="B1297" s="626">
        <v>0</v>
      </c>
      <c r="C1297" s="626">
        <v>1000000</v>
      </c>
      <c r="D1297" s="626">
        <v>0</v>
      </c>
    </row>
    <row r="1298" spans="1:4" x14ac:dyDescent="0.2">
      <c r="A1298">
        <v>1297</v>
      </c>
      <c r="B1298" s="626">
        <v>0</v>
      </c>
      <c r="C1298" s="626">
        <v>1000000</v>
      </c>
      <c r="D1298" s="626">
        <v>0</v>
      </c>
    </row>
    <row r="1299" spans="1:4" x14ac:dyDescent="0.2">
      <c r="A1299">
        <v>1298</v>
      </c>
      <c r="B1299" s="626">
        <v>0</v>
      </c>
      <c r="C1299" s="626">
        <v>1000000</v>
      </c>
      <c r="D1299" s="626">
        <v>0</v>
      </c>
    </row>
    <row r="1300" spans="1:4" x14ac:dyDescent="0.2">
      <c r="A1300">
        <v>1299</v>
      </c>
      <c r="B1300" s="626">
        <v>0</v>
      </c>
      <c r="C1300" s="626">
        <v>1000000</v>
      </c>
      <c r="D1300" s="626">
        <v>0</v>
      </c>
    </row>
    <row r="1301" spans="1:4" x14ac:dyDescent="0.2">
      <c r="A1301">
        <v>1300</v>
      </c>
      <c r="B1301" s="626">
        <v>0</v>
      </c>
      <c r="C1301" s="626">
        <v>1000000</v>
      </c>
      <c r="D1301" s="626">
        <v>0</v>
      </c>
    </row>
    <row r="1302" spans="1:4" x14ac:dyDescent="0.2">
      <c r="A1302">
        <v>1301</v>
      </c>
      <c r="B1302" s="626">
        <v>0</v>
      </c>
      <c r="C1302" s="626">
        <v>1000000</v>
      </c>
      <c r="D1302" s="626">
        <v>0</v>
      </c>
    </row>
    <row r="1303" spans="1:4" x14ac:dyDescent="0.2">
      <c r="A1303">
        <v>1302</v>
      </c>
      <c r="B1303" s="626">
        <v>0</v>
      </c>
      <c r="C1303" s="626">
        <v>1000000</v>
      </c>
      <c r="D1303" s="626">
        <v>0</v>
      </c>
    </row>
    <row r="1304" spans="1:4" x14ac:dyDescent="0.2">
      <c r="A1304">
        <v>1303</v>
      </c>
      <c r="B1304" s="626">
        <v>0</v>
      </c>
      <c r="C1304" s="626">
        <v>1000000</v>
      </c>
      <c r="D1304" s="626">
        <v>0</v>
      </c>
    </row>
    <row r="1305" spans="1:4" x14ac:dyDescent="0.2">
      <c r="A1305">
        <v>1304</v>
      </c>
      <c r="B1305" s="626">
        <v>0</v>
      </c>
      <c r="C1305" s="626">
        <v>1000000</v>
      </c>
      <c r="D1305" s="626">
        <v>0</v>
      </c>
    </row>
    <row r="1306" spans="1:4" x14ac:dyDescent="0.2">
      <c r="A1306">
        <v>1305</v>
      </c>
      <c r="B1306" s="626">
        <v>0</v>
      </c>
      <c r="C1306" s="626">
        <v>1000000</v>
      </c>
      <c r="D1306" s="626">
        <v>0</v>
      </c>
    </row>
    <row r="1307" spans="1:4" x14ac:dyDescent="0.2">
      <c r="A1307">
        <v>1306</v>
      </c>
      <c r="B1307" s="626">
        <v>0</v>
      </c>
      <c r="C1307" s="626">
        <v>1000000</v>
      </c>
      <c r="D1307" s="626">
        <v>0</v>
      </c>
    </row>
    <row r="1308" spans="1:4" x14ac:dyDescent="0.2">
      <c r="A1308">
        <v>1307</v>
      </c>
      <c r="B1308" s="626">
        <v>0</v>
      </c>
      <c r="C1308" s="626">
        <v>1000000</v>
      </c>
      <c r="D1308" s="626">
        <v>0</v>
      </c>
    </row>
    <row r="1309" spans="1:4" x14ac:dyDescent="0.2">
      <c r="A1309">
        <v>1308</v>
      </c>
      <c r="B1309" s="626">
        <v>0</v>
      </c>
      <c r="C1309" s="626">
        <v>1000000</v>
      </c>
      <c r="D1309" s="626">
        <v>0</v>
      </c>
    </row>
    <row r="1310" spans="1:4" x14ac:dyDescent="0.2">
      <c r="A1310">
        <v>1309</v>
      </c>
      <c r="B1310" s="626">
        <v>0</v>
      </c>
      <c r="C1310" s="626">
        <v>1000000</v>
      </c>
      <c r="D1310" s="626">
        <v>0</v>
      </c>
    </row>
    <row r="1311" spans="1:4" x14ac:dyDescent="0.2">
      <c r="A1311">
        <v>1310</v>
      </c>
      <c r="B1311" s="626">
        <v>0</v>
      </c>
      <c r="C1311" s="626">
        <v>1000000</v>
      </c>
      <c r="D1311" s="626">
        <v>0</v>
      </c>
    </row>
    <row r="1312" spans="1:4" x14ac:dyDescent="0.2">
      <c r="A1312">
        <v>1311</v>
      </c>
      <c r="B1312" s="626">
        <v>0</v>
      </c>
      <c r="C1312" s="626">
        <v>1000000</v>
      </c>
      <c r="D1312" s="626">
        <v>0</v>
      </c>
    </row>
    <row r="1313" spans="1:4" x14ac:dyDescent="0.2">
      <c r="A1313">
        <v>1312</v>
      </c>
      <c r="B1313" s="626">
        <v>0</v>
      </c>
      <c r="C1313" s="626">
        <v>1000000</v>
      </c>
      <c r="D1313" s="626">
        <v>0</v>
      </c>
    </row>
    <row r="1314" spans="1:4" x14ac:dyDescent="0.2">
      <c r="A1314">
        <v>1313</v>
      </c>
      <c r="B1314" s="626">
        <v>0</v>
      </c>
      <c r="C1314" s="626">
        <v>1000000</v>
      </c>
      <c r="D1314" s="626">
        <v>0</v>
      </c>
    </row>
    <row r="1315" spans="1:4" x14ac:dyDescent="0.2">
      <c r="A1315">
        <v>1314</v>
      </c>
      <c r="B1315" s="626">
        <v>0</v>
      </c>
      <c r="C1315" s="626">
        <v>1000000</v>
      </c>
      <c r="D1315" s="626">
        <v>0</v>
      </c>
    </row>
    <row r="1316" spans="1:4" x14ac:dyDescent="0.2">
      <c r="A1316">
        <v>1315</v>
      </c>
      <c r="B1316" s="626">
        <v>0</v>
      </c>
      <c r="C1316" s="626">
        <v>1000000</v>
      </c>
      <c r="D1316" s="626">
        <v>0</v>
      </c>
    </row>
    <row r="1317" spans="1:4" x14ac:dyDescent="0.2">
      <c r="A1317">
        <v>1316</v>
      </c>
      <c r="B1317" s="626">
        <v>0</v>
      </c>
      <c r="C1317" s="626">
        <v>1000000</v>
      </c>
      <c r="D1317" s="626">
        <v>0</v>
      </c>
    </row>
    <row r="1318" spans="1:4" x14ac:dyDescent="0.2">
      <c r="A1318">
        <v>1317</v>
      </c>
      <c r="B1318" s="626">
        <v>0</v>
      </c>
      <c r="C1318" s="626">
        <v>1000000</v>
      </c>
      <c r="D1318" s="626">
        <v>0</v>
      </c>
    </row>
    <row r="1319" spans="1:4" x14ac:dyDescent="0.2">
      <c r="A1319">
        <v>1318</v>
      </c>
      <c r="B1319" s="626">
        <v>0</v>
      </c>
      <c r="C1319" s="626">
        <v>1000000</v>
      </c>
      <c r="D1319" s="626">
        <v>0</v>
      </c>
    </row>
    <row r="1320" spans="1:4" x14ac:dyDescent="0.2">
      <c r="A1320">
        <v>1319</v>
      </c>
      <c r="B1320" s="626">
        <v>0</v>
      </c>
      <c r="C1320" s="626">
        <v>1000000</v>
      </c>
      <c r="D1320" s="626">
        <v>0</v>
      </c>
    </row>
    <row r="1321" spans="1:4" x14ac:dyDescent="0.2">
      <c r="A1321">
        <v>1320</v>
      </c>
      <c r="B1321" s="626">
        <v>0</v>
      </c>
      <c r="C1321" s="626">
        <v>1000000</v>
      </c>
      <c r="D1321" s="626">
        <v>0</v>
      </c>
    </row>
    <row r="1322" spans="1:4" x14ac:dyDescent="0.2">
      <c r="A1322">
        <v>1321</v>
      </c>
      <c r="B1322" s="626">
        <v>0</v>
      </c>
      <c r="C1322" s="626">
        <v>1000000</v>
      </c>
      <c r="D1322" s="626">
        <v>0</v>
      </c>
    </row>
    <row r="1323" spans="1:4" x14ac:dyDescent="0.2">
      <c r="A1323">
        <v>1322</v>
      </c>
      <c r="B1323" s="626">
        <v>0</v>
      </c>
      <c r="C1323" s="626">
        <v>1000000</v>
      </c>
      <c r="D1323" s="626">
        <v>0</v>
      </c>
    </row>
    <row r="1324" spans="1:4" x14ac:dyDescent="0.2">
      <c r="A1324">
        <v>1323</v>
      </c>
      <c r="B1324" s="626">
        <v>0</v>
      </c>
      <c r="C1324" s="626">
        <v>1000000</v>
      </c>
      <c r="D1324" s="626">
        <v>0</v>
      </c>
    </row>
    <row r="1325" spans="1:4" x14ac:dyDescent="0.2">
      <c r="A1325">
        <v>1324</v>
      </c>
      <c r="B1325" s="626">
        <v>0</v>
      </c>
      <c r="C1325" s="626">
        <v>1000000</v>
      </c>
      <c r="D1325" s="626">
        <v>0</v>
      </c>
    </row>
    <row r="1326" spans="1:4" x14ac:dyDescent="0.2">
      <c r="A1326">
        <v>1325</v>
      </c>
      <c r="B1326" s="626">
        <v>0</v>
      </c>
      <c r="C1326" s="626">
        <v>1000000</v>
      </c>
      <c r="D1326" s="626">
        <v>0</v>
      </c>
    </row>
    <row r="1327" spans="1:4" x14ac:dyDescent="0.2">
      <c r="A1327">
        <v>1326</v>
      </c>
      <c r="B1327" s="626">
        <v>0</v>
      </c>
      <c r="C1327" s="626">
        <v>1000000</v>
      </c>
      <c r="D1327" s="626">
        <v>0</v>
      </c>
    </row>
    <row r="1328" spans="1:4" x14ac:dyDescent="0.2">
      <c r="A1328">
        <v>1327</v>
      </c>
      <c r="B1328" s="626">
        <v>0</v>
      </c>
      <c r="C1328" s="626">
        <v>1000000</v>
      </c>
      <c r="D1328" s="626">
        <v>0</v>
      </c>
    </row>
    <row r="1329" spans="1:4" x14ac:dyDescent="0.2">
      <c r="A1329">
        <v>1328</v>
      </c>
      <c r="B1329" s="626">
        <v>0</v>
      </c>
      <c r="C1329" s="626">
        <v>1000000</v>
      </c>
      <c r="D1329" s="626">
        <v>0</v>
      </c>
    </row>
    <row r="1330" spans="1:4" x14ac:dyDescent="0.2">
      <c r="A1330">
        <v>1329</v>
      </c>
      <c r="B1330" s="626">
        <v>0</v>
      </c>
      <c r="C1330" s="626">
        <v>1000000</v>
      </c>
      <c r="D1330" s="626">
        <v>0</v>
      </c>
    </row>
    <row r="1331" spans="1:4" x14ac:dyDescent="0.2">
      <c r="A1331">
        <v>1330</v>
      </c>
      <c r="B1331" s="626">
        <v>0</v>
      </c>
      <c r="C1331" s="626">
        <v>1000000</v>
      </c>
      <c r="D1331" s="626">
        <v>0</v>
      </c>
    </row>
    <row r="1332" spans="1:4" x14ac:dyDescent="0.2">
      <c r="A1332">
        <v>1331</v>
      </c>
      <c r="B1332" s="626">
        <v>0</v>
      </c>
      <c r="C1332" s="626">
        <v>1000000</v>
      </c>
      <c r="D1332" s="626">
        <v>0</v>
      </c>
    </row>
    <row r="1333" spans="1:4" x14ac:dyDescent="0.2">
      <c r="A1333">
        <v>1332</v>
      </c>
      <c r="B1333" s="626">
        <v>0</v>
      </c>
      <c r="C1333" s="626">
        <v>1000000</v>
      </c>
      <c r="D1333" s="626">
        <v>0</v>
      </c>
    </row>
    <row r="1334" spans="1:4" x14ac:dyDescent="0.2">
      <c r="A1334">
        <v>1333</v>
      </c>
      <c r="B1334" s="626">
        <v>0</v>
      </c>
      <c r="C1334" s="626">
        <v>1000000</v>
      </c>
      <c r="D1334" s="626">
        <v>0</v>
      </c>
    </row>
    <row r="1335" spans="1:4" x14ac:dyDescent="0.2">
      <c r="A1335">
        <v>1334</v>
      </c>
      <c r="B1335" s="626">
        <v>0</v>
      </c>
      <c r="C1335" s="626">
        <v>1000000</v>
      </c>
      <c r="D1335" s="626">
        <v>0</v>
      </c>
    </row>
    <row r="1336" spans="1:4" x14ac:dyDescent="0.2">
      <c r="A1336">
        <v>1335</v>
      </c>
      <c r="B1336" s="626">
        <v>0</v>
      </c>
      <c r="C1336" s="626">
        <v>1000000</v>
      </c>
      <c r="D1336" s="626">
        <v>0</v>
      </c>
    </row>
    <row r="1337" spans="1:4" x14ac:dyDescent="0.2">
      <c r="A1337">
        <v>1336</v>
      </c>
      <c r="B1337" s="626">
        <v>0</v>
      </c>
      <c r="C1337" s="626">
        <v>1000000</v>
      </c>
      <c r="D1337" s="626">
        <v>0</v>
      </c>
    </row>
    <row r="1338" spans="1:4" x14ac:dyDescent="0.2">
      <c r="A1338">
        <v>1337</v>
      </c>
      <c r="B1338" s="626">
        <v>0</v>
      </c>
      <c r="C1338" s="626">
        <v>1000000</v>
      </c>
      <c r="D1338" s="626">
        <v>0</v>
      </c>
    </row>
    <row r="1339" spans="1:4" x14ac:dyDescent="0.2">
      <c r="A1339">
        <v>1338</v>
      </c>
      <c r="B1339" s="626">
        <v>0</v>
      </c>
      <c r="C1339" s="626">
        <v>1000000</v>
      </c>
      <c r="D1339" s="626">
        <v>0</v>
      </c>
    </row>
    <row r="1340" spans="1:4" x14ac:dyDescent="0.2">
      <c r="A1340">
        <v>1339</v>
      </c>
      <c r="B1340" s="626">
        <v>0</v>
      </c>
      <c r="C1340" s="626">
        <v>1000000</v>
      </c>
      <c r="D1340" s="626">
        <v>0</v>
      </c>
    </row>
    <row r="1341" spans="1:4" x14ac:dyDescent="0.2">
      <c r="A1341">
        <v>1340</v>
      </c>
      <c r="B1341" s="626">
        <v>0</v>
      </c>
      <c r="C1341" s="626">
        <v>1000000</v>
      </c>
      <c r="D1341" s="626">
        <v>0</v>
      </c>
    </row>
    <row r="1342" spans="1:4" x14ac:dyDescent="0.2">
      <c r="A1342">
        <v>1341</v>
      </c>
      <c r="B1342" s="626">
        <v>0</v>
      </c>
      <c r="C1342" s="626">
        <v>1000000</v>
      </c>
      <c r="D1342" s="626">
        <v>0</v>
      </c>
    </row>
    <row r="1343" spans="1:4" x14ac:dyDescent="0.2">
      <c r="A1343">
        <v>1342</v>
      </c>
      <c r="B1343" s="626">
        <v>0</v>
      </c>
      <c r="C1343" s="626">
        <v>1000000</v>
      </c>
      <c r="D1343" s="626">
        <v>0</v>
      </c>
    </row>
    <row r="1344" spans="1:4" x14ac:dyDescent="0.2">
      <c r="A1344">
        <v>1343</v>
      </c>
      <c r="B1344" s="626">
        <v>0</v>
      </c>
      <c r="C1344" s="626">
        <v>1000000</v>
      </c>
      <c r="D1344" s="626">
        <v>0</v>
      </c>
    </row>
    <row r="1345" spans="1:4" x14ac:dyDescent="0.2">
      <c r="A1345">
        <v>1344</v>
      </c>
      <c r="B1345" s="626">
        <v>0</v>
      </c>
      <c r="C1345" s="626">
        <v>1000000</v>
      </c>
      <c r="D1345" s="626">
        <v>0</v>
      </c>
    </row>
    <row r="1346" spans="1:4" x14ac:dyDescent="0.2">
      <c r="A1346">
        <v>1345</v>
      </c>
      <c r="B1346" s="626">
        <v>0</v>
      </c>
      <c r="C1346" s="626">
        <v>1000000</v>
      </c>
      <c r="D1346" s="626">
        <v>0</v>
      </c>
    </row>
    <row r="1347" spans="1:4" x14ac:dyDescent="0.2">
      <c r="A1347">
        <v>1346</v>
      </c>
      <c r="B1347" s="626">
        <v>0</v>
      </c>
      <c r="C1347" s="626">
        <v>1000000</v>
      </c>
      <c r="D1347" s="626">
        <v>0</v>
      </c>
    </row>
    <row r="1348" spans="1:4" x14ac:dyDescent="0.2">
      <c r="A1348">
        <v>1347</v>
      </c>
      <c r="B1348" s="626">
        <v>0</v>
      </c>
      <c r="C1348" s="626">
        <v>1000000</v>
      </c>
      <c r="D1348" s="626">
        <v>0</v>
      </c>
    </row>
    <row r="1349" spans="1:4" x14ac:dyDescent="0.2">
      <c r="A1349">
        <v>1348</v>
      </c>
      <c r="B1349" s="626">
        <v>0</v>
      </c>
      <c r="C1349" s="626">
        <v>1000000</v>
      </c>
      <c r="D1349" s="626">
        <v>0</v>
      </c>
    </row>
    <row r="1350" spans="1:4" x14ac:dyDescent="0.2">
      <c r="A1350">
        <v>1349</v>
      </c>
      <c r="B1350" s="626">
        <v>0</v>
      </c>
      <c r="C1350" s="626">
        <v>1000000</v>
      </c>
      <c r="D1350" s="626">
        <v>0</v>
      </c>
    </row>
    <row r="1351" spans="1:4" x14ac:dyDescent="0.2">
      <c r="A1351">
        <v>1350</v>
      </c>
      <c r="B1351" s="626">
        <v>0</v>
      </c>
      <c r="C1351" s="626">
        <v>1000000</v>
      </c>
      <c r="D1351" s="626">
        <v>0</v>
      </c>
    </row>
    <row r="1352" spans="1:4" x14ac:dyDescent="0.2">
      <c r="A1352">
        <v>1351</v>
      </c>
      <c r="B1352" s="626">
        <v>0</v>
      </c>
      <c r="C1352" s="626">
        <v>1000000</v>
      </c>
      <c r="D1352" s="626">
        <v>0</v>
      </c>
    </row>
    <row r="1353" spans="1:4" x14ac:dyDescent="0.2">
      <c r="A1353">
        <v>1352</v>
      </c>
      <c r="B1353" s="626">
        <v>0</v>
      </c>
      <c r="C1353" s="626">
        <v>1000000</v>
      </c>
      <c r="D1353" s="626">
        <v>0</v>
      </c>
    </row>
    <row r="1354" spans="1:4" x14ac:dyDescent="0.2">
      <c r="A1354">
        <v>1353</v>
      </c>
      <c r="B1354" s="626">
        <v>0</v>
      </c>
      <c r="C1354" s="626">
        <v>1000000</v>
      </c>
      <c r="D1354" s="626">
        <v>0</v>
      </c>
    </row>
    <row r="1355" spans="1:4" x14ac:dyDescent="0.2">
      <c r="A1355">
        <v>1354</v>
      </c>
      <c r="B1355" s="626">
        <v>0</v>
      </c>
      <c r="C1355" s="626">
        <v>1000000</v>
      </c>
      <c r="D1355" s="626">
        <v>0</v>
      </c>
    </row>
    <row r="1356" spans="1:4" x14ac:dyDescent="0.2">
      <c r="A1356">
        <v>1355</v>
      </c>
      <c r="B1356" s="626">
        <v>0</v>
      </c>
      <c r="C1356" s="626">
        <v>1000000</v>
      </c>
      <c r="D1356" s="626">
        <v>0</v>
      </c>
    </row>
    <row r="1357" spans="1:4" x14ac:dyDescent="0.2">
      <c r="A1357">
        <v>1356</v>
      </c>
      <c r="B1357" s="626">
        <v>0</v>
      </c>
      <c r="C1357" s="626">
        <v>1000000</v>
      </c>
      <c r="D1357" s="626">
        <v>0</v>
      </c>
    </row>
    <row r="1358" spans="1:4" x14ac:dyDescent="0.2">
      <c r="A1358">
        <v>1357</v>
      </c>
      <c r="B1358" s="626">
        <v>0</v>
      </c>
      <c r="C1358" s="626">
        <v>1000000</v>
      </c>
      <c r="D1358" s="626">
        <v>0</v>
      </c>
    </row>
    <row r="1359" spans="1:4" x14ac:dyDescent="0.2">
      <c r="A1359">
        <v>1358</v>
      </c>
      <c r="B1359" s="626">
        <v>0</v>
      </c>
      <c r="C1359" s="626">
        <v>1000000</v>
      </c>
      <c r="D1359" s="626">
        <v>0</v>
      </c>
    </row>
    <row r="1360" spans="1:4" x14ac:dyDescent="0.2">
      <c r="A1360">
        <v>1359</v>
      </c>
      <c r="B1360" s="626">
        <v>0</v>
      </c>
      <c r="C1360" s="626">
        <v>1000000</v>
      </c>
      <c r="D1360" s="626">
        <v>0</v>
      </c>
    </row>
    <row r="1361" spans="1:4" x14ac:dyDescent="0.2">
      <c r="A1361">
        <v>1360</v>
      </c>
      <c r="B1361" s="626">
        <v>0</v>
      </c>
      <c r="C1361" s="626">
        <v>1000000</v>
      </c>
      <c r="D1361" s="626">
        <v>0</v>
      </c>
    </row>
    <row r="1362" spans="1:4" x14ac:dyDescent="0.2">
      <c r="A1362">
        <v>1361</v>
      </c>
      <c r="B1362" s="626">
        <v>0</v>
      </c>
      <c r="C1362" s="626">
        <v>1000000</v>
      </c>
      <c r="D1362" s="626">
        <v>0</v>
      </c>
    </row>
    <row r="1363" spans="1:4" x14ac:dyDescent="0.2">
      <c r="A1363">
        <v>1362</v>
      </c>
      <c r="B1363" s="626">
        <v>0</v>
      </c>
      <c r="C1363" s="626">
        <v>1000000</v>
      </c>
      <c r="D1363" s="626">
        <v>0</v>
      </c>
    </row>
    <row r="1364" spans="1:4" x14ac:dyDescent="0.2">
      <c r="A1364">
        <v>1363</v>
      </c>
      <c r="B1364" s="626">
        <v>0</v>
      </c>
      <c r="C1364" s="626">
        <v>1000000</v>
      </c>
      <c r="D1364" s="626">
        <v>0</v>
      </c>
    </row>
    <row r="1365" spans="1:4" x14ac:dyDescent="0.2">
      <c r="A1365">
        <v>1364</v>
      </c>
      <c r="B1365" s="626">
        <v>0</v>
      </c>
      <c r="C1365" s="626">
        <v>1000000</v>
      </c>
      <c r="D1365" s="626">
        <v>0</v>
      </c>
    </row>
    <row r="1366" spans="1:4" x14ac:dyDescent="0.2">
      <c r="A1366">
        <v>1365</v>
      </c>
      <c r="B1366" s="626">
        <v>0</v>
      </c>
      <c r="C1366" s="626">
        <v>1000000</v>
      </c>
      <c r="D1366" s="626">
        <v>0</v>
      </c>
    </row>
    <row r="1367" spans="1:4" x14ac:dyDescent="0.2">
      <c r="A1367">
        <v>1366</v>
      </c>
      <c r="B1367" s="626">
        <v>0</v>
      </c>
      <c r="C1367" s="626">
        <v>1000000</v>
      </c>
      <c r="D1367" s="626">
        <v>0</v>
      </c>
    </row>
    <row r="1368" spans="1:4" x14ac:dyDescent="0.2">
      <c r="A1368">
        <v>1367</v>
      </c>
      <c r="B1368" s="626">
        <v>0</v>
      </c>
      <c r="C1368" s="626">
        <v>1000000</v>
      </c>
      <c r="D1368" s="626">
        <v>0</v>
      </c>
    </row>
    <row r="1369" spans="1:4" x14ac:dyDescent="0.2">
      <c r="A1369">
        <v>1368</v>
      </c>
      <c r="B1369" s="626">
        <v>0</v>
      </c>
      <c r="C1369" s="626">
        <v>1000000</v>
      </c>
      <c r="D1369" s="626">
        <v>0</v>
      </c>
    </row>
    <row r="1370" spans="1:4" x14ac:dyDescent="0.2">
      <c r="A1370">
        <v>1369</v>
      </c>
      <c r="B1370" s="626">
        <v>0</v>
      </c>
      <c r="C1370" s="626">
        <v>1000000</v>
      </c>
      <c r="D1370" s="626">
        <v>0</v>
      </c>
    </row>
    <row r="1371" spans="1:4" x14ac:dyDescent="0.2">
      <c r="A1371">
        <v>1370</v>
      </c>
      <c r="B1371" s="626">
        <v>0</v>
      </c>
      <c r="C1371" s="626">
        <v>1000000</v>
      </c>
      <c r="D1371" s="626">
        <v>0</v>
      </c>
    </row>
    <row r="1372" spans="1:4" x14ac:dyDescent="0.2">
      <c r="A1372">
        <v>1371</v>
      </c>
      <c r="B1372" s="626">
        <v>0</v>
      </c>
      <c r="C1372" s="626">
        <v>1000000</v>
      </c>
      <c r="D1372" s="626">
        <v>0</v>
      </c>
    </row>
    <row r="1373" spans="1:4" x14ac:dyDescent="0.2">
      <c r="A1373">
        <v>1372</v>
      </c>
      <c r="B1373" s="626">
        <v>0</v>
      </c>
      <c r="C1373" s="626">
        <v>1000000</v>
      </c>
      <c r="D1373" s="626">
        <v>0</v>
      </c>
    </row>
    <row r="1374" spans="1:4" x14ac:dyDescent="0.2">
      <c r="A1374">
        <v>1373</v>
      </c>
      <c r="B1374" s="626">
        <v>0</v>
      </c>
      <c r="C1374" s="626">
        <v>1000000</v>
      </c>
      <c r="D1374" s="626">
        <v>0</v>
      </c>
    </row>
    <row r="1375" spans="1:4" x14ac:dyDescent="0.2">
      <c r="A1375">
        <v>1374</v>
      </c>
      <c r="B1375" s="626">
        <v>0</v>
      </c>
      <c r="C1375" s="626">
        <v>1000000</v>
      </c>
      <c r="D1375" s="626">
        <v>0</v>
      </c>
    </row>
    <row r="1376" spans="1:4" x14ac:dyDescent="0.2">
      <c r="A1376">
        <v>1375</v>
      </c>
      <c r="B1376" s="626">
        <v>0</v>
      </c>
      <c r="C1376" s="626">
        <v>1000000</v>
      </c>
      <c r="D1376" s="626">
        <v>0</v>
      </c>
    </row>
    <row r="1377" spans="1:4" x14ac:dyDescent="0.2">
      <c r="A1377">
        <v>1376</v>
      </c>
      <c r="B1377" s="626">
        <v>0</v>
      </c>
      <c r="C1377" s="626">
        <v>1000000</v>
      </c>
      <c r="D1377" s="626">
        <v>0</v>
      </c>
    </row>
    <row r="1378" spans="1:4" x14ac:dyDescent="0.2">
      <c r="A1378">
        <v>1377</v>
      </c>
      <c r="B1378" s="626">
        <v>0</v>
      </c>
      <c r="C1378" s="626">
        <v>1000000</v>
      </c>
      <c r="D1378" s="626">
        <v>0</v>
      </c>
    </row>
    <row r="1379" spans="1:4" x14ac:dyDescent="0.2">
      <c r="A1379">
        <v>1378</v>
      </c>
      <c r="B1379" s="626">
        <v>0</v>
      </c>
      <c r="C1379" s="626">
        <v>1000000</v>
      </c>
      <c r="D1379" s="626">
        <v>0</v>
      </c>
    </row>
    <row r="1380" spans="1:4" x14ac:dyDescent="0.2">
      <c r="A1380">
        <v>1379</v>
      </c>
      <c r="B1380" s="626">
        <v>0</v>
      </c>
      <c r="C1380" s="626">
        <v>1000000</v>
      </c>
      <c r="D1380" s="626">
        <v>0</v>
      </c>
    </row>
    <row r="1381" spans="1:4" x14ac:dyDescent="0.2">
      <c r="A1381">
        <v>1380</v>
      </c>
      <c r="B1381" s="626">
        <v>0</v>
      </c>
      <c r="C1381" s="626">
        <v>1000000</v>
      </c>
      <c r="D1381" s="626">
        <v>0</v>
      </c>
    </row>
    <row r="1382" spans="1:4" x14ac:dyDescent="0.2">
      <c r="A1382">
        <v>1381</v>
      </c>
      <c r="B1382" s="626">
        <v>0</v>
      </c>
      <c r="C1382" s="626">
        <v>1000000</v>
      </c>
      <c r="D1382" s="626">
        <v>0</v>
      </c>
    </row>
    <row r="1383" spans="1:4" x14ac:dyDescent="0.2">
      <c r="A1383">
        <v>1382</v>
      </c>
      <c r="B1383" s="626">
        <v>0</v>
      </c>
      <c r="C1383" s="626">
        <v>1000000</v>
      </c>
      <c r="D1383" s="626">
        <v>0</v>
      </c>
    </row>
    <row r="1384" spans="1:4" x14ac:dyDescent="0.2">
      <c r="A1384">
        <v>1383</v>
      </c>
      <c r="B1384" s="626">
        <v>0</v>
      </c>
      <c r="C1384" s="626">
        <v>1000000</v>
      </c>
      <c r="D1384" s="626">
        <v>0</v>
      </c>
    </row>
    <row r="1385" spans="1:4" x14ac:dyDescent="0.2">
      <c r="A1385">
        <v>1384</v>
      </c>
      <c r="B1385" s="626">
        <v>0</v>
      </c>
      <c r="C1385" s="626">
        <v>1000000</v>
      </c>
      <c r="D1385" s="626">
        <v>0</v>
      </c>
    </row>
    <row r="1386" spans="1:4" x14ac:dyDescent="0.2">
      <c r="A1386">
        <v>1385</v>
      </c>
      <c r="B1386" s="626">
        <v>0</v>
      </c>
      <c r="C1386" s="626">
        <v>1000000</v>
      </c>
      <c r="D1386" s="626">
        <v>0</v>
      </c>
    </row>
    <row r="1387" spans="1:4" x14ac:dyDescent="0.2">
      <c r="A1387">
        <v>1386</v>
      </c>
      <c r="B1387" s="626">
        <v>0</v>
      </c>
      <c r="C1387" s="626">
        <v>1000000</v>
      </c>
      <c r="D1387" s="626">
        <v>0</v>
      </c>
    </row>
    <row r="1388" spans="1:4" x14ac:dyDescent="0.2">
      <c r="A1388">
        <v>1387</v>
      </c>
      <c r="B1388" s="626">
        <v>0</v>
      </c>
      <c r="C1388" s="626">
        <v>1000000</v>
      </c>
      <c r="D1388" s="626">
        <v>0</v>
      </c>
    </row>
    <row r="1389" spans="1:4" x14ac:dyDescent="0.2">
      <c r="A1389">
        <v>1388</v>
      </c>
      <c r="B1389" s="626">
        <v>0</v>
      </c>
      <c r="C1389" s="626">
        <v>1000000</v>
      </c>
      <c r="D1389" s="626">
        <v>0</v>
      </c>
    </row>
    <row r="1390" spans="1:4" x14ac:dyDescent="0.2">
      <c r="A1390">
        <v>1389</v>
      </c>
      <c r="B1390" s="626">
        <v>0</v>
      </c>
      <c r="C1390" s="626">
        <v>1000000</v>
      </c>
      <c r="D1390" s="626">
        <v>0</v>
      </c>
    </row>
    <row r="1391" spans="1:4" x14ac:dyDescent="0.2">
      <c r="A1391">
        <v>1390</v>
      </c>
      <c r="B1391" s="626">
        <v>0</v>
      </c>
      <c r="C1391" s="626">
        <v>1000000</v>
      </c>
      <c r="D1391" s="626">
        <v>0</v>
      </c>
    </row>
    <row r="1392" spans="1:4" x14ac:dyDescent="0.2">
      <c r="A1392">
        <v>1391</v>
      </c>
      <c r="B1392" s="626">
        <v>0</v>
      </c>
      <c r="C1392" s="626">
        <v>1000000</v>
      </c>
      <c r="D1392" s="626">
        <v>0</v>
      </c>
    </row>
    <row r="1393" spans="1:4" x14ac:dyDescent="0.2">
      <c r="A1393">
        <v>1392</v>
      </c>
      <c r="B1393" s="626">
        <v>0</v>
      </c>
      <c r="C1393" s="626">
        <v>1000000</v>
      </c>
      <c r="D1393" s="626">
        <v>0</v>
      </c>
    </row>
    <row r="1394" spans="1:4" x14ac:dyDescent="0.2">
      <c r="A1394">
        <v>1393</v>
      </c>
      <c r="B1394" s="626">
        <v>0</v>
      </c>
      <c r="C1394" s="626">
        <v>1000000</v>
      </c>
      <c r="D1394" s="626">
        <v>0</v>
      </c>
    </row>
    <row r="1395" spans="1:4" x14ac:dyDescent="0.2">
      <c r="A1395">
        <v>1394</v>
      </c>
      <c r="B1395" s="626">
        <v>0</v>
      </c>
      <c r="C1395" s="626">
        <v>1000000</v>
      </c>
      <c r="D1395" s="626">
        <v>0</v>
      </c>
    </row>
    <row r="1396" spans="1:4" x14ac:dyDescent="0.2">
      <c r="A1396">
        <v>1395</v>
      </c>
      <c r="B1396" s="626">
        <v>0</v>
      </c>
      <c r="C1396" s="626">
        <v>1000000</v>
      </c>
      <c r="D1396" s="626">
        <v>0</v>
      </c>
    </row>
    <row r="1397" spans="1:4" x14ac:dyDescent="0.2">
      <c r="A1397">
        <v>1396</v>
      </c>
      <c r="B1397" s="626">
        <v>0</v>
      </c>
      <c r="C1397" s="626">
        <v>1000000</v>
      </c>
      <c r="D1397" s="626">
        <v>0</v>
      </c>
    </row>
    <row r="1398" spans="1:4" x14ac:dyDescent="0.2">
      <c r="A1398">
        <v>1397</v>
      </c>
      <c r="B1398" s="626">
        <v>0</v>
      </c>
      <c r="C1398" s="626">
        <v>1000000</v>
      </c>
      <c r="D1398" s="626">
        <v>0</v>
      </c>
    </row>
    <row r="1399" spans="1:4" x14ac:dyDescent="0.2">
      <c r="A1399">
        <v>1398</v>
      </c>
      <c r="B1399" s="626">
        <v>0</v>
      </c>
      <c r="C1399" s="626">
        <v>1000000</v>
      </c>
      <c r="D1399" s="626">
        <v>0</v>
      </c>
    </row>
    <row r="1400" spans="1:4" x14ac:dyDescent="0.2">
      <c r="A1400">
        <v>1399</v>
      </c>
      <c r="B1400" s="626">
        <v>0</v>
      </c>
      <c r="C1400" s="626">
        <v>1000000</v>
      </c>
      <c r="D1400" s="626">
        <v>0</v>
      </c>
    </row>
    <row r="1401" spans="1:4" x14ac:dyDescent="0.2">
      <c r="A1401">
        <v>1400</v>
      </c>
      <c r="B1401" s="626">
        <v>0</v>
      </c>
      <c r="C1401" s="626">
        <v>1000000</v>
      </c>
      <c r="D1401" s="626">
        <v>0</v>
      </c>
    </row>
    <row r="1402" spans="1:4" x14ac:dyDescent="0.2">
      <c r="A1402">
        <v>1401</v>
      </c>
      <c r="B1402" s="626">
        <v>0</v>
      </c>
      <c r="C1402" s="626">
        <v>1000000</v>
      </c>
      <c r="D1402" s="626">
        <v>0</v>
      </c>
    </row>
    <row r="1403" spans="1:4" x14ac:dyDescent="0.2">
      <c r="A1403">
        <v>1402</v>
      </c>
      <c r="B1403" s="626">
        <v>0</v>
      </c>
      <c r="C1403" s="626">
        <v>1000000</v>
      </c>
      <c r="D1403" s="626">
        <v>0</v>
      </c>
    </row>
    <row r="1404" spans="1:4" x14ac:dyDescent="0.2">
      <c r="A1404">
        <v>1403</v>
      </c>
      <c r="B1404" s="626">
        <v>0</v>
      </c>
      <c r="C1404" s="626">
        <v>1000000</v>
      </c>
      <c r="D1404" s="626">
        <v>0</v>
      </c>
    </row>
    <row r="1405" spans="1:4" x14ac:dyDescent="0.2">
      <c r="A1405">
        <v>1404</v>
      </c>
      <c r="B1405" s="626">
        <v>0</v>
      </c>
      <c r="C1405" s="626">
        <v>1000000</v>
      </c>
      <c r="D1405" s="626">
        <v>0</v>
      </c>
    </row>
    <row r="1406" spans="1:4" x14ac:dyDescent="0.2">
      <c r="A1406">
        <v>1405</v>
      </c>
      <c r="B1406" s="626">
        <v>0</v>
      </c>
      <c r="C1406" s="626">
        <v>1000000</v>
      </c>
      <c r="D1406" s="626">
        <v>0</v>
      </c>
    </row>
    <row r="1407" spans="1:4" x14ac:dyDescent="0.2">
      <c r="A1407">
        <v>1406</v>
      </c>
      <c r="B1407" s="626">
        <v>0</v>
      </c>
      <c r="C1407" s="626">
        <v>1000000</v>
      </c>
      <c r="D1407" s="626">
        <v>0</v>
      </c>
    </row>
    <row r="1408" spans="1:4" x14ac:dyDescent="0.2">
      <c r="A1408">
        <v>1407</v>
      </c>
      <c r="B1408" s="626">
        <v>0</v>
      </c>
      <c r="C1408" s="626">
        <v>1000000</v>
      </c>
      <c r="D1408" s="626">
        <v>0</v>
      </c>
    </row>
    <row r="1409" spans="1:4" x14ac:dyDescent="0.2">
      <c r="A1409">
        <v>1408</v>
      </c>
      <c r="B1409" s="626">
        <v>0</v>
      </c>
      <c r="C1409" s="626">
        <v>1000000</v>
      </c>
      <c r="D1409" s="626">
        <v>0</v>
      </c>
    </row>
    <row r="1410" spans="1:4" x14ac:dyDescent="0.2">
      <c r="A1410">
        <v>1409</v>
      </c>
      <c r="B1410" s="626">
        <v>0</v>
      </c>
      <c r="C1410" s="626">
        <v>1000000</v>
      </c>
      <c r="D1410" s="626">
        <v>0</v>
      </c>
    </row>
    <row r="1411" spans="1:4" x14ac:dyDescent="0.2">
      <c r="A1411">
        <v>1410</v>
      </c>
      <c r="B1411" s="626">
        <v>0</v>
      </c>
      <c r="C1411" s="626">
        <v>1000000</v>
      </c>
      <c r="D1411" s="626">
        <v>0</v>
      </c>
    </row>
    <row r="1412" spans="1:4" x14ac:dyDescent="0.2">
      <c r="A1412">
        <v>1411</v>
      </c>
      <c r="B1412" s="626">
        <v>0</v>
      </c>
      <c r="C1412" s="626">
        <v>1000000</v>
      </c>
      <c r="D1412" s="626">
        <v>0</v>
      </c>
    </row>
    <row r="1413" spans="1:4" x14ac:dyDescent="0.2">
      <c r="A1413">
        <v>1412</v>
      </c>
      <c r="B1413" s="626">
        <v>0</v>
      </c>
      <c r="C1413" s="626">
        <v>1000000</v>
      </c>
      <c r="D1413" s="626">
        <v>0</v>
      </c>
    </row>
    <row r="1414" spans="1:4" x14ac:dyDescent="0.2">
      <c r="A1414">
        <v>1413</v>
      </c>
      <c r="B1414" s="626">
        <v>0</v>
      </c>
      <c r="C1414" s="626">
        <v>1000000</v>
      </c>
      <c r="D1414" s="626">
        <v>0</v>
      </c>
    </row>
    <row r="1415" spans="1:4" x14ac:dyDescent="0.2">
      <c r="A1415">
        <v>1414</v>
      </c>
      <c r="B1415" s="626">
        <v>0</v>
      </c>
      <c r="C1415" s="626">
        <v>1000000</v>
      </c>
      <c r="D1415" s="626">
        <v>0</v>
      </c>
    </row>
    <row r="1416" spans="1:4" x14ac:dyDescent="0.2">
      <c r="A1416">
        <v>1415</v>
      </c>
      <c r="B1416" s="626">
        <v>0</v>
      </c>
      <c r="C1416" s="626">
        <v>1000000</v>
      </c>
      <c r="D1416" s="626">
        <v>0</v>
      </c>
    </row>
    <row r="1417" spans="1:4" x14ac:dyDescent="0.2">
      <c r="A1417">
        <v>1416</v>
      </c>
      <c r="B1417" s="626">
        <v>0</v>
      </c>
      <c r="C1417" s="626">
        <v>1000000</v>
      </c>
      <c r="D1417" s="626">
        <v>0</v>
      </c>
    </row>
    <row r="1418" spans="1:4" x14ac:dyDescent="0.2">
      <c r="A1418">
        <v>1417</v>
      </c>
      <c r="B1418" s="626">
        <v>0</v>
      </c>
      <c r="C1418" s="626">
        <v>1000000</v>
      </c>
      <c r="D1418" s="626">
        <v>0</v>
      </c>
    </row>
    <row r="1419" spans="1:4" x14ac:dyDescent="0.2">
      <c r="A1419">
        <v>1418</v>
      </c>
      <c r="B1419" s="626">
        <v>0</v>
      </c>
      <c r="C1419" s="626">
        <v>1000000</v>
      </c>
      <c r="D1419" s="626">
        <v>0</v>
      </c>
    </row>
    <row r="1420" spans="1:4" x14ac:dyDescent="0.2">
      <c r="A1420">
        <v>1419</v>
      </c>
      <c r="B1420" s="626">
        <v>0</v>
      </c>
      <c r="C1420" s="626">
        <v>1000000</v>
      </c>
      <c r="D1420" s="626">
        <v>0</v>
      </c>
    </row>
    <row r="1421" spans="1:4" x14ac:dyDescent="0.2">
      <c r="A1421">
        <v>1420</v>
      </c>
      <c r="B1421" s="626">
        <v>0</v>
      </c>
      <c r="C1421" s="626">
        <v>1000000</v>
      </c>
      <c r="D1421" s="626">
        <v>0</v>
      </c>
    </row>
    <row r="1422" spans="1:4" x14ac:dyDescent="0.2">
      <c r="A1422">
        <v>1421</v>
      </c>
      <c r="B1422" s="626">
        <v>0</v>
      </c>
      <c r="C1422" s="626">
        <v>1000000</v>
      </c>
      <c r="D1422" s="626">
        <v>0</v>
      </c>
    </row>
    <row r="1423" spans="1:4" x14ac:dyDescent="0.2">
      <c r="A1423">
        <v>1422</v>
      </c>
      <c r="B1423" s="626">
        <v>0</v>
      </c>
      <c r="C1423" s="626">
        <v>1000000</v>
      </c>
      <c r="D1423" s="626">
        <v>0</v>
      </c>
    </row>
    <row r="1424" spans="1:4" x14ac:dyDescent="0.2">
      <c r="A1424">
        <v>1423</v>
      </c>
      <c r="B1424" s="626">
        <v>0</v>
      </c>
      <c r="C1424" s="626">
        <v>1000000</v>
      </c>
      <c r="D1424" s="626">
        <v>0</v>
      </c>
    </row>
    <row r="1425" spans="1:4" x14ac:dyDescent="0.2">
      <c r="A1425">
        <v>1424</v>
      </c>
      <c r="B1425" s="626">
        <v>0</v>
      </c>
      <c r="C1425" s="626">
        <v>1000000</v>
      </c>
      <c r="D1425" s="626">
        <v>0</v>
      </c>
    </row>
    <row r="1426" spans="1:4" x14ac:dyDescent="0.2">
      <c r="A1426">
        <v>1425</v>
      </c>
      <c r="B1426" s="626">
        <v>0</v>
      </c>
      <c r="C1426" s="626">
        <v>1000000</v>
      </c>
      <c r="D1426" s="626">
        <v>0</v>
      </c>
    </row>
    <row r="1427" spans="1:4" x14ac:dyDescent="0.2">
      <c r="A1427">
        <v>1426</v>
      </c>
      <c r="B1427" s="626">
        <v>0</v>
      </c>
      <c r="C1427" s="626">
        <v>1000000</v>
      </c>
      <c r="D1427" s="626">
        <v>0</v>
      </c>
    </row>
    <row r="1428" spans="1:4" x14ac:dyDescent="0.2">
      <c r="A1428">
        <v>1427</v>
      </c>
      <c r="B1428" s="626">
        <v>0</v>
      </c>
      <c r="C1428" s="626">
        <v>1000000</v>
      </c>
      <c r="D1428" s="626">
        <v>0</v>
      </c>
    </row>
    <row r="1429" spans="1:4" x14ac:dyDescent="0.2">
      <c r="A1429">
        <v>1428</v>
      </c>
      <c r="B1429" s="626">
        <v>0</v>
      </c>
      <c r="C1429" s="626">
        <v>1000000</v>
      </c>
      <c r="D1429" s="626">
        <v>0</v>
      </c>
    </row>
    <row r="1430" spans="1:4" x14ac:dyDescent="0.2">
      <c r="A1430">
        <v>1429</v>
      </c>
      <c r="B1430" s="626">
        <v>0</v>
      </c>
      <c r="C1430" s="626">
        <v>1000000</v>
      </c>
      <c r="D1430" s="626">
        <v>0</v>
      </c>
    </row>
    <row r="1431" spans="1:4" x14ac:dyDescent="0.2">
      <c r="A1431">
        <v>1430</v>
      </c>
      <c r="B1431" s="626">
        <v>0</v>
      </c>
      <c r="C1431" s="626">
        <v>1000000</v>
      </c>
      <c r="D1431" s="626">
        <v>0</v>
      </c>
    </row>
    <row r="1432" spans="1:4" x14ac:dyDescent="0.2">
      <c r="A1432">
        <v>1431</v>
      </c>
      <c r="B1432" s="626">
        <v>0</v>
      </c>
      <c r="C1432" s="626">
        <v>1000000</v>
      </c>
      <c r="D1432" s="626">
        <v>0</v>
      </c>
    </row>
    <row r="1433" spans="1:4" x14ac:dyDescent="0.2">
      <c r="A1433">
        <v>1432</v>
      </c>
      <c r="B1433" s="626">
        <v>0</v>
      </c>
      <c r="C1433" s="626">
        <v>1000000</v>
      </c>
      <c r="D1433" s="626">
        <v>0</v>
      </c>
    </row>
    <row r="1434" spans="1:4" x14ac:dyDescent="0.2">
      <c r="A1434">
        <v>1433</v>
      </c>
      <c r="B1434" s="626">
        <v>0</v>
      </c>
      <c r="C1434" s="626">
        <v>1000000</v>
      </c>
      <c r="D1434" s="626">
        <v>0</v>
      </c>
    </row>
    <row r="1435" spans="1:4" x14ac:dyDescent="0.2">
      <c r="A1435">
        <v>1434</v>
      </c>
      <c r="B1435" s="626">
        <v>0</v>
      </c>
      <c r="C1435" s="626">
        <v>1000000</v>
      </c>
      <c r="D1435" s="626">
        <v>0</v>
      </c>
    </row>
    <row r="1436" spans="1:4" x14ac:dyDescent="0.2">
      <c r="A1436">
        <v>1435</v>
      </c>
      <c r="B1436" s="626">
        <v>0</v>
      </c>
      <c r="C1436" s="626">
        <v>1000000</v>
      </c>
      <c r="D1436" s="626">
        <v>0</v>
      </c>
    </row>
    <row r="1437" spans="1:4" x14ac:dyDescent="0.2">
      <c r="A1437">
        <v>1436</v>
      </c>
      <c r="B1437" s="626">
        <v>0</v>
      </c>
      <c r="C1437" s="626">
        <v>1000000</v>
      </c>
      <c r="D1437" s="626">
        <v>0</v>
      </c>
    </row>
    <row r="1438" spans="1:4" x14ac:dyDescent="0.2">
      <c r="A1438">
        <v>1437</v>
      </c>
      <c r="B1438" s="626">
        <v>0</v>
      </c>
      <c r="C1438" s="626">
        <v>1000000</v>
      </c>
      <c r="D1438" s="626">
        <v>0</v>
      </c>
    </row>
    <row r="1439" spans="1:4" x14ac:dyDescent="0.2">
      <c r="A1439">
        <v>1438</v>
      </c>
      <c r="B1439" s="626">
        <v>0</v>
      </c>
      <c r="C1439" s="626">
        <v>1000000</v>
      </c>
      <c r="D1439" s="626">
        <v>0</v>
      </c>
    </row>
    <row r="1440" spans="1:4" x14ac:dyDescent="0.2">
      <c r="A1440">
        <v>1439</v>
      </c>
      <c r="B1440" s="626">
        <v>0</v>
      </c>
      <c r="C1440" s="626">
        <v>1000000</v>
      </c>
      <c r="D1440" s="626">
        <v>0</v>
      </c>
    </row>
    <row r="1441" spans="1:4" x14ac:dyDescent="0.2">
      <c r="A1441">
        <v>1440</v>
      </c>
      <c r="B1441" s="626">
        <v>0</v>
      </c>
      <c r="C1441" s="626">
        <v>1000000</v>
      </c>
      <c r="D1441" s="626">
        <v>0</v>
      </c>
    </row>
    <row r="1442" spans="1:4" x14ac:dyDescent="0.2">
      <c r="A1442">
        <v>1441</v>
      </c>
      <c r="B1442" s="626">
        <v>0</v>
      </c>
      <c r="C1442" s="626">
        <v>1000000</v>
      </c>
      <c r="D1442" s="626">
        <v>0</v>
      </c>
    </row>
    <row r="1443" spans="1:4" x14ac:dyDescent="0.2">
      <c r="A1443">
        <v>1442</v>
      </c>
      <c r="B1443" s="626">
        <v>0</v>
      </c>
      <c r="C1443" s="626">
        <v>1000000</v>
      </c>
      <c r="D1443" s="626">
        <v>0</v>
      </c>
    </row>
    <row r="1444" spans="1:4" x14ac:dyDescent="0.2">
      <c r="A1444">
        <v>1443</v>
      </c>
      <c r="B1444" s="626">
        <v>0</v>
      </c>
      <c r="C1444" s="626">
        <v>1000000</v>
      </c>
      <c r="D1444" s="626">
        <v>0</v>
      </c>
    </row>
    <row r="1445" spans="1:4" x14ac:dyDescent="0.2">
      <c r="A1445">
        <v>1444</v>
      </c>
      <c r="B1445" s="626">
        <v>0</v>
      </c>
      <c r="C1445" s="626">
        <v>1000000</v>
      </c>
      <c r="D1445" s="626">
        <v>0</v>
      </c>
    </row>
    <row r="1446" spans="1:4" x14ac:dyDescent="0.2">
      <c r="A1446">
        <v>1445</v>
      </c>
      <c r="B1446" s="626">
        <v>0</v>
      </c>
      <c r="C1446" s="626">
        <v>1000000</v>
      </c>
      <c r="D1446" s="626">
        <v>0</v>
      </c>
    </row>
    <row r="1447" spans="1:4" x14ac:dyDescent="0.2">
      <c r="A1447">
        <v>1446</v>
      </c>
      <c r="B1447" s="626">
        <v>0</v>
      </c>
      <c r="C1447" s="626">
        <v>1000000</v>
      </c>
      <c r="D1447" s="626">
        <v>0</v>
      </c>
    </row>
    <row r="1448" spans="1:4" x14ac:dyDescent="0.2">
      <c r="A1448">
        <v>1447</v>
      </c>
      <c r="B1448" s="626">
        <v>0</v>
      </c>
      <c r="C1448" s="626">
        <v>1000000</v>
      </c>
      <c r="D1448" s="626">
        <v>0</v>
      </c>
    </row>
    <row r="1449" spans="1:4" x14ac:dyDescent="0.2">
      <c r="A1449">
        <v>1448</v>
      </c>
      <c r="B1449" s="626">
        <v>0</v>
      </c>
      <c r="C1449" s="626">
        <v>1000000</v>
      </c>
      <c r="D1449" s="626">
        <v>0</v>
      </c>
    </row>
    <row r="1450" spans="1:4" x14ac:dyDescent="0.2">
      <c r="A1450">
        <v>1449</v>
      </c>
      <c r="B1450" s="626">
        <v>0</v>
      </c>
      <c r="C1450" s="626">
        <v>1000000</v>
      </c>
      <c r="D1450" s="626">
        <v>0</v>
      </c>
    </row>
    <row r="1451" spans="1:4" x14ac:dyDescent="0.2">
      <c r="A1451">
        <v>1450</v>
      </c>
      <c r="B1451" s="626">
        <v>0</v>
      </c>
      <c r="C1451" s="626">
        <v>1000000</v>
      </c>
      <c r="D1451" s="626">
        <v>0</v>
      </c>
    </row>
    <row r="1452" spans="1:4" x14ac:dyDescent="0.2">
      <c r="A1452">
        <v>1451</v>
      </c>
      <c r="B1452" s="626">
        <v>0</v>
      </c>
      <c r="C1452" s="626">
        <v>1000000</v>
      </c>
      <c r="D1452" s="626">
        <v>0</v>
      </c>
    </row>
    <row r="1453" spans="1:4" x14ac:dyDescent="0.2">
      <c r="A1453">
        <v>1452</v>
      </c>
      <c r="B1453" s="626">
        <v>0</v>
      </c>
      <c r="C1453" s="626">
        <v>1000000</v>
      </c>
      <c r="D1453" s="626">
        <v>0</v>
      </c>
    </row>
    <row r="1454" spans="1:4" x14ac:dyDescent="0.2">
      <c r="A1454">
        <v>1453</v>
      </c>
      <c r="B1454" s="626">
        <v>0</v>
      </c>
      <c r="C1454" s="626">
        <v>1000000</v>
      </c>
      <c r="D1454" s="626">
        <v>0</v>
      </c>
    </row>
    <row r="1455" spans="1:4" x14ac:dyDescent="0.2">
      <c r="A1455">
        <v>1454</v>
      </c>
      <c r="B1455" s="626">
        <v>0</v>
      </c>
      <c r="C1455" s="626">
        <v>1000000</v>
      </c>
      <c r="D1455" s="626">
        <v>0</v>
      </c>
    </row>
    <row r="1456" spans="1:4" x14ac:dyDescent="0.2">
      <c r="A1456">
        <v>1455</v>
      </c>
      <c r="B1456" s="626">
        <v>0</v>
      </c>
      <c r="C1456" s="626">
        <v>1000000</v>
      </c>
      <c r="D1456" s="626">
        <v>0</v>
      </c>
    </row>
    <row r="1457" spans="1:4" x14ac:dyDescent="0.2">
      <c r="A1457">
        <v>1456</v>
      </c>
      <c r="B1457" s="626">
        <v>0</v>
      </c>
      <c r="C1457" s="626">
        <v>1000000</v>
      </c>
      <c r="D1457" s="626">
        <v>0</v>
      </c>
    </row>
    <row r="1458" spans="1:4" x14ac:dyDescent="0.2">
      <c r="A1458">
        <v>1457</v>
      </c>
      <c r="B1458" s="626">
        <v>0</v>
      </c>
      <c r="C1458" s="626">
        <v>1000000</v>
      </c>
      <c r="D1458" s="626">
        <v>0</v>
      </c>
    </row>
    <row r="1459" spans="1:4" x14ac:dyDescent="0.2">
      <c r="A1459">
        <v>1458</v>
      </c>
      <c r="B1459" s="626">
        <v>0</v>
      </c>
      <c r="C1459" s="626">
        <v>1000000</v>
      </c>
      <c r="D1459" s="626">
        <v>0</v>
      </c>
    </row>
    <row r="1460" spans="1:4" x14ac:dyDescent="0.2">
      <c r="A1460">
        <v>1459</v>
      </c>
      <c r="B1460" s="626">
        <v>0</v>
      </c>
      <c r="C1460" s="626">
        <v>1000000</v>
      </c>
      <c r="D1460" s="626">
        <v>0</v>
      </c>
    </row>
    <row r="1461" spans="1:4" x14ac:dyDescent="0.2">
      <c r="A1461">
        <v>1460</v>
      </c>
      <c r="B1461" s="626">
        <v>0</v>
      </c>
      <c r="C1461" s="626">
        <v>1000000</v>
      </c>
      <c r="D1461" s="626">
        <v>0</v>
      </c>
    </row>
    <row r="1462" spans="1:4" x14ac:dyDescent="0.2">
      <c r="A1462">
        <v>1461</v>
      </c>
      <c r="B1462" s="626">
        <v>0</v>
      </c>
      <c r="C1462" s="626">
        <v>1000000</v>
      </c>
      <c r="D1462" s="626">
        <v>0</v>
      </c>
    </row>
    <row r="1463" spans="1:4" x14ac:dyDescent="0.2">
      <c r="A1463">
        <v>1462</v>
      </c>
      <c r="B1463" s="626">
        <v>0</v>
      </c>
      <c r="C1463" s="626">
        <v>1000000</v>
      </c>
      <c r="D1463" s="626">
        <v>0</v>
      </c>
    </row>
    <row r="1464" spans="1:4" x14ac:dyDescent="0.2">
      <c r="A1464">
        <v>1463</v>
      </c>
      <c r="B1464" s="626">
        <v>0</v>
      </c>
      <c r="C1464" s="626">
        <v>1000000</v>
      </c>
      <c r="D1464" s="626">
        <v>0</v>
      </c>
    </row>
    <row r="1465" spans="1:4" x14ac:dyDescent="0.2">
      <c r="A1465">
        <v>1464</v>
      </c>
      <c r="B1465" s="626">
        <v>0</v>
      </c>
      <c r="C1465" s="626">
        <v>1000000</v>
      </c>
      <c r="D1465" s="626">
        <v>0</v>
      </c>
    </row>
    <row r="1466" spans="1:4" x14ac:dyDescent="0.2">
      <c r="A1466">
        <v>1465</v>
      </c>
      <c r="B1466" s="626">
        <v>0</v>
      </c>
      <c r="C1466" s="626">
        <v>1000000</v>
      </c>
      <c r="D1466" s="626">
        <v>0</v>
      </c>
    </row>
    <row r="1467" spans="1:4" x14ac:dyDescent="0.2">
      <c r="A1467">
        <v>1466</v>
      </c>
      <c r="B1467" s="626">
        <v>0</v>
      </c>
      <c r="C1467" s="626">
        <v>1000000</v>
      </c>
      <c r="D1467" s="626">
        <v>0</v>
      </c>
    </row>
    <row r="1468" spans="1:4" x14ac:dyDescent="0.2">
      <c r="A1468">
        <v>1467</v>
      </c>
      <c r="B1468" s="626">
        <v>0</v>
      </c>
      <c r="C1468" s="626">
        <v>1000000</v>
      </c>
      <c r="D1468" s="626">
        <v>0</v>
      </c>
    </row>
    <row r="1469" spans="1:4" x14ac:dyDescent="0.2">
      <c r="A1469">
        <v>1468</v>
      </c>
      <c r="B1469" s="626">
        <v>0</v>
      </c>
      <c r="C1469" s="626">
        <v>1000000</v>
      </c>
      <c r="D1469" s="626">
        <v>0</v>
      </c>
    </row>
    <row r="1470" spans="1:4" x14ac:dyDescent="0.2">
      <c r="A1470">
        <v>1469</v>
      </c>
      <c r="B1470" s="626">
        <v>0</v>
      </c>
      <c r="C1470" s="626">
        <v>1000000</v>
      </c>
      <c r="D1470" s="626">
        <v>0</v>
      </c>
    </row>
    <row r="1471" spans="1:4" x14ac:dyDescent="0.2">
      <c r="A1471">
        <v>1470</v>
      </c>
      <c r="B1471" s="626">
        <v>0</v>
      </c>
      <c r="C1471" s="626">
        <v>1000000</v>
      </c>
      <c r="D1471" s="626">
        <v>0</v>
      </c>
    </row>
    <row r="1472" spans="1:4" x14ac:dyDescent="0.2">
      <c r="A1472">
        <v>1471</v>
      </c>
      <c r="B1472" s="626">
        <v>0</v>
      </c>
      <c r="C1472" s="626">
        <v>1000000</v>
      </c>
      <c r="D1472" s="626">
        <v>0</v>
      </c>
    </row>
    <row r="1473" spans="1:4" x14ac:dyDescent="0.2">
      <c r="A1473">
        <v>1472</v>
      </c>
      <c r="B1473" s="626">
        <v>0</v>
      </c>
      <c r="C1473" s="626">
        <v>1000000</v>
      </c>
      <c r="D1473" s="626">
        <v>0</v>
      </c>
    </row>
    <row r="1474" spans="1:4" x14ac:dyDescent="0.2">
      <c r="A1474">
        <v>1473</v>
      </c>
      <c r="B1474" s="626">
        <v>0</v>
      </c>
      <c r="C1474" s="626">
        <v>1000000</v>
      </c>
      <c r="D1474" s="626">
        <v>0</v>
      </c>
    </row>
    <row r="1475" spans="1:4" x14ac:dyDescent="0.2">
      <c r="A1475">
        <v>1474</v>
      </c>
      <c r="B1475" s="626">
        <v>0</v>
      </c>
      <c r="C1475" s="626">
        <v>1000000</v>
      </c>
      <c r="D1475" s="626">
        <v>0</v>
      </c>
    </row>
    <row r="1476" spans="1:4" x14ac:dyDescent="0.2">
      <c r="A1476">
        <v>1475</v>
      </c>
      <c r="B1476" s="626">
        <v>0</v>
      </c>
      <c r="C1476" s="626">
        <v>1000000</v>
      </c>
      <c r="D1476" s="626">
        <v>0</v>
      </c>
    </row>
    <row r="1477" spans="1:4" x14ac:dyDescent="0.2">
      <c r="A1477">
        <v>1476</v>
      </c>
      <c r="B1477" s="626">
        <v>0</v>
      </c>
      <c r="C1477" s="626">
        <v>1000000</v>
      </c>
      <c r="D1477" s="626">
        <v>0</v>
      </c>
    </row>
    <row r="1478" spans="1:4" x14ac:dyDescent="0.2">
      <c r="A1478">
        <v>1477</v>
      </c>
      <c r="B1478" s="626">
        <v>0</v>
      </c>
      <c r="C1478" s="626">
        <v>1000000</v>
      </c>
      <c r="D1478" s="626">
        <v>0</v>
      </c>
    </row>
    <row r="1479" spans="1:4" x14ac:dyDescent="0.2">
      <c r="A1479">
        <v>1478</v>
      </c>
      <c r="B1479" s="626">
        <v>0</v>
      </c>
      <c r="C1479" s="626">
        <v>1000000</v>
      </c>
      <c r="D1479" s="626">
        <v>0</v>
      </c>
    </row>
    <row r="1480" spans="1:4" x14ac:dyDescent="0.2">
      <c r="A1480">
        <v>1479</v>
      </c>
      <c r="B1480" s="626">
        <v>0</v>
      </c>
      <c r="C1480" s="626">
        <v>1000000</v>
      </c>
      <c r="D1480" s="626">
        <v>0</v>
      </c>
    </row>
    <row r="1481" spans="1:4" x14ac:dyDescent="0.2">
      <c r="A1481">
        <v>1480</v>
      </c>
      <c r="B1481" s="626">
        <v>0</v>
      </c>
      <c r="C1481" s="626">
        <v>1000000</v>
      </c>
      <c r="D1481" s="626">
        <v>0</v>
      </c>
    </row>
    <row r="1482" spans="1:4" x14ac:dyDescent="0.2">
      <c r="A1482">
        <v>1481</v>
      </c>
      <c r="B1482" s="626">
        <v>0</v>
      </c>
      <c r="C1482" s="626">
        <v>1000000</v>
      </c>
      <c r="D1482" s="626">
        <v>0</v>
      </c>
    </row>
    <row r="1483" spans="1:4" x14ac:dyDescent="0.2">
      <c r="A1483">
        <v>1482</v>
      </c>
      <c r="B1483" s="626">
        <v>0</v>
      </c>
      <c r="C1483" s="626">
        <v>1000000</v>
      </c>
      <c r="D1483" s="626">
        <v>0</v>
      </c>
    </row>
    <row r="1484" spans="1:4" x14ac:dyDescent="0.2">
      <c r="A1484">
        <v>1483</v>
      </c>
      <c r="B1484" s="626">
        <v>0</v>
      </c>
      <c r="C1484" s="626">
        <v>1000000</v>
      </c>
      <c r="D1484" s="626">
        <v>0</v>
      </c>
    </row>
    <row r="1485" spans="1:4" x14ac:dyDescent="0.2">
      <c r="A1485">
        <v>1484</v>
      </c>
      <c r="B1485" s="626">
        <v>0</v>
      </c>
      <c r="C1485" s="626">
        <v>1000000</v>
      </c>
      <c r="D1485" s="626">
        <v>0</v>
      </c>
    </row>
    <row r="1486" spans="1:4" x14ac:dyDescent="0.2">
      <c r="A1486">
        <v>1485</v>
      </c>
      <c r="B1486" s="626">
        <v>0</v>
      </c>
      <c r="C1486" s="626">
        <v>1000000</v>
      </c>
      <c r="D1486" s="626">
        <v>0</v>
      </c>
    </row>
    <row r="1487" spans="1:4" x14ac:dyDescent="0.2">
      <c r="A1487">
        <v>1486</v>
      </c>
      <c r="B1487" s="626">
        <v>0</v>
      </c>
      <c r="C1487" s="626">
        <v>1000000</v>
      </c>
      <c r="D1487" s="626">
        <v>0</v>
      </c>
    </row>
    <row r="1488" spans="1:4" x14ac:dyDescent="0.2">
      <c r="A1488">
        <v>1487</v>
      </c>
      <c r="B1488" s="626">
        <v>0</v>
      </c>
      <c r="C1488" s="626">
        <v>1000000</v>
      </c>
      <c r="D1488" s="626">
        <v>0</v>
      </c>
    </row>
    <row r="1489" spans="1:4" x14ac:dyDescent="0.2">
      <c r="A1489">
        <v>1488</v>
      </c>
      <c r="B1489" s="626">
        <v>0</v>
      </c>
      <c r="C1489" s="626">
        <v>1000000</v>
      </c>
      <c r="D1489" s="626">
        <v>0</v>
      </c>
    </row>
    <row r="1490" spans="1:4" x14ac:dyDescent="0.2">
      <c r="A1490">
        <v>1489</v>
      </c>
      <c r="B1490" s="626">
        <v>0</v>
      </c>
      <c r="C1490" s="626">
        <v>1000000</v>
      </c>
      <c r="D1490" s="626">
        <v>0</v>
      </c>
    </row>
    <row r="1491" spans="1:4" x14ac:dyDescent="0.2">
      <c r="A1491">
        <v>1490</v>
      </c>
      <c r="B1491" s="626">
        <v>0</v>
      </c>
      <c r="C1491" s="626">
        <v>1000000</v>
      </c>
      <c r="D1491" s="626">
        <v>0</v>
      </c>
    </row>
    <row r="1492" spans="1:4" x14ac:dyDescent="0.2">
      <c r="A1492">
        <v>1491</v>
      </c>
      <c r="B1492" s="626">
        <v>0</v>
      </c>
      <c r="C1492" s="626">
        <v>1000000</v>
      </c>
      <c r="D1492" s="626">
        <v>0</v>
      </c>
    </row>
    <row r="1493" spans="1:4" x14ac:dyDescent="0.2">
      <c r="A1493">
        <v>1492</v>
      </c>
      <c r="B1493" s="626">
        <v>0</v>
      </c>
      <c r="C1493" s="626">
        <v>1000000</v>
      </c>
      <c r="D1493" s="626">
        <v>0</v>
      </c>
    </row>
    <row r="1494" spans="1:4" x14ac:dyDescent="0.2">
      <c r="A1494">
        <v>1493</v>
      </c>
      <c r="B1494" s="626">
        <v>0</v>
      </c>
      <c r="C1494" s="626">
        <v>1000000</v>
      </c>
      <c r="D1494" s="626">
        <v>0</v>
      </c>
    </row>
    <row r="1495" spans="1:4" x14ac:dyDescent="0.2">
      <c r="A1495">
        <v>1494</v>
      </c>
      <c r="B1495" s="626">
        <v>0</v>
      </c>
      <c r="C1495" s="626">
        <v>1000000</v>
      </c>
      <c r="D1495" s="626">
        <v>0</v>
      </c>
    </row>
    <row r="1496" spans="1:4" x14ac:dyDescent="0.2">
      <c r="A1496">
        <v>1495</v>
      </c>
      <c r="B1496" s="626">
        <v>0</v>
      </c>
      <c r="C1496" s="626">
        <v>1000000</v>
      </c>
      <c r="D1496" s="626">
        <v>0</v>
      </c>
    </row>
    <row r="1497" spans="1:4" x14ac:dyDescent="0.2">
      <c r="A1497">
        <v>1496</v>
      </c>
      <c r="B1497" s="626">
        <v>0</v>
      </c>
      <c r="C1497" s="626">
        <v>1000000</v>
      </c>
      <c r="D1497" s="626">
        <v>0</v>
      </c>
    </row>
    <row r="1498" spans="1:4" x14ac:dyDescent="0.2">
      <c r="A1498">
        <v>1497</v>
      </c>
      <c r="B1498" s="626">
        <v>0</v>
      </c>
      <c r="C1498" s="626">
        <v>1000000</v>
      </c>
      <c r="D1498" s="626">
        <v>0</v>
      </c>
    </row>
    <row r="1499" spans="1:4" x14ac:dyDescent="0.2">
      <c r="A1499">
        <v>1498</v>
      </c>
      <c r="B1499" s="626">
        <v>0</v>
      </c>
      <c r="C1499" s="626">
        <v>1000000</v>
      </c>
      <c r="D1499" s="626">
        <v>0</v>
      </c>
    </row>
    <row r="1500" spans="1:4" x14ac:dyDescent="0.2">
      <c r="A1500">
        <v>1499</v>
      </c>
      <c r="B1500" s="626">
        <v>0</v>
      </c>
      <c r="C1500" s="626">
        <v>1000000</v>
      </c>
      <c r="D1500" s="626">
        <v>0</v>
      </c>
    </row>
    <row r="1501" spans="1:4" x14ac:dyDescent="0.2">
      <c r="A1501">
        <v>1500</v>
      </c>
      <c r="B1501" s="626">
        <v>0</v>
      </c>
      <c r="C1501" s="626">
        <v>1000000</v>
      </c>
      <c r="D1501" s="626">
        <v>0</v>
      </c>
    </row>
    <row r="1502" spans="1:4" x14ac:dyDescent="0.2">
      <c r="A1502">
        <v>1501</v>
      </c>
      <c r="B1502" s="626">
        <v>0</v>
      </c>
      <c r="C1502" s="626">
        <v>1000000</v>
      </c>
      <c r="D1502" s="626">
        <v>0</v>
      </c>
    </row>
    <row r="1503" spans="1:4" x14ac:dyDescent="0.2">
      <c r="A1503">
        <v>1502</v>
      </c>
      <c r="B1503" s="626">
        <v>0</v>
      </c>
      <c r="C1503" s="626">
        <v>1000000</v>
      </c>
      <c r="D1503" s="626">
        <v>0</v>
      </c>
    </row>
    <row r="1504" spans="1:4" x14ac:dyDescent="0.2">
      <c r="A1504">
        <v>1503</v>
      </c>
      <c r="B1504" s="626">
        <v>0</v>
      </c>
      <c r="C1504" s="626">
        <v>1000000</v>
      </c>
      <c r="D1504" s="626">
        <v>0</v>
      </c>
    </row>
    <row r="1505" spans="1:4" x14ac:dyDescent="0.2">
      <c r="A1505">
        <v>1504</v>
      </c>
      <c r="B1505" s="626">
        <v>0</v>
      </c>
      <c r="C1505" s="626">
        <v>1000000</v>
      </c>
      <c r="D1505" s="626">
        <v>0</v>
      </c>
    </row>
    <row r="1506" spans="1:4" x14ac:dyDescent="0.2">
      <c r="A1506">
        <v>1505</v>
      </c>
      <c r="B1506" s="626">
        <v>0</v>
      </c>
      <c r="C1506" s="626">
        <v>1000000</v>
      </c>
      <c r="D1506" s="626">
        <v>0</v>
      </c>
    </row>
    <row r="1507" spans="1:4" x14ac:dyDescent="0.2">
      <c r="A1507">
        <v>1506</v>
      </c>
      <c r="B1507" s="626">
        <v>0</v>
      </c>
      <c r="C1507" s="626">
        <v>1000000</v>
      </c>
      <c r="D1507" s="626">
        <v>0</v>
      </c>
    </row>
    <row r="1508" spans="1:4" x14ac:dyDescent="0.2">
      <c r="A1508">
        <v>1507</v>
      </c>
      <c r="B1508" s="626">
        <v>0</v>
      </c>
      <c r="C1508" s="626">
        <v>1000000</v>
      </c>
      <c r="D1508" s="626">
        <v>0</v>
      </c>
    </row>
    <row r="1509" spans="1:4" x14ac:dyDescent="0.2">
      <c r="A1509">
        <v>1508</v>
      </c>
      <c r="B1509" s="626">
        <v>0</v>
      </c>
      <c r="C1509" s="626">
        <v>1000000</v>
      </c>
      <c r="D1509" s="626">
        <v>0</v>
      </c>
    </row>
    <row r="1510" spans="1:4" x14ac:dyDescent="0.2">
      <c r="A1510">
        <v>1509</v>
      </c>
      <c r="B1510" s="626">
        <v>0</v>
      </c>
      <c r="C1510" s="626">
        <v>1000000</v>
      </c>
      <c r="D1510" s="626">
        <v>0</v>
      </c>
    </row>
    <row r="1511" spans="1:4" x14ac:dyDescent="0.2">
      <c r="A1511">
        <v>1510</v>
      </c>
      <c r="B1511" s="626">
        <v>0</v>
      </c>
      <c r="C1511" s="626">
        <v>1000000</v>
      </c>
      <c r="D1511" s="626">
        <v>0</v>
      </c>
    </row>
    <row r="1512" spans="1:4" x14ac:dyDescent="0.2">
      <c r="A1512">
        <v>1511</v>
      </c>
      <c r="B1512" s="626">
        <v>0</v>
      </c>
      <c r="C1512" s="626">
        <v>1000000</v>
      </c>
      <c r="D1512" s="626">
        <v>0</v>
      </c>
    </row>
    <row r="1513" spans="1:4" x14ac:dyDescent="0.2">
      <c r="A1513">
        <v>1512</v>
      </c>
      <c r="B1513" s="626">
        <v>0</v>
      </c>
      <c r="C1513" s="626">
        <v>1000000</v>
      </c>
      <c r="D1513" s="626">
        <v>0</v>
      </c>
    </row>
    <row r="1514" spans="1:4" x14ac:dyDescent="0.2">
      <c r="A1514">
        <v>1513</v>
      </c>
      <c r="B1514" s="626">
        <v>0</v>
      </c>
      <c r="C1514" s="626">
        <v>1000000</v>
      </c>
      <c r="D1514" s="626">
        <v>0</v>
      </c>
    </row>
    <row r="1515" spans="1:4" x14ac:dyDescent="0.2">
      <c r="A1515">
        <v>1514</v>
      </c>
      <c r="B1515" s="626">
        <v>0</v>
      </c>
      <c r="C1515" s="626">
        <v>1000000</v>
      </c>
      <c r="D1515" s="626">
        <v>0</v>
      </c>
    </row>
    <row r="1516" spans="1:4" x14ac:dyDescent="0.2">
      <c r="A1516">
        <v>1515</v>
      </c>
      <c r="B1516" s="626">
        <v>0</v>
      </c>
      <c r="C1516" s="626">
        <v>1000000</v>
      </c>
      <c r="D1516" s="626">
        <v>0</v>
      </c>
    </row>
    <row r="1517" spans="1:4" x14ac:dyDescent="0.2">
      <c r="A1517">
        <v>1516</v>
      </c>
      <c r="B1517" s="626">
        <v>0</v>
      </c>
      <c r="C1517" s="626">
        <v>1000000</v>
      </c>
      <c r="D1517" s="626">
        <v>0</v>
      </c>
    </row>
    <row r="1518" spans="1:4" x14ac:dyDescent="0.2">
      <c r="A1518">
        <v>1517</v>
      </c>
      <c r="B1518" s="626">
        <v>0</v>
      </c>
      <c r="C1518" s="626">
        <v>1000000</v>
      </c>
      <c r="D1518" s="626">
        <v>0</v>
      </c>
    </row>
    <row r="1519" spans="1:4" x14ac:dyDescent="0.2">
      <c r="A1519">
        <v>1518</v>
      </c>
      <c r="B1519" s="626">
        <v>0</v>
      </c>
      <c r="C1519" s="626">
        <v>1000000</v>
      </c>
      <c r="D1519" s="626">
        <v>0</v>
      </c>
    </row>
    <row r="1520" spans="1:4" x14ac:dyDescent="0.2">
      <c r="A1520">
        <v>1519</v>
      </c>
      <c r="B1520" s="626">
        <v>0</v>
      </c>
      <c r="C1520" s="626">
        <v>1000000</v>
      </c>
      <c r="D1520" s="626">
        <v>0</v>
      </c>
    </row>
    <row r="1521" spans="1:4" x14ac:dyDescent="0.2">
      <c r="A1521">
        <v>1520</v>
      </c>
      <c r="B1521" s="626">
        <v>0</v>
      </c>
      <c r="C1521" s="626">
        <v>1000000</v>
      </c>
      <c r="D1521" s="626">
        <v>0</v>
      </c>
    </row>
    <row r="1522" spans="1:4" x14ac:dyDescent="0.2">
      <c r="A1522">
        <v>1521</v>
      </c>
      <c r="B1522" s="626">
        <v>0</v>
      </c>
      <c r="C1522" s="626">
        <v>1000000</v>
      </c>
      <c r="D1522" s="626">
        <v>0</v>
      </c>
    </row>
    <row r="1523" spans="1:4" x14ac:dyDescent="0.2">
      <c r="A1523">
        <v>1522</v>
      </c>
      <c r="B1523" s="626">
        <v>0</v>
      </c>
      <c r="C1523" s="626">
        <v>1000000</v>
      </c>
      <c r="D1523" s="626">
        <v>0</v>
      </c>
    </row>
    <row r="1524" spans="1:4" x14ac:dyDescent="0.2">
      <c r="A1524">
        <v>1523</v>
      </c>
      <c r="B1524" s="626">
        <v>0</v>
      </c>
      <c r="C1524" s="626">
        <v>1000000</v>
      </c>
      <c r="D1524" s="626">
        <v>0</v>
      </c>
    </row>
    <row r="1525" spans="1:4" x14ac:dyDescent="0.2">
      <c r="A1525">
        <v>1524</v>
      </c>
      <c r="B1525" s="626">
        <v>0</v>
      </c>
      <c r="C1525" s="626">
        <v>1000000</v>
      </c>
      <c r="D1525" s="626">
        <v>0</v>
      </c>
    </row>
    <row r="1526" spans="1:4" x14ac:dyDescent="0.2">
      <c r="A1526">
        <v>1525</v>
      </c>
      <c r="B1526" s="626">
        <v>0</v>
      </c>
      <c r="C1526" s="626">
        <v>1000000</v>
      </c>
      <c r="D1526" s="626">
        <v>0</v>
      </c>
    </row>
    <row r="1527" spans="1:4" x14ac:dyDescent="0.2">
      <c r="A1527">
        <v>1526</v>
      </c>
      <c r="B1527" s="626">
        <v>0</v>
      </c>
      <c r="C1527" s="626">
        <v>1000000</v>
      </c>
      <c r="D1527" s="626">
        <v>0</v>
      </c>
    </row>
    <row r="1528" spans="1:4" x14ac:dyDescent="0.2">
      <c r="A1528">
        <v>1527</v>
      </c>
      <c r="B1528" s="626">
        <v>0</v>
      </c>
      <c r="C1528" s="626">
        <v>1000000</v>
      </c>
      <c r="D1528" s="626">
        <v>0</v>
      </c>
    </row>
    <row r="1529" spans="1:4" x14ac:dyDescent="0.2">
      <c r="A1529">
        <v>1528</v>
      </c>
      <c r="B1529" s="626">
        <v>0</v>
      </c>
      <c r="C1529" s="626">
        <v>1000000</v>
      </c>
      <c r="D1529" s="626">
        <v>0</v>
      </c>
    </row>
    <row r="1530" spans="1:4" x14ac:dyDescent="0.2">
      <c r="A1530">
        <v>1529</v>
      </c>
      <c r="B1530" s="626">
        <v>0</v>
      </c>
      <c r="C1530" s="626">
        <v>1000000</v>
      </c>
      <c r="D1530" s="626">
        <v>0</v>
      </c>
    </row>
    <row r="1531" spans="1:4" x14ac:dyDescent="0.2">
      <c r="A1531">
        <v>1530</v>
      </c>
      <c r="B1531" s="626">
        <v>0</v>
      </c>
      <c r="C1531" s="626">
        <v>1000000</v>
      </c>
      <c r="D1531" s="626">
        <v>0</v>
      </c>
    </row>
    <row r="1532" spans="1:4" x14ac:dyDescent="0.2">
      <c r="A1532">
        <v>1531</v>
      </c>
      <c r="B1532" s="626">
        <v>0</v>
      </c>
      <c r="C1532" s="626">
        <v>1000000</v>
      </c>
      <c r="D1532" s="626">
        <v>0</v>
      </c>
    </row>
    <row r="1533" spans="1:4" x14ac:dyDescent="0.2">
      <c r="A1533">
        <v>1532</v>
      </c>
      <c r="B1533" s="626">
        <v>0</v>
      </c>
      <c r="C1533" s="626">
        <v>1000000</v>
      </c>
      <c r="D1533" s="626">
        <v>0</v>
      </c>
    </row>
    <row r="1534" spans="1:4" x14ac:dyDescent="0.2">
      <c r="A1534">
        <v>1533</v>
      </c>
      <c r="B1534" s="626">
        <v>0</v>
      </c>
      <c r="C1534" s="626">
        <v>1000000</v>
      </c>
      <c r="D1534" s="626">
        <v>0</v>
      </c>
    </row>
    <row r="1535" spans="1:4" x14ac:dyDescent="0.2">
      <c r="A1535">
        <v>1534</v>
      </c>
      <c r="B1535" s="626">
        <v>0</v>
      </c>
      <c r="C1535" s="626">
        <v>1000000</v>
      </c>
      <c r="D1535" s="626">
        <v>0</v>
      </c>
    </row>
    <row r="1536" spans="1:4" x14ac:dyDescent="0.2">
      <c r="A1536">
        <v>1535</v>
      </c>
      <c r="B1536" s="626">
        <v>0</v>
      </c>
      <c r="C1536" s="626">
        <v>1000000</v>
      </c>
      <c r="D1536" s="626">
        <v>0</v>
      </c>
    </row>
    <row r="1537" spans="1:4" x14ac:dyDescent="0.2">
      <c r="A1537">
        <v>1536</v>
      </c>
      <c r="B1537" s="626">
        <v>0</v>
      </c>
      <c r="C1537" s="626">
        <v>1000000</v>
      </c>
      <c r="D1537" s="626">
        <v>0</v>
      </c>
    </row>
    <row r="1538" spans="1:4" x14ac:dyDescent="0.2">
      <c r="A1538">
        <v>1537</v>
      </c>
      <c r="B1538" s="626">
        <v>0</v>
      </c>
      <c r="C1538" s="626">
        <v>1000000</v>
      </c>
      <c r="D1538" s="626">
        <v>0</v>
      </c>
    </row>
    <row r="1539" spans="1:4" x14ac:dyDescent="0.2">
      <c r="A1539">
        <v>1538</v>
      </c>
      <c r="B1539" s="626">
        <v>0</v>
      </c>
      <c r="C1539" s="626">
        <v>1000000</v>
      </c>
      <c r="D1539" s="626">
        <v>0</v>
      </c>
    </row>
    <row r="1540" spans="1:4" x14ac:dyDescent="0.2">
      <c r="A1540">
        <v>1539</v>
      </c>
      <c r="B1540" s="626">
        <v>0</v>
      </c>
      <c r="C1540" s="626">
        <v>1000000</v>
      </c>
      <c r="D1540" s="626">
        <v>0</v>
      </c>
    </row>
    <row r="1541" spans="1:4" x14ac:dyDescent="0.2">
      <c r="A1541">
        <v>1540</v>
      </c>
      <c r="B1541" s="626">
        <v>0</v>
      </c>
      <c r="C1541" s="626">
        <v>1000000</v>
      </c>
      <c r="D1541" s="626">
        <v>0</v>
      </c>
    </row>
    <row r="1542" spans="1:4" x14ac:dyDescent="0.2">
      <c r="A1542">
        <v>1541</v>
      </c>
      <c r="B1542" s="626">
        <v>0</v>
      </c>
      <c r="C1542" s="626">
        <v>1000000</v>
      </c>
      <c r="D1542" s="626">
        <v>0</v>
      </c>
    </row>
    <row r="1543" spans="1:4" x14ac:dyDescent="0.2">
      <c r="A1543">
        <v>1542</v>
      </c>
      <c r="B1543" s="626">
        <v>0</v>
      </c>
      <c r="C1543" s="626">
        <v>1000000</v>
      </c>
      <c r="D1543" s="626">
        <v>0</v>
      </c>
    </row>
    <row r="1544" spans="1:4" x14ac:dyDescent="0.2">
      <c r="A1544">
        <v>1543</v>
      </c>
      <c r="B1544" s="626">
        <v>0</v>
      </c>
      <c r="C1544" s="626">
        <v>1000000</v>
      </c>
      <c r="D1544" s="626">
        <v>0</v>
      </c>
    </row>
    <row r="1545" spans="1:4" x14ac:dyDescent="0.2">
      <c r="A1545">
        <v>1544</v>
      </c>
      <c r="B1545" s="626">
        <v>0</v>
      </c>
      <c r="C1545" s="626">
        <v>1000000</v>
      </c>
      <c r="D1545" s="626">
        <v>0</v>
      </c>
    </row>
    <row r="1546" spans="1:4" x14ac:dyDescent="0.2">
      <c r="A1546">
        <v>1545</v>
      </c>
      <c r="B1546" s="626">
        <v>0</v>
      </c>
      <c r="C1546" s="626">
        <v>1000000</v>
      </c>
      <c r="D1546" s="626">
        <v>0</v>
      </c>
    </row>
    <row r="1547" spans="1:4" x14ac:dyDescent="0.2">
      <c r="A1547">
        <v>1546</v>
      </c>
      <c r="B1547" s="626">
        <v>0</v>
      </c>
      <c r="C1547" s="626">
        <v>1000000</v>
      </c>
      <c r="D1547" s="626">
        <v>0</v>
      </c>
    </row>
    <row r="1548" spans="1:4" x14ac:dyDescent="0.2">
      <c r="A1548">
        <v>1547</v>
      </c>
      <c r="B1548" s="626">
        <v>0</v>
      </c>
      <c r="C1548" s="626">
        <v>1000000</v>
      </c>
      <c r="D1548" s="626">
        <v>0</v>
      </c>
    </row>
    <row r="1549" spans="1:4" x14ac:dyDescent="0.2">
      <c r="A1549">
        <v>1548</v>
      </c>
      <c r="B1549" s="626">
        <v>0</v>
      </c>
      <c r="C1549" s="626">
        <v>1000000</v>
      </c>
      <c r="D1549" s="626">
        <v>0</v>
      </c>
    </row>
    <row r="1550" spans="1:4" x14ac:dyDescent="0.2">
      <c r="A1550">
        <v>1549</v>
      </c>
      <c r="B1550" s="626">
        <v>0</v>
      </c>
      <c r="C1550" s="626">
        <v>1000000</v>
      </c>
      <c r="D1550" s="626">
        <v>0</v>
      </c>
    </row>
    <row r="1551" spans="1:4" x14ac:dyDescent="0.2">
      <c r="A1551">
        <v>1550</v>
      </c>
      <c r="B1551" s="626">
        <v>0</v>
      </c>
      <c r="C1551" s="626">
        <v>1000000</v>
      </c>
      <c r="D1551" s="626">
        <v>0</v>
      </c>
    </row>
    <row r="1552" spans="1:4" x14ac:dyDescent="0.2">
      <c r="A1552">
        <v>1551</v>
      </c>
      <c r="B1552" s="626">
        <v>0</v>
      </c>
      <c r="C1552" s="626">
        <v>1000000</v>
      </c>
      <c r="D1552" s="626">
        <v>0</v>
      </c>
    </row>
    <row r="1553" spans="1:4" x14ac:dyDescent="0.2">
      <c r="A1553">
        <v>1552</v>
      </c>
      <c r="B1553" s="626">
        <v>0</v>
      </c>
      <c r="C1553" s="626">
        <v>1000000</v>
      </c>
      <c r="D1553" s="626">
        <v>0</v>
      </c>
    </row>
    <row r="1554" spans="1:4" x14ac:dyDescent="0.2">
      <c r="A1554">
        <v>1553</v>
      </c>
      <c r="B1554" s="626">
        <v>0</v>
      </c>
      <c r="C1554" s="626">
        <v>1000000</v>
      </c>
      <c r="D1554" s="626">
        <v>0</v>
      </c>
    </row>
    <row r="1555" spans="1:4" x14ac:dyDescent="0.2">
      <c r="A1555">
        <v>1554</v>
      </c>
      <c r="B1555" s="626">
        <v>0</v>
      </c>
      <c r="C1555" s="626">
        <v>1000000</v>
      </c>
      <c r="D1555" s="626">
        <v>0</v>
      </c>
    </row>
    <row r="1556" spans="1:4" x14ac:dyDescent="0.2">
      <c r="A1556">
        <v>1555</v>
      </c>
      <c r="B1556" s="626">
        <v>0</v>
      </c>
      <c r="C1556" s="626">
        <v>1000000</v>
      </c>
      <c r="D1556" s="626">
        <v>0</v>
      </c>
    </row>
    <row r="1557" spans="1:4" x14ac:dyDescent="0.2">
      <c r="A1557">
        <v>1556</v>
      </c>
      <c r="B1557" s="626">
        <v>0</v>
      </c>
      <c r="C1557" s="626">
        <v>1000000</v>
      </c>
      <c r="D1557" s="626">
        <v>0</v>
      </c>
    </row>
    <row r="1558" spans="1:4" x14ac:dyDescent="0.2">
      <c r="A1558">
        <v>1557</v>
      </c>
      <c r="B1558" s="626">
        <v>0</v>
      </c>
      <c r="C1558" s="626">
        <v>1000000</v>
      </c>
      <c r="D1558" s="626">
        <v>0</v>
      </c>
    </row>
    <row r="1559" spans="1:4" x14ac:dyDescent="0.2">
      <c r="A1559">
        <v>1558</v>
      </c>
      <c r="B1559" s="626">
        <v>0</v>
      </c>
      <c r="C1559" s="626">
        <v>1000000</v>
      </c>
      <c r="D1559" s="626">
        <v>0</v>
      </c>
    </row>
    <row r="1560" spans="1:4" x14ac:dyDescent="0.2">
      <c r="A1560">
        <v>1559</v>
      </c>
      <c r="B1560" s="626">
        <v>0</v>
      </c>
      <c r="C1560" s="626">
        <v>1000000</v>
      </c>
      <c r="D1560" s="626">
        <v>0</v>
      </c>
    </row>
    <row r="1561" spans="1:4" x14ac:dyDescent="0.2">
      <c r="A1561">
        <v>1560</v>
      </c>
      <c r="B1561" s="626">
        <v>0</v>
      </c>
      <c r="C1561" s="626">
        <v>1000000</v>
      </c>
      <c r="D1561" s="626">
        <v>0</v>
      </c>
    </row>
    <row r="1562" spans="1:4" x14ac:dyDescent="0.2">
      <c r="A1562">
        <v>1561</v>
      </c>
      <c r="B1562" s="626">
        <v>0</v>
      </c>
      <c r="C1562" s="626">
        <v>1000000</v>
      </c>
      <c r="D1562" s="626">
        <v>0</v>
      </c>
    </row>
    <row r="1563" spans="1:4" x14ac:dyDescent="0.2">
      <c r="A1563">
        <v>1562</v>
      </c>
      <c r="B1563" s="626">
        <v>0</v>
      </c>
      <c r="C1563" s="626">
        <v>1000000</v>
      </c>
      <c r="D1563" s="626">
        <v>0</v>
      </c>
    </row>
    <row r="1564" spans="1:4" x14ac:dyDescent="0.2">
      <c r="A1564">
        <v>1563</v>
      </c>
      <c r="B1564" s="626">
        <v>0</v>
      </c>
      <c r="C1564" s="626">
        <v>1000000</v>
      </c>
      <c r="D1564" s="626">
        <v>0</v>
      </c>
    </row>
    <row r="1565" spans="1:4" x14ac:dyDescent="0.2">
      <c r="A1565">
        <v>1564</v>
      </c>
      <c r="B1565" s="626">
        <v>0</v>
      </c>
      <c r="C1565" s="626">
        <v>1000000</v>
      </c>
      <c r="D1565" s="626">
        <v>0</v>
      </c>
    </row>
    <row r="1566" spans="1:4" x14ac:dyDescent="0.2">
      <c r="A1566">
        <v>1565</v>
      </c>
      <c r="B1566" s="626">
        <v>0</v>
      </c>
      <c r="C1566" s="626">
        <v>1000000</v>
      </c>
      <c r="D1566" s="626">
        <v>0</v>
      </c>
    </row>
    <row r="1567" spans="1:4" x14ac:dyDescent="0.2">
      <c r="A1567">
        <v>1566</v>
      </c>
      <c r="B1567" s="626">
        <v>0</v>
      </c>
      <c r="C1567" s="626">
        <v>1000000</v>
      </c>
      <c r="D1567" s="626">
        <v>0</v>
      </c>
    </row>
    <row r="1568" spans="1:4" x14ac:dyDescent="0.2">
      <c r="A1568">
        <v>1567</v>
      </c>
      <c r="B1568" s="626">
        <v>0</v>
      </c>
      <c r="C1568" s="626">
        <v>1000000</v>
      </c>
      <c r="D1568" s="626">
        <v>0</v>
      </c>
    </row>
    <row r="1569" spans="1:4" x14ac:dyDescent="0.2">
      <c r="A1569">
        <v>1568</v>
      </c>
      <c r="B1569" s="626">
        <v>0</v>
      </c>
      <c r="C1569" s="626">
        <v>1000000</v>
      </c>
      <c r="D1569" s="626">
        <v>0</v>
      </c>
    </row>
    <row r="1570" spans="1:4" x14ac:dyDescent="0.2">
      <c r="A1570">
        <v>1569</v>
      </c>
      <c r="B1570" s="626">
        <v>0</v>
      </c>
      <c r="C1570" s="626">
        <v>1000000</v>
      </c>
      <c r="D1570" s="626">
        <v>0</v>
      </c>
    </row>
    <row r="1571" spans="1:4" x14ac:dyDescent="0.2">
      <c r="A1571">
        <v>1570</v>
      </c>
      <c r="B1571" s="626">
        <v>0</v>
      </c>
      <c r="C1571" s="626">
        <v>1000000</v>
      </c>
      <c r="D1571" s="626">
        <v>0</v>
      </c>
    </row>
    <row r="1572" spans="1:4" x14ac:dyDescent="0.2">
      <c r="A1572">
        <v>1571</v>
      </c>
      <c r="B1572" s="626">
        <v>0</v>
      </c>
      <c r="C1572" s="626">
        <v>1000000</v>
      </c>
      <c r="D1572" s="626">
        <v>0</v>
      </c>
    </row>
    <row r="1573" spans="1:4" x14ac:dyDescent="0.2">
      <c r="A1573">
        <v>1572</v>
      </c>
      <c r="B1573" s="626">
        <v>0</v>
      </c>
      <c r="C1573" s="626">
        <v>1000000</v>
      </c>
      <c r="D1573" s="626">
        <v>0</v>
      </c>
    </row>
    <row r="1574" spans="1:4" x14ac:dyDescent="0.2">
      <c r="A1574">
        <v>1573</v>
      </c>
      <c r="B1574" s="626">
        <v>0</v>
      </c>
      <c r="C1574" s="626">
        <v>1000000</v>
      </c>
      <c r="D1574" s="626">
        <v>0</v>
      </c>
    </row>
    <row r="1575" spans="1:4" x14ac:dyDescent="0.2">
      <c r="A1575">
        <v>1574</v>
      </c>
      <c r="B1575" s="626">
        <v>0</v>
      </c>
      <c r="C1575" s="626">
        <v>1000000</v>
      </c>
      <c r="D1575" s="626">
        <v>0</v>
      </c>
    </row>
    <row r="1576" spans="1:4" x14ac:dyDescent="0.2">
      <c r="A1576">
        <v>1575</v>
      </c>
      <c r="B1576" s="626">
        <v>0</v>
      </c>
      <c r="C1576" s="626">
        <v>1000000</v>
      </c>
      <c r="D1576" s="626">
        <v>0</v>
      </c>
    </row>
    <row r="1577" spans="1:4" x14ac:dyDescent="0.2">
      <c r="A1577">
        <v>1576</v>
      </c>
      <c r="B1577" s="626">
        <v>0</v>
      </c>
      <c r="C1577" s="626">
        <v>1000000</v>
      </c>
      <c r="D1577" s="626">
        <v>0</v>
      </c>
    </row>
    <row r="1578" spans="1:4" x14ac:dyDescent="0.2">
      <c r="A1578">
        <v>1577</v>
      </c>
      <c r="B1578" s="626">
        <v>0</v>
      </c>
      <c r="C1578" s="626">
        <v>1000000</v>
      </c>
      <c r="D1578" s="626">
        <v>0</v>
      </c>
    </row>
    <row r="1579" spans="1:4" x14ac:dyDescent="0.2">
      <c r="A1579">
        <v>1578</v>
      </c>
      <c r="B1579" s="626">
        <v>0</v>
      </c>
      <c r="C1579" s="626">
        <v>1000000</v>
      </c>
      <c r="D1579" s="626">
        <v>0</v>
      </c>
    </row>
    <row r="1580" spans="1:4" x14ac:dyDescent="0.2">
      <c r="A1580">
        <v>1579</v>
      </c>
      <c r="B1580" s="626">
        <v>0</v>
      </c>
      <c r="C1580" s="626">
        <v>1000000</v>
      </c>
      <c r="D1580" s="626">
        <v>0</v>
      </c>
    </row>
    <row r="1581" spans="1:4" x14ac:dyDescent="0.2">
      <c r="A1581">
        <v>1580</v>
      </c>
      <c r="B1581" s="626">
        <v>0</v>
      </c>
      <c r="C1581" s="626">
        <v>1000000</v>
      </c>
      <c r="D1581" s="626">
        <v>0</v>
      </c>
    </row>
    <row r="1582" spans="1:4" x14ac:dyDescent="0.2">
      <c r="A1582">
        <v>1581</v>
      </c>
      <c r="B1582" s="626">
        <v>0</v>
      </c>
      <c r="C1582" s="626">
        <v>1000000</v>
      </c>
      <c r="D1582" s="626">
        <v>0</v>
      </c>
    </row>
    <row r="1583" spans="1:4" x14ac:dyDescent="0.2">
      <c r="A1583">
        <v>1582</v>
      </c>
      <c r="B1583" s="626">
        <v>0</v>
      </c>
      <c r="C1583" s="626">
        <v>1000000</v>
      </c>
      <c r="D1583" s="626">
        <v>0</v>
      </c>
    </row>
    <row r="1584" spans="1:4" x14ac:dyDescent="0.2">
      <c r="A1584">
        <v>1583</v>
      </c>
      <c r="B1584" s="626">
        <v>0</v>
      </c>
      <c r="C1584" s="626">
        <v>1000000</v>
      </c>
      <c r="D1584" s="626">
        <v>0</v>
      </c>
    </row>
    <row r="1585" spans="1:4" x14ac:dyDescent="0.2">
      <c r="A1585">
        <v>1584</v>
      </c>
      <c r="B1585" s="626">
        <v>0</v>
      </c>
      <c r="C1585" s="626">
        <v>1000000</v>
      </c>
      <c r="D1585" s="626">
        <v>0</v>
      </c>
    </row>
    <row r="1586" spans="1:4" x14ac:dyDescent="0.2">
      <c r="A1586">
        <v>1585</v>
      </c>
      <c r="B1586" s="626">
        <v>0</v>
      </c>
      <c r="C1586" s="626">
        <v>1000000</v>
      </c>
      <c r="D1586" s="626">
        <v>0</v>
      </c>
    </row>
    <row r="1587" spans="1:4" x14ac:dyDescent="0.2">
      <c r="A1587">
        <v>1586</v>
      </c>
      <c r="B1587" s="626">
        <v>0</v>
      </c>
      <c r="C1587" s="626">
        <v>1000000</v>
      </c>
      <c r="D1587" s="626">
        <v>0</v>
      </c>
    </row>
    <row r="1588" spans="1:4" x14ac:dyDescent="0.2">
      <c r="A1588">
        <v>1587</v>
      </c>
      <c r="B1588" s="626">
        <v>0</v>
      </c>
      <c r="C1588" s="626">
        <v>1000000</v>
      </c>
      <c r="D1588" s="626">
        <v>0</v>
      </c>
    </row>
    <row r="1589" spans="1:4" x14ac:dyDescent="0.2">
      <c r="A1589">
        <v>1588</v>
      </c>
      <c r="B1589" s="626">
        <v>0</v>
      </c>
      <c r="C1589" s="626">
        <v>1000000</v>
      </c>
      <c r="D1589" s="626">
        <v>0</v>
      </c>
    </row>
    <row r="1590" spans="1:4" x14ac:dyDescent="0.2">
      <c r="A1590">
        <v>1589</v>
      </c>
      <c r="B1590" s="626">
        <v>0</v>
      </c>
      <c r="C1590" s="626">
        <v>1000000</v>
      </c>
      <c r="D1590" s="626">
        <v>0</v>
      </c>
    </row>
    <row r="1591" spans="1:4" x14ac:dyDescent="0.2">
      <c r="A1591">
        <v>1590</v>
      </c>
      <c r="B1591" s="626">
        <v>0</v>
      </c>
      <c r="C1591" s="626">
        <v>1000000</v>
      </c>
      <c r="D1591" s="626">
        <v>0</v>
      </c>
    </row>
    <row r="1592" spans="1:4" x14ac:dyDescent="0.2">
      <c r="A1592">
        <v>1591</v>
      </c>
      <c r="B1592" s="626">
        <v>0</v>
      </c>
      <c r="C1592" s="626">
        <v>1000000</v>
      </c>
      <c r="D1592" s="626">
        <v>0</v>
      </c>
    </row>
    <row r="1593" spans="1:4" x14ac:dyDescent="0.2">
      <c r="A1593">
        <v>1592</v>
      </c>
      <c r="B1593" s="626">
        <v>0</v>
      </c>
      <c r="C1593" s="626">
        <v>1000000</v>
      </c>
      <c r="D1593" s="626">
        <v>0</v>
      </c>
    </row>
    <row r="1594" spans="1:4" x14ac:dyDescent="0.2">
      <c r="A1594">
        <v>1593</v>
      </c>
      <c r="B1594" s="626">
        <v>0</v>
      </c>
      <c r="C1594" s="626">
        <v>1000000</v>
      </c>
      <c r="D1594" s="626">
        <v>0</v>
      </c>
    </row>
    <row r="1595" spans="1:4" x14ac:dyDescent="0.2">
      <c r="A1595">
        <v>1594</v>
      </c>
      <c r="B1595" s="626">
        <v>0</v>
      </c>
      <c r="C1595" s="626">
        <v>1000000</v>
      </c>
      <c r="D1595" s="626">
        <v>0</v>
      </c>
    </row>
    <row r="1596" spans="1:4" x14ac:dyDescent="0.2">
      <c r="A1596">
        <v>1595</v>
      </c>
      <c r="B1596" s="626">
        <v>0</v>
      </c>
      <c r="C1596" s="626">
        <v>1000000</v>
      </c>
      <c r="D1596" s="626">
        <v>0</v>
      </c>
    </row>
    <row r="1597" spans="1:4" x14ac:dyDescent="0.2">
      <c r="A1597">
        <v>1596</v>
      </c>
      <c r="B1597" s="626">
        <v>0</v>
      </c>
      <c r="C1597" s="626">
        <v>1000000</v>
      </c>
      <c r="D1597" s="626">
        <v>0</v>
      </c>
    </row>
    <row r="1598" spans="1:4" x14ac:dyDescent="0.2">
      <c r="A1598">
        <v>1597</v>
      </c>
      <c r="B1598" s="626">
        <v>0</v>
      </c>
      <c r="C1598" s="626">
        <v>1000000</v>
      </c>
      <c r="D1598" s="626">
        <v>0</v>
      </c>
    </row>
    <row r="1599" spans="1:4" x14ac:dyDescent="0.2">
      <c r="A1599">
        <v>1598</v>
      </c>
      <c r="B1599" s="626">
        <v>0</v>
      </c>
      <c r="C1599" s="626">
        <v>1000000</v>
      </c>
      <c r="D1599" s="626">
        <v>0</v>
      </c>
    </row>
    <row r="1600" spans="1:4" x14ac:dyDescent="0.2">
      <c r="A1600">
        <v>1599</v>
      </c>
      <c r="B1600" s="626">
        <v>0</v>
      </c>
      <c r="C1600" s="626">
        <v>1000000</v>
      </c>
      <c r="D1600" s="626">
        <v>0</v>
      </c>
    </row>
    <row r="1601" spans="1:4" x14ac:dyDescent="0.2">
      <c r="A1601">
        <v>1600</v>
      </c>
      <c r="B1601" s="626">
        <v>0</v>
      </c>
      <c r="C1601" s="626">
        <v>1000000</v>
      </c>
      <c r="D1601" s="626">
        <v>0</v>
      </c>
    </row>
    <row r="1602" spans="1:4" x14ac:dyDescent="0.2">
      <c r="A1602">
        <v>1601</v>
      </c>
      <c r="B1602" s="626">
        <v>0</v>
      </c>
      <c r="C1602" s="626">
        <v>1000000</v>
      </c>
      <c r="D1602" s="626">
        <v>0</v>
      </c>
    </row>
    <row r="1603" spans="1:4" x14ac:dyDescent="0.2">
      <c r="A1603">
        <v>1602</v>
      </c>
      <c r="B1603" s="626">
        <v>0</v>
      </c>
      <c r="C1603" s="626">
        <v>1000000</v>
      </c>
      <c r="D1603" s="626">
        <v>0</v>
      </c>
    </row>
    <row r="1604" spans="1:4" x14ac:dyDescent="0.2">
      <c r="A1604">
        <v>1603</v>
      </c>
      <c r="B1604" s="626">
        <v>0</v>
      </c>
      <c r="C1604" s="626">
        <v>1000000</v>
      </c>
      <c r="D1604" s="626">
        <v>0</v>
      </c>
    </row>
    <row r="1605" spans="1:4" x14ac:dyDescent="0.2">
      <c r="A1605">
        <v>1604</v>
      </c>
      <c r="B1605" s="626">
        <v>0</v>
      </c>
      <c r="C1605" s="626">
        <v>1000000</v>
      </c>
      <c r="D1605" s="626">
        <v>0</v>
      </c>
    </row>
    <row r="1606" spans="1:4" x14ac:dyDescent="0.2">
      <c r="A1606">
        <v>1605</v>
      </c>
      <c r="B1606" s="626">
        <v>0</v>
      </c>
      <c r="C1606" s="626">
        <v>1000000</v>
      </c>
      <c r="D1606" s="626">
        <v>0</v>
      </c>
    </row>
    <row r="1607" spans="1:4" x14ac:dyDescent="0.2">
      <c r="A1607">
        <v>1606</v>
      </c>
      <c r="B1607" s="626">
        <v>0</v>
      </c>
      <c r="C1607" s="626">
        <v>1000000</v>
      </c>
      <c r="D1607" s="626">
        <v>0</v>
      </c>
    </row>
    <row r="1608" spans="1:4" x14ac:dyDescent="0.2">
      <c r="A1608">
        <v>1607</v>
      </c>
      <c r="B1608" s="626">
        <v>0</v>
      </c>
      <c r="C1608" s="626">
        <v>1000000</v>
      </c>
      <c r="D1608" s="626">
        <v>0</v>
      </c>
    </row>
    <row r="1609" spans="1:4" x14ac:dyDescent="0.2">
      <c r="A1609">
        <v>1608</v>
      </c>
      <c r="B1609" s="626">
        <v>0</v>
      </c>
      <c r="C1609" s="626">
        <v>1000000</v>
      </c>
      <c r="D1609" s="626">
        <v>0</v>
      </c>
    </row>
    <row r="1610" spans="1:4" x14ac:dyDescent="0.2">
      <c r="A1610">
        <v>1609</v>
      </c>
      <c r="B1610" s="626">
        <v>0</v>
      </c>
      <c r="C1610" s="626">
        <v>1000000</v>
      </c>
      <c r="D1610" s="626">
        <v>0</v>
      </c>
    </row>
    <row r="1611" spans="1:4" x14ac:dyDescent="0.2">
      <c r="A1611">
        <v>1610</v>
      </c>
      <c r="B1611" s="626">
        <v>0</v>
      </c>
      <c r="C1611" s="626">
        <v>1000000</v>
      </c>
      <c r="D1611" s="626">
        <v>0</v>
      </c>
    </row>
    <row r="1612" spans="1:4" x14ac:dyDescent="0.2">
      <c r="A1612">
        <v>1611</v>
      </c>
      <c r="B1612" s="626">
        <v>0</v>
      </c>
      <c r="C1612" s="626">
        <v>1000000</v>
      </c>
      <c r="D1612" s="626">
        <v>0</v>
      </c>
    </row>
    <row r="1613" spans="1:4" x14ac:dyDescent="0.2">
      <c r="A1613">
        <v>1612</v>
      </c>
      <c r="B1613" s="626">
        <v>0</v>
      </c>
      <c r="C1613" s="626">
        <v>1000000</v>
      </c>
      <c r="D1613" s="626">
        <v>0</v>
      </c>
    </row>
    <row r="1614" spans="1:4" x14ac:dyDescent="0.2">
      <c r="A1614">
        <v>1613</v>
      </c>
      <c r="B1614" s="626">
        <v>0</v>
      </c>
      <c r="C1614" s="626">
        <v>1000000</v>
      </c>
      <c r="D1614" s="626">
        <v>0</v>
      </c>
    </row>
    <row r="1615" spans="1:4" x14ac:dyDescent="0.2">
      <c r="A1615">
        <v>1614</v>
      </c>
      <c r="B1615" s="626">
        <v>0</v>
      </c>
      <c r="C1615" s="626">
        <v>1000000</v>
      </c>
      <c r="D1615" s="626">
        <v>0</v>
      </c>
    </row>
    <row r="1616" spans="1:4" x14ac:dyDescent="0.2">
      <c r="A1616">
        <v>1615</v>
      </c>
      <c r="B1616" s="626">
        <v>0</v>
      </c>
      <c r="C1616" s="626">
        <v>1000000</v>
      </c>
      <c r="D1616" s="626">
        <v>0</v>
      </c>
    </row>
    <row r="1617" spans="1:4" x14ac:dyDescent="0.2">
      <c r="A1617">
        <v>1616</v>
      </c>
      <c r="B1617" s="626">
        <v>0</v>
      </c>
      <c r="C1617" s="626">
        <v>1000000</v>
      </c>
      <c r="D1617" s="626">
        <v>0</v>
      </c>
    </row>
    <row r="1618" spans="1:4" x14ac:dyDescent="0.2">
      <c r="A1618">
        <v>1617</v>
      </c>
      <c r="B1618" s="626">
        <v>0</v>
      </c>
      <c r="C1618" s="626">
        <v>1000000</v>
      </c>
      <c r="D1618" s="626">
        <v>0</v>
      </c>
    </row>
    <row r="1619" spans="1:4" x14ac:dyDescent="0.2">
      <c r="A1619">
        <v>1618</v>
      </c>
      <c r="B1619" s="626">
        <v>0</v>
      </c>
      <c r="C1619" s="626">
        <v>1000000</v>
      </c>
      <c r="D1619" s="626">
        <v>0</v>
      </c>
    </row>
    <row r="1620" spans="1:4" x14ac:dyDescent="0.2">
      <c r="A1620">
        <v>1619</v>
      </c>
      <c r="B1620" s="626">
        <v>0</v>
      </c>
      <c r="C1620" s="626">
        <v>1000000</v>
      </c>
      <c r="D1620" s="626">
        <v>0</v>
      </c>
    </row>
    <row r="1621" spans="1:4" x14ac:dyDescent="0.2">
      <c r="A1621">
        <v>1620</v>
      </c>
      <c r="B1621" s="626">
        <v>0</v>
      </c>
      <c r="C1621" s="626">
        <v>1000000</v>
      </c>
      <c r="D1621" s="626">
        <v>0</v>
      </c>
    </row>
    <row r="1622" spans="1:4" x14ac:dyDescent="0.2">
      <c r="A1622">
        <v>1621</v>
      </c>
      <c r="B1622" s="626">
        <v>0</v>
      </c>
      <c r="C1622" s="626">
        <v>1000000</v>
      </c>
      <c r="D1622" s="626">
        <v>0</v>
      </c>
    </row>
    <row r="1623" spans="1:4" x14ac:dyDescent="0.2">
      <c r="A1623">
        <v>1622</v>
      </c>
      <c r="B1623" s="626">
        <v>0</v>
      </c>
      <c r="C1623" s="626">
        <v>1000000</v>
      </c>
      <c r="D1623" s="626">
        <v>0</v>
      </c>
    </row>
    <row r="1624" spans="1:4" x14ac:dyDescent="0.2">
      <c r="A1624">
        <v>1623</v>
      </c>
      <c r="B1624" s="626">
        <v>0</v>
      </c>
      <c r="C1624" s="626">
        <v>1000000</v>
      </c>
      <c r="D1624" s="626">
        <v>0</v>
      </c>
    </row>
    <row r="1625" spans="1:4" x14ac:dyDescent="0.2">
      <c r="A1625">
        <v>1624</v>
      </c>
      <c r="B1625" s="626">
        <v>0</v>
      </c>
      <c r="C1625" s="626">
        <v>1000000</v>
      </c>
      <c r="D1625" s="626">
        <v>0</v>
      </c>
    </row>
    <row r="1626" spans="1:4" x14ac:dyDescent="0.2">
      <c r="A1626">
        <v>1625</v>
      </c>
      <c r="B1626" s="626">
        <v>0</v>
      </c>
      <c r="C1626" s="626">
        <v>1000000</v>
      </c>
      <c r="D1626" s="626">
        <v>0</v>
      </c>
    </row>
    <row r="1627" spans="1:4" x14ac:dyDescent="0.2">
      <c r="A1627">
        <v>1626</v>
      </c>
      <c r="B1627" s="626">
        <v>0</v>
      </c>
      <c r="C1627" s="626">
        <v>1000000</v>
      </c>
      <c r="D1627" s="626">
        <v>0</v>
      </c>
    </row>
    <row r="1628" spans="1:4" x14ac:dyDescent="0.2">
      <c r="A1628">
        <v>1627</v>
      </c>
      <c r="B1628" s="626">
        <v>0</v>
      </c>
      <c r="C1628" s="626">
        <v>1000000</v>
      </c>
      <c r="D1628" s="626">
        <v>0</v>
      </c>
    </row>
    <row r="1629" spans="1:4" x14ac:dyDescent="0.2">
      <c r="A1629">
        <v>1628</v>
      </c>
      <c r="B1629" s="626">
        <v>0</v>
      </c>
      <c r="C1629" s="626">
        <v>1000000</v>
      </c>
      <c r="D1629" s="626">
        <v>0</v>
      </c>
    </row>
    <row r="1630" spans="1:4" x14ac:dyDescent="0.2">
      <c r="A1630">
        <v>1629</v>
      </c>
      <c r="B1630" s="626">
        <v>0</v>
      </c>
      <c r="C1630" s="626">
        <v>1000000</v>
      </c>
      <c r="D1630" s="626">
        <v>0</v>
      </c>
    </row>
    <row r="1631" spans="1:4" x14ac:dyDescent="0.2">
      <c r="A1631">
        <v>1630</v>
      </c>
      <c r="B1631" s="626">
        <v>0</v>
      </c>
      <c r="C1631" s="626">
        <v>1000000</v>
      </c>
      <c r="D1631" s="626">
        <v>0</v>
      </c>
    </row>
    <row r="1632" spans="1:4" x14ac:dyDescent="0.2">
      <c r="A1632">
        <v>1631</v>
      </c>
      <c r="B1632" s="626">
        <v>0</v>
      </c>
      <c r="C1632" s="626">
        <v>1000000</v>
      </c>
      <c r="D1632" s="626">
        <v>0</v>
      </c>
    </row>
    <row r="1633" spans="1:4" x14ac:dyDescent="0.2">
      <c r="A1633">
        <v>1632</v>
      </c>
      <c r="B1633" s="626">
        <v>0</v>
      </c>
      <c r="C1633" s="626">
        <v>1000000</v>
      </c>
      <c r="D1633" s="626">
        <v>0</v>
      </c>
    </row>
    <row r="1634" spans="1:4" x14ac:dyDescent="0.2">
      <c r="A1634">
        <v>1633</v>
      </c>
      <c r="B1634" s="626">
        <v>0</v>
      </c>
      <c r="C1634" s="626">
        <v>1000000</v>
      </c>
      <c r="D1634" s="626">
        <v>0</v>
      </c>
    </row>
    <row r="1635" spans="1:4" x14ac:dyDescent="0.2">
      <c r="A1635">
        <v>1634</v>
      </c>
      <c r="B1635" s="626">
        <v>0</v>
      </c>
      <c r="C1635" s="626">
        <v>1000000</v>
      </c>
      <c r="D1635" s="626">
        <v>0</v>
      </c>
    </row>
    <row r="1636" spans="1:4" x14ac:dyDescent="0.2">
      <c r="A1636">
        <v>1635</v>
      </c>
      <c r="B1636" s="626">
        <v>0</v>
      </c>
      <c r="C1636" s="626">
        <v>1000000</v>
      </c>
      <c r="D1636" s="626">
        <v>0</v>
      </c>
    </row>
    <row r="1637" spans="1:4" x14ac:dyDescent="0.2">
      <c r="A1637">
        <v>1636</v>
      </c>
      <c r="B1637" s="626">
        <v>0</v>
      </c>
      <c r="C1637" s="626">
        <v>1000000</v>
      </c>
      <c r="D1637" s="626">
        <v>0</v>
      </c>
    </row>
    <row r="1638" spans="1:4" x14ac:dyDescent="0.2">
      <c r="A1638">
        <v>1637</v>
      </c>
      <c r="B1638" s="626">
        <v>0</v>
      </c>
      <c r="C1638" s="626">
        <v>1000000</v>
      </c>
      <c r="D1638" s="626">
        <v>0</v>
      </c>
    </row>
    <row r="1639" spans="1:4" x14ac:dyDescent="0.2">
      <c r="A1639">
        <v>1638</v>
      </c>
      <c r="B1639" s="626">
        <v>0</v>
      </c>
      <c r="C1639" s="626">
        <v>1000000</v>
      </c>
      <c r="D1639" s="626">
        <v>0</v>
      </c>
    </row>
    <row r="1640" spans="1:4" x14ac:dyDescent="0.2">
      <c r="A1640">
        <v>1639</v>
      </c>
      <c r="B1640" s="626">
        <v>0</v>
      </c>
      <c r="C1640" s="626">
        <v>1000000</v>
      </c>
      <c r="D1640" s="626">
        <v>0</v>
      </c>
    </row>
    <row r="1641" spans="1:4" x14ac:dyDescent="0.2">
      <c r="A1641">
        <v>1640</v>
      </c>
      <c r="B1641" s="626">
        <v>0</v>
      </c>
      <c r="C1641" s="626">
        <v>1000000</v>
      </c>
      <c r="D1641" s="626">
        <v>0</v>
      </c>
    </row>
    <row r="1642" spans="1:4" x14ac:dyDescent="0.2">
      <c r="A1642">
        <v>1641</v>
      </c>
      <c r="B1642" s="626">
        <v>0</v>
      </c>
      <c r="C1642" s="626">
        <v>1000000</v>
      </c>
      <c r="D1642" s="626">
        <v>0</v>
      </c>
    </row>
    <row r="1643" spans="1:4" x14ac:dyDescent="0.2">
      <c r="A1643">
        <v>1642</v>
      </c>
      <c r="B1643" s="626">
        <v>0</v>
      </c>
      <c r="C1643" s="626">
        <v>1000000</v>
      </c>
      <c r="D1643" s="626">
        <v>0</v>
      </c>
    </row>
    <row r="1644" spans="1:4" x14ac:dyDescent="0.2">
      <c r="A1644">
        <v>1643</v>
      </c>
      <c r="B1644" s="626">
        <v>0</v>
      </c>
      <c r="C1644" s="626">
        <v>1000000</v>
      </c>
      <c r="D1644" s="626">
        <v>0</v>
      </c>
    </row>
    <row r="1645" spans="1:4" x14ac:dyDescent="0.2">
      <c r="A1645">
        <v>1644</v>
      </c>
      <c r="B1645" s="626">
        <v>0</v>
      </c>
      <c r="C1645" s="626">
        <v>1000000</v>
      </c>
      <c r="D1645" s="626">
        <v>0</v>
      </c>
    </row>
    <row r="1646" spans="1:4" x14ac:dyDescent="0.2">
      <c r="A1646">
        <v>1645</v>
      </c>
      <c r="B1646" s="626">
        <v>0</v>
      </c>
      <c r="C1646" s="626">
        <v>1000000</v>
      </c>
      <c r="D1646" s="626">
        <v>0</v>
      </c>
    </row>
    <row r="1647" spans="1:4" x14ac:dyDescent="0.2">
      <c r="A1647">
        <v>1646</v>
      </c>
      <c r="B1647" s="626">
        <v>0</v>
      </c>
      <c r="C1647" s="626">
        <v>1000000</v>
      </c>
      <c r="D1647" s="626">
        <v>0</v>
      </c>
    </row>
    <row r="1648" spans="1:4" x14ac:dyDescent="0.2">
      <c r="A1648">
        <v>1647</v>
      </c>
      <c r="B1648" s="626">
        <v>0</v>
      </c>
      <c r="C1648" s="626">
        <v>1000000</v>
      </c>
      <c r="D1648" s="626">
        <v>0</v>
      </c>
    </row>
    <row r="1649" spans="1:4" x14ac:dyDescent="0.2">
      <c r="A1649">
        <v>1648</v>
      </c>
      <c r="B1649" s="626">
        <v>0</v>
      </c>
      <c r="C1649" s="626">
        <v>1000000</v>
      </c>
      <c r="D1649" s="626">
        <v>0</v>
      </c>
    </row>
    <row r="1650" spans="1:4" x14ac:dyDescent="0.2">
      <c r="A1650">
        <v>1649</v>
      </c>
      <c r="B1650" s="626">
        <v>0</v>
      </c>
      <c r="C1650" s="626">
        <v>1000000</v>
      </c>
      <c r="D1650" s="626">
        <v>0</v>
      </c>
    </row>
    <row r="1651" spans="1:4" x14ac:dyDescent="0.2">
      <c r="A1651">
        <v>1650</v>
      </c>
      <c r="B1651" s="626">
        <v>0</v>
      </c>
      <c r="C1651" s="626">
        <v>1000000</v>
      </c>
      <c r="D1651" s="626">
        <v>0</v>
      </c>
    </row>
    <row r="1652" spans="1:4" x14ac:dyDescent="0.2">
      <c r="A1652">
        <v>1651</v>
      </c>
      <c r="B1652" s="626">
        <v>0</v>
      </c>
      <c r="C1652" s="626">
        <v>1000000</v>
      </c>
      <c r="D1652" s="626">
        <v>0</v>
      </c>
    </row>
    <row r="1653" spans="1:4" x14ac:dyDescent="0.2">
      <c r="A1653">
        <v>1652</v>
      </c>
      <c r="B1653" s="626">
        <v>0</v>
      </c>
      <c r="C1653" s="626">
        <v>1000000</v>
      </c>
      <c r="D1653" s="626">
        <v>0</v>
      </c>
    </row>
    <row r="1654" spans="1:4" x14ac:dyDescent="0.2">
      <c r="A1654">
        <v>1653</v>
      </c>
      <c r="B1654" s="626">
        <v>0</v>
      </c>
      <c r="C1654" s="626">
        <v>1000000</v>
      </c>
      <c r="D1654" s="626">
        <v>0</v>
      </c>
    </row>
    <row r="1655" spans="1:4" x14ac:dyDescent="0.2">
      <c r="A1655">
        <v>1654</v>
      </c>
      <c r="B1655" s="626">
        <v>0</v>
      </c>
      <c r="C1655" s="626">
        <v>1000000</v>
      </c>
      <c r="D1655" s="626">
        <v>0</v>
      </c>
    </row>
    <row r="1656" spans="1:4" x14ac:dyDescent="0.2">
      <c r="A1656">
        <v>1655</v>
      </c>
      <c r="B1656" s="626">
        <v>0</v>
      </c>
      <c r="C1656" s="626">
        <v>1000000</v>
      </c>
      <c r="D1656" s="626">
        <v>0</v>
      </c>
    </row>
    <row r="1657" spans="1:4" x14ac:dyDescent="0.2">
      <c r="A1657">
        <v>1656</v>
      </c>
      <c r="B1657" s="626">
        <v>0</v>
      </c>
      <c r="C1657" s="626">
        <v>1000000</v>
      </c>
      <c r="D1657" s="626">
        <v>0</v>
      </c>
    </row>
    <row r="1658" spans="1:4" x14ac:dyDescent="0.2">
      <c r="A1658">
        <v>1657</v>
      </c>
      <c r="B1658" s="626">
        <v>0</v>
      </c>
      <c r="C1658" s="626">
        <v>1000000</v>
      </c>
      <c r="D1658" s="626">
        <v>0</v>
      </c>
    </row>
    <row r="1659" spans="1:4" x14ac:dyDescent="0.2">
      <c r="A1659">
        <v>1658</v>
      </c>
      <c r="B1659" s="626">
        <v>0</v>
      </c>
      <c r="C1659" s="626">
        <v>1000000</v>
      </c>
      <c r="D1659" s="626">
        <v>0</v>
      </c>
    </row>
    <row r="1660" spans="1:4" x14ac:dyDescent="0.2">
      <c r="A1660">
        <v>1659</v>
      </c>
      <c r="B1660" s="626">
        <v>0</v>
      </c>
      <c r="C1660" s="626">
        <v>1000000</v>
      </c>
      <c r="D1660" s="626">
        <v>0</v>
      </c>
    </row>
    <row r="1661" spans="1:4" x14ac:dyDescent="0.2">
      <c r="A1661">
        <v>1660</v>
      </c>
      <c r="B1661" s="626">
        <v>0</v>
      </c>
      <c r="C1661" s="626">
        <v>1000000</v>
      </c>
      <c r="D1661" s="626">
        <v>0</v>
      </c>
    </row>
    <row r="1662" spans="1:4" x14ac:dyDescent="0.2">
      <c r="A1662">
        <v>1661</v>
      </c>
      <c r="B1662" s="626">
        <v>0</v>
      </c>
      <c r="C1662" s="626">
        <v>1000000</v>
      </c>
      <c r="D1662" s="626">
        <v>0</v>
      </c>
    </row>
    <row r="1663" spans="1:4" x14ac:dyDescent="0.2">
      <c r="A1663">
        <v>1662</v>
      </c>
      <c r="B1663" s="626">
        <v>0</v>
      </c>
      <c r="C1663" s="626">
        <v>1000000</v>
      </c>
      <c r="D1663" s="626">
        <v>0</v>
      </c>
    </row>
    <row r="1664" spans="1:4" x14ac:dyDescent="0.2">
      <c r="A1664">
        <v>1663</v>
      </c>
      <c r="B1664" s="626">
        <v>0</v>
      </c>
      <c r="C1664" s="626">
        <v>1000000</v>
      </c>
      <c r="D1664" s="626">
        <v>0</v>
      </c>
    </row>
    <row r="1665" spans="1:4" x14ac:dyDescent="0.2">
      <c r="A1665">
        <v>1664</v>
      </c>
      <c r="B1665" s="626">
        <v>0</v>
      </c>
      <c r="C1665" s="626">
        <v>1000000</v>
      </c>
      <c r="D1665" s="626">
        <v>0</v>
      </c>
    </row>
    <row r="1666" spans="1:4" x14ac:dyDescent="0.2">
      <c r="A1666">
        <v>1665</v>
      </c>
      <c r="B1666" s="626">
        <v>0</v>
      </c>
      <c r="C1666" s="626">
        <v>1000000</v>
      </c>
      <c r="D1666" s="626">
        <v>0</v>
      </c>
    </row>
    <row r="1667" spans="1:4" x14ac:dyDescent="0.2">
      <c r="A1667">
        <v>1666</v>
      </c>
      <c r="B1667" s="626">
        <v>0</v>
      </c>
      <c r="C1667" s="626">
        <v>1000000</v>
      </c>
      <c r="D1667" s="626">
        <v>0</v>
      </c>
    </row>
    <row r="1668" spans="1:4" x14ac:dyDescent="0.2">
      <c r="A1668">
        <v>1667</v>
      </c>
      <c r="B1668" s="626">
        <v>0</v>
      </c>
      <c r="C1668" s="626">
        <v>1000000</v>
      </c>
      <c r="D1668" s="626">
        <v>0</v>
      </c>
    </row>
    <row r="1669" spans="1:4" x14ac:dyDescent="0.2">
      <c r="A1669">
        <v>1668</v>
      </c>
      <c r="B1669" s="626">
        <v>0</v>
      </c>
      <c r="C1669" s="626">
        <v>1000000</v>
      </c>
      <c r="D1669" s="626">
        <v>0</v>
      </c>
    </row>
    <row r="1670" spans="1:4" x14ac:dyDescent="0.2">
      <c r="A1670">
        <v>1669</v>
      </c>
      <c r="B1670" s="626">
        <v>0</v>
      </c>
      <c r="C1670" s="626">
        <v>1000000</v>
      </c>
      <c r="D1670" s="626">
        <v>0</v>
      </c>
    </row>
    <row r="1671" spans="1:4" x14ac:dyDescent="0.2">
      <c r="A1671">
        <v>1670</v>
      </c>
      <c r="B1671" s="626">
        <v>0</v>
      </c>
      <c r="C1671" s="626">
        <v>1000000</v>
      </c>
      <c r="D1671" s="626">
        <v>0</v>
      </c>
    </row>
    <row r="1672" spans="1:4" x14ac:dyDescent="0.2">
      <c r="A1672">
        <v>1671</v>
      </c>
      <c r="B1672" s="626">
        <v>0</v>
      </c>
      <c r="C1672" s="626">
        <v>1000000</v>
      </c>
      <c r="D1672" s="626">
        <v>0</v>
      </c>
    </row>
    <row r="1673" spans="1:4" x14ac:dyDescent="0.2">
      <c r="A1673">
        <v>1672</v>
      </c>
      <c r="B1673" s="626">
        <v>0</v>
      </c>
      <c r="C1673" s="626">
        <v>1000000</v>
      </c>
      <c r="D1673" s="626">
        <v>0</v>
      </c>
    </row>
    <row r="1674" spans="1:4" x14ac:dyDescent="0.2">
      <c r="A1674">
        <v>1673</v>
      </c>
      <c r="B1674" s="626">
        <v>0</v>
      </c>
      <c r="C1674" s="626">
        <v>1000000</v>
      </c>
      <c r="D1674" s="626">
        <v>0</v>
      </c>
    </row>
    <row r="1675" spans="1:4" x14ac:dyDescent="0.2">
      <c r="A1675">
        <v>1674</v>
      </c>
      <c r="B1675" s="626">
        <v>0</v>
      </c>
      <c r="C1675" s="626">
        <v>1000000</v>
      </c>
      <c r="D1675" s="626">
        <v>0</v>
      </c>
    </row>
    <row r="1676" spans="1:4" x14ac:dyDescent="0.2">
      <c r="A1676">
        <v>1675</v>
      </c>
      <c r="B1676" s="626">
        <v>0</v>
      </c>
      <c r="C1676" s="626">
        <v>1000000</v>
      </c>
      <c r="D1676" s="626">
        <v>0</v>
      </c>
    </row>
    <row r="1677" spans="1:4" x14ac:dyDescent="0.2">
      <c r="A1677">
        <v>1676</v>
      </c>
      <c r="B1677" s="626">
        <v>0</v>
      </c>
      <c r="C1677" s="626">
        <v>1000000</v>
      </c>
      <c r="D1677" s="626">
        <v>0</v>
      </c>
    </row>
    <row r="1678" spans="1:4" x14ac:dyDescent="0.2">
      <c r="A1678">
        <v>1677</v>
      </c>
      <c r="B1678" s="626">
        <v>0</v>
      </c>
      <c r="C1678" s="626">
        <v>1000000</v>
      </c>
      <c r="D1678" s="626">
        <v>0</v>
      </c>
    </row>
    <row r="1679" spans="1:4" x14ac:dyDescent="0.2">
      <c r="A1679">
        <v>1678</v>
      </c>
      <c r="B1679" s="626">
        <v>0</v>
      </c>
      <c r="C1679" s="626">
        <v>1000000</v>
      </c>
      <c r="D1679" s="626">
        <v>0</v>
      </c>
    </row>
    <row r="1680" spans="1:4" x14ac:dyDescent="0.2">
      <c r="A1680">
        <v>1679</v>
      </c>
      <c r="B1680" s="626">
        <v>0</v>
      </c>
      <c r="C1680" s="626">
        <v>1000000</v>
      </c>
      <c r="D1680" s="626">
        <v>0</v>
      </c>
    </row>
    <row r="1681" spans="1:4" x14ac:dyDescent="0.2">
      <c r="A1681">
        <v>1680</v>
      </c>
      <c r="B1681" s="626">
        <v>0</v>
      </c>
      <c r="C1681" s="626">
        <v>1000000</v>
      </c>
      <c r="D1681" s="626">
        <v>0</v>
      </c>
    </row>
    <row r="1682" spans="1:4" x14ac:dyDescent="0.2">
      <c r="A1682">
        <v>1681</v>
      </c>
      <c r="B1682" s="626">
        <v>0</v>
      </c>
      <c r="C1682" s="626">
        <v>1000000</v>
      </c>
      <c r="D1682" s="626">
        <v>0</v>
      </c>
    </row>
    <row r="1683" spans="1:4" x14ac:dyDescent="0.2">
      <c r="A1683">
        <v>1682</v>
      </c>
      <c r="B1683" s="626">
        <v>0</v>
      </c>
      <c r="C1683" s="626">
        <v>1000000</v>
      </c>
      <c r="D1683" s="626">
        <v>0</v>
      </c>
    </row>
    <row r="1684" spans="1:4" x14ac:dyDescent="0.2">
      <c r="A1684">
        <v>1683</v>
      </c>
      <c r="B1684" s="626">
        <v>0</v>
      </c>
      <c r="C1684" s="626">
        <v>1000000</v>
      </c>
      <c r="D1684" s="626">
        <v>0</v>
      </c>
    </row>
    <row r="1685" spans="1:4" x14ac:dyDescent="0.2">
      <c r="A1685">
        <v>1684</v>
      </c>
      <c r="B1685" s="626">
        <v>0</v>
      </c>
      <c r="C1685" s="626">
        <v>1000000</v>
      </c>
      <c r="D1685" s="626">
        <v>0</v>
      </c>
    </row>
    <row r="1686" spans="1:4" x14ac:dyDescent="0.2">
      <c r="A1686">
        <v>1685</v>
      </c>
      <c r="B1686" s="626">
        <v>0</v>
      </c>
      <c r="C1686" s="626">
        <v>1000000</v>
      </c>
      <c r="D1686" s="626">
        <v>0</v>
      </c>
    </row>
    <row r="1687" spans="1:4" x14ac:dyDescent="0.2">
      <c r="A1687">
        <v>1686</v>
      </c>
      <c r="B1687" s="626">
        <v>0</v>
      </c>
      <c r="C1687" s="626">
        <v>1000000</v>
      </c>
      <c r="D1687" s="626">
        <v>0</v>
      </c>
    </row>
    <row r="1688" spans="1:4" x14ac:dyDescent="0.2">
      <c r="A1688">
        <v>1687</v>
      </c>
      <c r="B1688" s="626">
        <v>0</v>
      </c>
      <c r="C1688" s="626">
        <v>1000000</v>
      </c>
      <c r="D1688" s="626">
        <v>0</v>
      </c>
    </row>
    <row r="1689" spans="1:4" x14ac:dyDescent="0.2">
      <c r="A1689">
        <v>1688</v>
      </c>
      <c r="B1689" s="626">
        <v>0</v>
      </c>
      <c r="C1689" s="626">
        <v>1000000</v>
      </c>
      <c r="D1689" s="626">
        <v>0</v>
      </c>
    </row>
    <row r="1690" spans="1:4" x14ac:dyDescent="0.2">
      <c r="A1690">
        <v>1689</v>
      </c>
      <c r="B1690" s="626">
        <v>0</v>
      </c>
      <c r="C1690" s="626">
        <v>1000000</v>
      </c>
      <c r="D1690" s="626">
        <v>0</v>
      </c>
    </row>
    <row r="1691" spans="1:4" x14ac:dyDescent="0.2">
      <c r="A1691">
        <v>1690</v>
      </c>
      <c r="B1691" s="626">
        <v>0</v>
      </c>
      <c r="C1691" s="626">
        <v>1000000</v>
      </c>
      <c r="D1691" s="626">
        <v>0</v>
      </c>
    </row>
    <row r="1692" spans="1:4" x14ac:dyDescent="0.2">
      <c r="A1692">
        <v>1691</v>
      </c>
      <c r="B1692" s="626">
        <v>0</v>
      </c>
      <c r="C1692" s="626">
        <v>1000000</v>
      </c>
      <c r="D1692" s="626">
        <v>0</v>
      </c>
    </row>
    <row r="1693" spans="1:4" x14ac:dyDescent="0.2">
      <c r="A1693">
        <v>1692</v>
      </c>
      <c r="B1693" s="626">
        <v>0</v>
      </c>
      <c r="C1693" s="626">
        <v>1000000</v>
      </c>
      <c r="D1693" s="626">
        <v>0</v>
      </c>
    </row>
    <row r="1694" spans="1:4" x14ac:dyDescent="0.2">
      <c r="A1694">
        <v>1693</v>
      </c>
      <c r="B1694" s="626">
        <v>0</v>
      </c>
      <c r="C1694" s="626">
        <v>1000000</v>
      </c>
      <c r="D1694" s="626">
        <v>0</v>
      </c>
    </row>
    <row r="1695" spans="1:4" x14ac:dyDescent="0.2">
      <c r="A1695">
        <v>1694</v>
      </c>
      <c r="B1695" s="626">
        <v>0</v>
      </c>
      <c r="C1695" s="626">
        <v>1000000</v>
      </c>
      <c r="D1695" s="626">
        <v>0</v>
      </c>
    </row>
    <row r="1696" spans="1:4" x14ac:dyDescent="0.2">
      <c r="A1696">
        <v>1695</v>
      </c>
      <c r="B1696" s="626">
        <v>0</v>
      </c>
      <c r="C1696" s="626">
        <v>1000000</v>
      </c>
      <c r="D1696" s="626">
        <v>0</v>
      </c>
    </row>
    <row r="1697" spans="1:4" x14ac:dyDescent="0.2">
      <c r="A1697">
        <v>1696</v>
      </c>
      <c r="B1697" s="626">
        <v>0</v>
      </c>
      <c r="C1697" s="626">
        <v>1000000</v>
      </c>
      <c r="D1697" s="626">
        <v>0</v>
      </c>
    </row>
    <row r="1698" spans="1:4" x14ac:dyDescent="0.2">
      <c r="A1698">
        <v>1697</v>
      </c>
      <c r="B1698" s="626">
        <v>0</v>
      </c>
      <c r="C1698" s="626">
        <v>1000000</v>
      </c>
      <c r="D1698" s="626">
        <v>0</v>
      </c>
    </row>
    <row r="1699" spans="1:4" x14ac:dyDescent="0.2">
      <c r="A1699">
        <v>1698</v>
      </c>
      <c r="B1699" s="626">
        <v>0</v>
      </c>
      <c r="C1699" s="626">
        <v>1000000</v>
      </c>
      <c r="D1699" s="626">
        <v>0</v>
      </c>
    </row>
    <row r="1700" spans="1:4" x14ac:dyDescent="0.2">
      <c r="A1700">
        <v>1699</v>
      </c>
      <c r="B1700" s="626">
        <v>0</v>
      </c>
      <c r="C1700" s="626">
        <v>1000000</v>
      </c>
      <c r="D1700" s="626">
        <v>0</v>
      </c>
    </row>
    <row r="1701" spans="1:4" x14ac:dyDescent="0.2">
      <c r="A1701">
        <v>1700</v>
      </c>
      <c r="B1701" s="626">
        <v>0</v>
      </c>
      <c r="C1701" s="626">
        <v>1000000</v>
      </c>
      <c r="D1701" s="626">
        <v>0</v>
      </c>
    </row>
    <row r="1702" spans="1:4" x14ac:dyDescent="0.2">
      <c r="A1702">
        <v>1701</v>
      </c>
      <c r="B1702" s="626">
        <v>0</v>
      </c>
      <c r="C1702" s="626">
        <v>1000000</v>
      </c>
      <c r="D1702" s="626">
        <v>0</v>
      </c>
    </row>
    <row r="1703" spans="1:4" x14ac:dyDescent="0.2">
      <c r="A1703">
        <v>1702</v>
      </c>
      <c r="B1703" s="626">
        <v>0</v>
      </c>
      <c r="C1703" s="626">
        <v>1000000</v>
      </c>
      <c r="D1703" s="626">
        <v>0</v>
      </c>
    </row>
    <row r="1704" spans="1:4" x14ac:dyDescent="0.2">
      <c r="A1704">
        <v>1703</v>
      </c>
      <c r="B1704" s="626">
        <v>0</v>
      </c>
      <c r="C1704" s="626">
        <v>1000000</v>
      </c>
      <c r="D1704" s="626">
        <v>0</v>
      </c>
    </row>
    <row r="1705" spans="1:4" x14ac:dyDescent="0.2">
      <c r="A1705">
        <v>1704</v>
      </c>
      <c r="B1705" s="626">
        <v>0</v>
      </c>
      <c r="C1705" s="626">
        <v>1000000</v>
      </c>
      <c r="D1705" s="626">
        <v>0</v>
      </c>
    </row>
    <row r="1706" spans="1:4" x14ac:dyDescent="0.2">
      <c r="A1706">
        <v>1705</v>
      </c>
      <c r="B1706" s="626">
        <v>0</v>
      </c>
      <c r="C1706" s="626">
        <v>1000000</v>
      </c>
      <c r="D1706" s="626">
        <v>0</v>
      </c>
    </row>
    <row r="1707" spans="1:4" x14ac:dyDescent="0.2">
      <c r="A1707">
        <v>1706</v>
      </c>
      <c r="B1707" s="626">
        <v>0</v>
      </c>
      <c r="C1707" s="626">
        <v>1000000</v>
      </c>
      <c r="D1707" s="626">
        <v>0</v>
      </c>
    </row>
    <row r="1708" spans="1:4" x14ac:dyDescent="0.2">
      <c r="A1708">
        <v>1707</v>
      </c>
      <c r="B1708" s="626">
        <v>0</v>
      </c>
      <c r="C1708" s="626">
        <v>1000000</v>
      </c>
      <c r="D1708" s="626">
        <v>0</v>
      </c>
    </row>
    <row r="1709" spans="1:4" x14ac:dyDescent="0.2">
      <c r="A1709">
        <v>1708</v>
      </c>
      <c r="B1709" s="626">
        <v>0</v>
      </c>
      <c r="C1709" s="626">
        <v>1000000</v>
      </c>
      <c r="D1709" s="626">
        <v>0</v>
      </c>
    </row>
    <row r="1710" spans="1:4" x14ac:dyDescent="0.2">
      <c r="A1710">
        <v>1709</v>
      </c>
      <c r="B1710" s="626">
        <v>0</v>
      </c>
      <c r="C1710" s="626">
        <v>1000000</v>
      </c>
      <c r="D1710" s="626">
        <v>0</v>
      </c>
    </row>
    <row r="1711" spans="1:4" x14ac:dyDescent="0.2">
      <c r="A1711">
        <v>1710</v>
      </c>
      <c r="B1711" s="626">
        <v>0</v>
      </c>
      <c r="C1711" s="626">
        <v>1000000</v>
      </c>
      <c r="D1711" s="626">
        <v>0</v>
      </c>
    </row>
    <row r="1712" spans="1:4" x14ac:dyDescent="0.2">
      <c r="A1712">
        <v>1711</v>
      </c>
      <c r="B1712" s="626">
        <v>0</v>
      </c>
      <c r="C1712" s="626">
        <v>1000000</v>
      </c>
      <c r="D1712" s="626">
        <v>0</v>
      </c>
    </row>
    <row r="1713" spans="1:4" x14ac:dyDescent="0.2">
      <c r="A1713">
        <v>1712</v>
      </c>
      <c r="B1713" s="626">
        <v>0</v>
      </c>
      <c r="C1713" s="626">
        <v>1000000</v>
      </c>
      <c r="D1713" s="626">
        <v>0</v>
      </c>
    </row>
    <row r="1714" spans="1:4" x14ac:dyDescent="0.2">
      <c r="A1714">
        <v>1713</v>
      </c>
      <c r="B1714" s="626">
        <v>0</v>
      </c>
      <c r="C1714" s="626">
        <v>1000000</v>
      </c>
      <c r="D1714" s="626">
        <v>0</v>
      </c>
    </row>
    <row r="1715" spans="1:4" x14ac:dyDescent="0.2">
      <c r="A1715">
        <v>1714</v>
      </c>
      <c r="B1715" s="626">
        <v>0</v>
      </c>
      <c r="C1715" s="626">
        <v>1000000</v>
      </c>
      <c r="D1715" s="626">
        <v>0</v>
      </c>
    </row>
    <row r="1716" spans="1:4" x14ac:dyDescent="0.2">
      <c r="A1716">
        <v>1715</v>
      </c>
      <c r="B1716" s="626">
        <v>0</v>
      </c>
      <c r="C1716" s="626">
        <v>1000000</v>
      </c>
      <c r="D1716" s="626">
        <v>0</v>
      </c>
    </row>
    <row r="1717" spans="1:4" x14ac:dyDescent="0.2">
      <c r="A1717">
        <v>1716</v>
      </c>
      <c r="B1717" s="626">
        <v>0</v>
      </c>
      <c r="C1717" s="626">
        <v>1000000</v>
      </c>
      <c r="D1717" s="626">
        <v>0</v>
      </c>
    </row>
    <row r="1718" spans="1:4" x14ac:dyDescent="0.2">
      <c r="A1718">
        <v>1717</v>
      </c>
      <c r="B1718" s="626">
        <v>0</v>
      </c>
      <c r="C1718" s="626">
        <v>1000000</v>
      </c>
      <c r="D1718" s="626">
        <v>0</v>
      </c>
    </row>
    <row r="1719" spans="1:4" x14ac:dyDescent="0.2">
      <c r="A1719">
        <v>1718</v>
      </c>
      <c r="B1719" s="626">
        <v>0</v>
      </c>
      <c r="C1719" s="626">
        <v>1000000</v>
      </c>
      <c r="D1719" s="626">
        <v>0</v>
      </c>
    </row>
    <row r="1720" spans="1:4" x14ac:dyDescent="0.2">
      <c r="A1720">
        <v>1719</v>
      </c>
      <c r="B1720" s="626">
        <v>0</v>
      </c>
      <c r="C1720" s="626">
        <v>1000000</v>
      </c>
      <c r="D1720" s="626">
        <v>0</v>
      </c>
    </row>
    <row r="1721" spans="1:4" x14ac:dyDescent="0.2">
      <c r="A1721">
        <v>1720</v>
      </c>
      <c r="B1721" s="626">
        <v>0</v>
      </c>
      <c r="C1721" s="626">
        <v>1000000</v>
      </c>
      <c r="D1721" s="626">
        <v>0</v>
      </c>
    </row>
    <row r="1722" spans="1:4" x14ac:dyDescent="0.2">
      <c r="A1722">
        <v>1721</v>
      </c>
      <c r="B1722" s="626">
        <v>0</v>
      </c>
      <c r="C1722" s="626">
        <v>1000000</v>
      </c>
      <c r="D1722" s="626">
        <v>0</v>
      </c>
    </row>
    <row r="1723" spans="1:4" x14ac:dyDescent="0.2">
      <c r="A1723">
        <v>1722</v>
      </c>
      <c r="B1723" s="626">
        <v>0</v>
      </c>
      <c r="C1723" s="626">
        <v>1000000</v>
      </c>
      <c r="D1723" s="626">
        <v>0</v>
      </c>
    </row>
    <row r="1724" spans="1:4" x14ac:dyDescent="0.2">
      <c r="A1724">
        <v>1723</v>
      </c>
      <c r="B1724" s="626">
        <v>0</v>
      </c>
      <c r="C1724" s="626">
        <v>1000000</v>
      </c>
      <c r="D1724" s="626">
        <v>0</v>
      </c>
    </row>
    <row r="1725" spans="1:4" x14ac:dyDescent="0.2">
      <c r="A1725">
        <v>1724</v>
      </c>
      <c r="B1725" s="626">
        <v>0</v>
      </c>
      <c r="C1725" s="626">
        <v>1000000</v>
      </c>
      <c r="D1725" s="626">
        <v>0</v>
      </c>
    </row>
    <row r="1726" spans="1:4" x14ac:dyDescent="0.2">
      <c r="A1726">
        <v>1725</v>
      </c>
      <c r="B1726" s="626">
        <v>0</v>
      </c>
      <c r="C1726" s="626">
        <v>1000000</v>
      </c>
      <c r="D1726" s="626">
        <v>0</v>
      </c>
    </row>
    <row r="1727" spans="1:4" x14ac:dyDescent="0.2">
      <c r="A1727">
        <v>1726</v>
      </c>
      <c r="B1727" s="626">
        <v>0</v>
      </c>
      <c r="C1727" s="626">
        <v>1000000</v>
      </c>
      <c r="D1727" s="626">
        <v>0</v>
      </c>
    </row>
    <row r="1728" spans="1:4" x14ac:dyDescent="0.2">
      <c r="A1728">
        <v>1727</v>
      </c>
      <c r="B1728" s="626">
        <v>0</v>
      </c>
      <c r="C1728" s="626">
        <v>1000000</v>
      </c>
      <c r="D1728" s="626">
        <v>0</v>
      </c>
    </row>
    <row r="1729" spans="1:4" x14ac:dyDescent="0.2">
      <c r="A1729">
        <v>1728</v>
      </c>
      <c r="B1729" s="626">
        <v>0</v>
      </c>
      <c r="C1729" s="626">
        <v>1000000</v>
      </c>
      <c r="D1729" s="626">
        <v>0</v>
      </c>
    </row>
    <row r="1730" spans="1:4" x14ac:dyDescent="0.2">
      <c r="A1730">
        <v>1729</v>
      </c>
      <c r="B1730" s="626">
        <v>0</v>
      </c>
      <c r="C1730" s="626">
        <v>1000000</v>
      </c>
      <c r="D1730" s="626">
        <v>0</v>
      </c>
    </row>
    <row r="1731" spans="1:4" x14ac:dyDescent="0.2">
      <c r="A1731">
        <v>1730</v>
      </c>
      <c r="B1731" s="626">
        <v>0</v>
      </c>
      <c r="C1731" s="626">
        <v>1000000</v>
      </c>
      <c r="D1731" s="626">
        <v>0</v>
      </c>
    </row>
    <row r="1732" spans="1:4" x14ac:dyDescent="0.2">
      <c r="A1732">
        <v>1731</v>
      </c>
      <c r="B1732" s="626">
        <v>0</v>
      </c>
      <c r="C1732" s="626">
        <v>1000000</v>
      </c>
      <c r="D1732" s="626">
        <v>0</v>
      </c>
    </row>
    <row r="1733" spans="1:4" x14ac:dyDescent="0.2">
      <c r="A1733">
        <v>1732</v>
      </c>
      <c r="B1733" s="626">
        <v>0</v>
      </c>
      <c r="C1733" s="626">
        <v>1000000</v>
      </c>
      <c r="D1733" s="626">
        <v>0</v>
      </c>
    </row>
    <row r="1734" spans="1:4" x14ac:dyDescent="0.2">
      <c r="A1734">
        <v>1733</v>
      </c>
      <c r="B1734" s="626">
        <v>0</v>
      </c>
      <c r="C1734" s="626">
        <v>1000000</v>
      </c>
      <c r="D1734" s="626">
        <v>0</v>
      </c>
    </row>
    <row r="1735" spans="1:4" x14ac:dyDescent="0.2">
      <c r="A1735">
        <v>1734</v>
      </c>
      <c r="B1735" s="626">
        <v>0</v>
      </c>
      <c r="C1735" s="626">
        <v>1000000</v>
      </c>
      <c r="D1735" s="626">
        <v>0</v>
      </c>
    </row>
    <row r="1736" spans="1:4" x14ac:dyDescent="0.2">
      <c r="A1736">
        <v>1735</v>
      </c>
      <c r="B1736" s="626">
        <v>0</v>
      </c>
      <c r="C1736" s="626">
        <v>1000000</v>
      </c>
      <c r="D1736" s="626">
        <v>0</v>
      </c>
    </row>
    <row r="1737" spans="1:4" x14ac:dyDescent="0.2">
      <c r="A1737">
        <v>1736</v>
      </c>
      <c r="B1737" s="626">
        <v>0</v>
      </c>
      <c r="C1737" s="626">
        <v>1000000</v>
      </c>
      <c r="D1737" s="626">
        <v>0</v>
      </c>
    </row>
    <row r="1738" spans="1:4" x14ac:dyDescent="0.2">
      <c r="A1738">
        <v>1737</v>
      </c>
      <c r="B1738" s="626">
        <v>0</v>
      </c>
      <c r="C1738" s="626">
        <v>1000000</v>
      </c>
      <c r="D1738" s="626">
        <v>0</v>
      </c>
    </row>
    <row r="1739" spans="1:4" x14ac:dyDescent="0.2">
      <c r="A1739">
        <v>1738</v>
      </c>
      <c r="B1739" s="626">
        <v>0</v>
      </c>
      <c r="C1739" s="626">
        <v>1000000</v>
      </c>
      <c r="D1739" s="626">
        <v>0</v>
      </c>
    </row>
    <row r="1740" spans="1:4" x14ac:dyDescent="0.2">
      <c r="A1740">
        <v>1739</v>
      </c>
      <c r="B1740" s="626">
        <v>0</v>
      </c>
      <c r="C1740" s="626">
        <v>1000000</v>
      </c>
      <c r="D1740" s="626">
        <v>0</v>
      </c>
    </row>
    <row r="1741" spans="1:4" x14ac:dyDescent="0.2">
      <c r="A1741">
        <v>1740</v>
      </c>
      <c r="B1741" s="626">
        <v>0</v>
      </c>
      <c r="C1741" s="626">
        <v>1000000</v>
      </c>
      <c r="D1741" s="626">
        <v>0</v>
      </c>
    </row>
    <row r="1742" spans="1:4" x14ac:dyDescent="0.2">
      <c r="A1742">
        <v>1741</v>
      </c>
      <c r="B1742" s="626">
        <v>0</v>
      </c>
      <c r="C1742" s="626">
        <v>1000000</v>
      </c>
      <c r="D1742" s="626">
        <v>0</v>
      </c>
    </row>
    <row r="1743" spans="1:4" x14ac:dyDescent="0.2">
      <c r="A1743">
        <v>1742</v>
      </c>
      <c r="B1743" s="626">
        <v>0</v>
      </c>
      <c r="C1743" s="626">
        <v>1000000</v>
      </c>
      <c r="D1743" s="626">
        <v>0</v>
      </c>
    </row>
    <row r="1744" spans="1:4" x14ac:dyDescent="0.2">
      <c r="A1744">
        <v>1743</v>
      </c>
      <c r="B1744" s="626">
        <v>0</v>
      </c>
      <c r="C1744" s="626">
        <v>1000000</v>
      </c>
      <c r="D1744" s="626">
        <v>0</v>
      </c>
    </row>
    <row r="1745" spans="1:4" x14ac:dyDescent="0.2">
      <c r="A1745">
        <v>1744</v>
      </c>
      <c r="B1745" s="626">
        <v>0</v>
      </c>
      <c r="C1745" s="626">
        <v>1000000</v>
      </c>
      <c r="D1745" s="626">
        <v>0</v>
      </c>
    </row>
    <row r="1746" spans="1:4" x14ac:dyDescent="0.2">
      <c r="A1746">
        <v>1745</v>
      </c>
      <c r="B1746" s="626">
        <v>0</v>
      </c>
      <c r="C1746" s="626">
        <v>1000000</v>
      </c>
      <c r="D1746" s="626">
        <v>0</v>
      </c>
    </row>
    <row r="1747" spans="1:4" x14ac:dyDescent="0.2">
      <c r="A1747">
        <v>1746</v>
      </c>
      <c r="B1747" s="626">
        <v>0</v>
      </c>
      <c r="C1747" s="626">
        <v>1000000</v>
      </c>
      <c r="D1747" s="626">
        <v>0</v>
      </c>
    </row>
    <row r="1748" spans="1:4" x14ac:dyDescent="0.2">
      <c r="A1748">
        <v>1747</v>
      </c>
      <c r="B1748" s="626">
        <v>0</v>
      </c>
      <c r="C1748" s="626">
        <v>1000000</v>
      </c>
      <c r="D1748" s="626">
        <v>0</v>
      </c>
    </row>
    <row r="1749" spans="1:4" x14ac:dyDescent="0.2">
      <c r="A1749">
        <v>1748</v>
      </c>
      <c r="B1749" s="626">
        <v>0</v>
      </c>
      <c r="C1749" s="626">
        <v>1000000</v>
      </c>
      <c r="D1749" s="626">
        <v>0</v>
      </c>
    </row>
    <row r="1750" spans="1:4" x14ac:dyDescent="0.2">
      <c r="A1750">
        <v>1749</v>
      </c>
      <c r="B1750" s="626">
        <v>0</v>
      </c>
      <c r="C1750" s="626">
        <v>1000000</v>
      </c>
      <c r="D1750" s="626">
        <v>0</v>
      </c>
    </row>
    <row r="1751" spans="1:4" x14ac:dyDescent="0.2">
      <c r="A1751">
        <v>1750</v>
      </c>
      <c r="B1751" s="626">
        <v>0</v>
      </c>
      <c r="C1751" s="626">
        <v>1000000</v>
      </c>
      <c r="D1751" s="626">
        <v>0</v>
      </c>
    </row>
    <row r="1752" spans="1:4" x14ac:dyDescent="0.2">
      <c r="A1752">
        <v>1751</v>
      </c>
      <c r="B1752" s="626">
        <v>0</v>
      </c>
      <c r="C1752" s="626">
        <v>1000000</v>
      </c>
      <c r="D1752" s="626">
        <v>0</v>
      </c>
    </row>
    <row r="1753" spans="1:4" x14ac:dyDescent="0.2">
      <c r="A1753">
        <v>1752</v>
      </c>
      <c r="B1753" s="626">
        <v>0</v>
      </c>
      <c r="C1753" s="626">
        <v>1000000</v>
      </c>
      <c r="D1753" s="626">
        <v>0</v>
      </c>
    </row>
    <row r="1754" spans="1:4" x14ac:dyDescent="0.2">
      <c r="A1754">
        <v>1753</v>
      </c>
      <c r="B1754" s="626">
        <v>0</v>
      </c>
      <c r="C1754" s="626">
        <v>1000000</v>
      </c>
      <c r="D1754" s="626">
        <v>0</v>
      </c>
    </row>
    <row r="1755" spans="1:4" x14ac:dyDescent="0.2">
      <c r="A1755">
        <v>1754</v>
      </c>
      <c r="B1755" s="626">
        <v>0</v>
      </c>
      <c r="C1755" s="626">
        <v>1000000</v>
      </c>
      <c r="D1755" s="626">
        <v>0</v>
      </c>
    </row>
    <row r="1756" spans="1:4" x14ac:dyDescent="0.2">
      <c r="A1756">
        <v>1755</v>
      </c>
      <c r="B1756" s="626">
        <v>0</v>
      </c>
      <c r="C1756" s="626">
        <v>1000000</v>
      </c>
      <c r="D1756" s="626">
        <v>0</v>
      </c>
    </row>
    <row r="1757" spans="1:4" x14ac:dyDescent="0.2">
      <c r="A1757">
        <v>1756</v>
      </c>
      <c r="B1757" s="626">
        <v>0</v>
      </c>
      <c r="C1757" s="626">
        <v>1000000</v>
      </c>
      <c r="D1757" s="626">
        <v>0</v>
      </c>
    </row>
    <row r="1758" spans="1:4" x14ac:dyDescent="0.2">
      <c r="A1758">
        <v>1757</v>
      </c>
      <c r="B1758" s="626">
        <v>0</v>
      </c>
      <c r="C1758" s="626">
        <v>1000000</v>
      </c>
      <c r="D1758" s="626">
        <v>0</v>
      </c>
    </row>
    <row r="1759" spans="1:4" x14ac:dyDescent="0.2">
      <c r="A1759">
        <v>1758</v>
      </c>
      <c r="B1759" s="626">
        <v>0</v>
      </c>
      <c r="C1759" s="626">
        <v>1000000</v>
      </c>
      <c r="D1759" s="626">
        <v>0</v>
      </c>
    </row>
    <row r="1760" spans="1:4" x14ac:dyDescent="0.2">
      <c r="A1760">
        <v>1759</v>
      </c>
      <c r="B1760" s="626">
        <v>0</v>
      </c>
      <c r="C1760" s="626">
        <v>1000000</v>
      </c>
      <c r="D1760" s="626">
        <v>0</v>
      </c>
    </row>
    <row r="1761" spans="1:4" x14ac:dyDescent="0.2">
      <c r="A1761">
        <v>1760</v>
      </c>
      <c r="B1761" s="626">
        <v>0</v>
      </c>
      <c r="C1761" s="626">
        <v>1000000</v>
      </c>
      <c r="D1761" s="626">
        <v>0</v>
      </c>
    </row>
    <row r="1762" spans="1:4" x14ac:dyDescent="0.2">
      <c r="A1762">
        <v>1761</v>
      </c>
      <c r="B1762" s="626">
        <v>0</v>
      </c>
      <c r="C1762" s="626">
        <v>1000000</v>
      </c>
      <c r="D1762" s="626">
        <v>0</v>
      </c>
    </row>
    <row r="1763" spans="1:4" x14ac:dyDescent="0.2">
      <c r="A1763">
        <v>1762</v>
      </c>
      <c r="B1763" s="626">
        <v>0</v>
      </c>
      <c r="C1763" s="626">
        <v>1000000</v>
      </c>
      <c r="D1763" s="626">
        <v>0</v>
      </c>
    </row>
    <row r="1764" spans="1:4" x14ac:dyDescent="0.2">
      <c r="A1764">
        <v>1763</v>
      </c>
      <c r="B1764" s="626">
        <v>0</v>
      </c>
      <c r="C1764" s="626">
        <v>1000000</v>
      </c>
      <c r="D1764" s="626">
        <v>0</v>
      </c>
    </row>
    <row r="1765" spans="1:4" x14ac:dyDescent="0.2">
      <c r="A1765">
        <v>1764</v>
      </c>
      <c r="B1765" s="626">
        <v>0</v>
      </c>
      <c r="C1765" s="626">
        <v>1000000</v>
      </c>
      <c r="D1765" s="626">
        <v>0</v>
      </c>
    </row>
    <row r="1766" spans="1:4" x14ac:dyDescent="0.2">
      <c r="A1766">
        <v>1765</v>
      </c>
      <c r="B1766" s="626">
        <v>0</v>
      </c>
      <c r="C1766" s="626">
        <v>1000000</v>
      </c>
      <c r="D1766" s="626">
        <v>0</v>
      </c>
    </row>
    <row r="1767" spans="1:4" x14ac:dyDescent="0.2">
      <c r="A1767">
        <v>1766</v>
      </c>
      <c r="B1767" s="626">
        <v>0</v>
      </c>
      <c r="C1767" s="626">
        <v>1000000</v>
      </c>
      <c r="D1767" s="626">
        <v>0</v>
      </c>
    </row>
    <row r="1768" spans="1:4" x14ac:dyDescent="0.2">
      <c r="A1768">
        <v>1767</v>
      </c>
      <c r="B1768" s="626">
        <v>0</v>
      </c>
      <c r="C1768" s="626">
        <v>1000000</v>
      </c>
      <c r="D1768" s="626">
        <v>0</v>
      </c>
    </row>
    <row r="1769" spans="1:4" x14ac:dyDescent="0.2">
      <c r="A1769">
        <v>1768</v>
      </c>
      <c r="B1769" s="626">
        <v>0</v>
      </c>
      <c r="C1769" s="626">
        <v>1000000</v>
      </c>
      <c r="D1769" s="626">
        <v>0</v>
      </c>
    </row>
    <row r="1770" spans="1:4" x14ac:dyDescent="0.2">
      <c r="A1770">
        <v>1769</v>
      </c>
      <c r="B1770" s="626">
        <v>0</v>
      </c>
      <c r="C1770" s="626">
        <v>1000000</v>
      </c>
      <c r="D1770" s="626">
        <v>0</v>
      </c>
    </row>
    <row r="1771" spans="1:4" x14ac:dyDescent="0.2">
      <c r="A1771">
        <v>1770</v>
      </c>
      <c r="B1771" s="626">
        <v>0</v>
      </c>
      <c r="C1771" s="626">
        <v>1000000</v>
      </c>
      <c r="D1771" s="626">
        <v>0</v>
      </c>
    </row>
    <row r="1772" spans="1:4" x14ac:dyDescent="0.2">
      <c r="A1772">
        <v>1771</v>
      </c>
      <c r="B1772" s="626">
        <v>0</v>
      </c>
      <c r="C1772" s="626">
        <v>1000000</v>
      </c>
      <c r="D1772" s="626">
        <v>0</v>
      </c>
    </row>
    <row r="1773" spans="1:4" x14ac:dyDescent="0.2">
      <c r="A1773">
        <v>1772</v>
      </c>
      <c r="B1773" s="626">
        <v>0</v>
      </c>
      <c r="C1773" s="626">
        <v>1000000</v>
      </c>
      <c r="D1773" s="626">
        <v>0</v>
      </c>
    </row>
    <row r="1774" spans="1:4" x14ac:dyDescent="0.2">
      <c r="A1774">
        <v>1773</v>
      </c>
      <c r="B1774" s="626">
        <v>0</v>
      </c>
      <c r="C1774" s="626">
        <v>1000000</v>
      </c>
      <c r="D1774" s="626">
        <v>0</v>
      </c>
    </row>
    <row r="1775" spans="1:4" x14ac:dyDescent="0.2">
      <c r="A1775">
        <v>1774</v>
      </c>
      <c r="B1775" s="626">
        <v>0</v>
      </c>
      <c r="C1775" s="626">
        <v>1000000</v>
      </c>
      <c r="D1775" s="626">
        <v>0</v>
      </c>
    </row>
    <row r="1776" spans="1:4" x14ac:dyDescent="0.2">
      <c r="A1776">
        <v>1775</v>
      </c>
      <c r="B1776" s="626">
        <v>0</v>
      </c>
      <c r="C1776" s="626">
        <v>1000000</v>
      </c>
      <c r="D1776" s="626">
        <v>0</v>
      </c>
    </row>
    <row r="1777" spans="1:4" x14ac:dyDescent="0.2">
      <c r="A1777">
        <v>1776</v>
      </c>
      <c r="B1777" s="626">
        <v>0</v>
      </c>
      <c r="C1777" s="626">
        <v>1000000</v>
      </c>
      <c r="D1777" s="626">
        <v>0</v>
      </c>
    </row>
    <row r="1778" spans="1:4" x14ac:dyDescent="0.2">
      <c r="A1778">
        <v>1777</v>
      </c>
      <c r="B1778" s="626">
        <v>0</v>
      </c>
      <c r="C1778" s="626">
        <v>1000000</v>
      </c>
      <c r="D1778" s="626">
        <v>0</v>
      </c>
    </row>
    <row r="1779" spans="1:4" x14ac:dyDescent="0.2">
      <c r="A1779">
        <v>1778</v>
      </c>
      <c r="B1779" s="626">
        <v>0</v>
      </c>
      <c r="C1779" s="626">
        <v>1000000</v>
      </c>
      <c r="D1779" s="626">
        <v>0</v>
      </c>
    </row>
    <row r="1780" spans="1:4" x14ac:dyDescent="0.2">
      <c r="A1780">
        <v>1779</v>
      </c>
      <c r="B1780" s="626">
        <v>0</v>
      </c>
      <c r="C1780" s="626">
        <v>1000000</v>
      </c>
      <c r="D1780" s="626">
        <v>0</v>
      </c>
    </row>
    <row r="1781" spans="1:4" x14ac:dyDescent="0.2">
      <c r="A1781">
        <v>1780</v>
      </c>
      <c r="B1781" s="626">
        <v>0</v>
      </c>
      <c r="C1781" s="626">
        <v>1000000</v>
      </c>
      <c r="D1781" s="626">
        <v>0</v>
      </c>
    </row>
    <row r="1782" spans="1:4" x14ac:dyDescent="0.2">
      <c r="A1782">
        <v>1781</v>
      </c>
      <c r="B1782" s="626">
        <v>0</v>
      </c>
      <c r="C1782" s="626">
        <v>1000000</v>
      </c>
      <c r="D1782" s="626">
        <v>0</v>
      </c>
    </row>
    <row r="1783" spans="1:4" x14ac:dyDescent="0.2">
      <c r="A1783">
        <v>1782</v>
      </c>
      <c r="B1783" s="626">
        <v>0</v>
      </c>
      <c r="C1783" s="626">
        <v>1000000</v>
      </c>
      <c r="D1783" s="626">
        <v>0</v>
      </c>
    </row>
    <row r="1784" spans="1:4" x14ac:dyDescent="0.2">
      <c r="A1784">
        <v>1783</v>
      </c>
      <c r="B1784" s="626">
        <v>0</v>
      </c>
      <c r="C1784" s="626">
        <v>1000000</v>
      </c>
      <c r="D1784" s="626">
        <v>0</v>
      </c>
    </row>
    <row r="1785" spans="1:4" x14ac:dyDescent="0.2">
      <c r="A1785">
        <v>1784</v>
      </c>
      <c r="B1785" s="626">
        <v>0</v>
      </c>
      <c r="C1785" s="626">
        <v>1000000</v>
      </c>
      <c r="D1785" s="626">
        <v>0</v>
      </c>
    </row>
    <row r="1786" spans="1:4" x14ac:dyDescent="0.2">
      <c r="A1786">
        <v>1785</v>
      </c>
      <c r="B1786" s="626">
        <v>0</v>
      </c>
      <c r="C1786" s="626">
        <v>1000000</v>
      </c>
      <c r="D1786" s="626">
        <v>0</v>
      </c>
    </row>
    <row r="1787" spans="1:4" x14ac:dyDescent="0.2">
      <c r="A1787">
        <v>1786</v>
      </c>
      <c r="B1787" s="626">
        <v>0</v>
      </c>
      <c r="C1787" s="626">
        <v>1000000</v>
      </c>
      <c r="D1787" s="626">
        <v>0</v>
      </c>
    </row>
    <row r="1788" spans="1:4" x14ac:dyDescent="0.2">
      <c r="A1788">
        <v>1787</v>
      </c>
      <c r="B1788" s="626">
        <v>0</v>
      </c>
      <c r="C1788" s="626">
        <v>1000000</v>
      </c>
      <c r="D1788" s="626">
        <v>0</v>
      </c>
    </row>
    <row r="1789" spans="1:4" x14ac:dyDescent="0.2">
      <c r="A1789">
        <v>1788</v>
      </c>
      <c r="B1789" s="626">
        <v>0</v>
      </c>
      <c r="C1789" s="626">
        <v>1000000</v>
      </c>
      <c r="D1789" s="626">
        <v>0</v>
      </c>
    </row>
    <row r="1790" spans="1:4" x14ac:dyDescent="0.2">
      <c r="A1790">
        <v>1789</v>
      </c>
      <c r="B1790" s="626">
        <v>0</v>
      </c>
      <c r="C1790" s="626">
        <v>1000000</v>
      </c>
      <c r="D1790" s="626">
        <v>0</v>
      </c>
    </row>
    <row r="1791" spans="1:4" x14ac:dyDescent="0.2">
      <c r="A1791">
        <v>1790</v>
      </c>
      <c r="B1791" s="626">
        <v>0</v>
      </c>
      <c r="C1791" s="626">
        <v>1000000</v>
      </c>
      <c r="D1791" s="626">
        <v>0</v>
      </c>
    </row>
    <row r="1792" spans="1:4" x14ac:dyDescent="0.2">
      <c r="A1792">
        <v>1791</v>
      </c>
      <c r="B1792" s="626">
        <v>0</v>
      </c>
      <c r="C1792" s="626">
        <v>1000000</v>
      </c>
      <c r="D1792" s="626">
        <v>0</v>
      </c>
    </row>
    <row r="1793" spans="1:4" x14ac:dyDescent="0.2">
      <c r="A1793">
        <v>1792</v>
      </c>
      <c r="B1793" s="626">
        <v>0</v>
      </c>
      <c r="C1793" s="626">
        <v>1000000</v>
      </c>
      <c r="D1793" s="626">
        <v>0</v>
      </c>
    </row>
    <row r="1794" spans="1:4" x14ac:dyDescent="0.2">
      <c r="A1794">
        <v>1793</v>
      </c>
      <c r="B1794" s="626">
        <v>0</v>
      </c>
      <c r="C1794" s="626">
        <v>1000000</v>
      </c>
      <c r="D1794" s="626">
        <v>0</v>
      </c>
    </row>
    <row r="1795" spans="1:4" x14ac:dyDescent="0.2">
      <c r="A1795">
        <v>1794</v>
      </c>
      <c r="B1795" s="626">
        <v>0</v>
      </c>
      <c r="C1795" s="626">
        <v>1000000</v>
      </c>
      <c r="D1795" s="626">
        <v>0</v>
      </c>
    </row>
    <row r="1796" spans="1:4" x14ac:dyDescent="0.2">
      <c r="A1796">
        <v>1795</v>
      </c>
      <c r="B1796" s="626">
        <v>0</v>
      </c>
      <c r="C1796" s="626">
        <v>1000000</v>
      </c>
      <c r="D1796" s="626">
        <v>0</v>
      </c>
    </row>
    <row r="1797" spans="1:4" x14ac:dyDescent="0.2">
      <c r="A1797">
        <v>1796</v>
      </c>
      <c r="B1797" s="626">
        <v>0</v>
      </c>
      <c r="C1797" s="626">
        <v>1000000</v>
      </c>
      <c r="D1797" s="626">
        <v>0</v>
      </c>
    </row>
    <row r="1798" spans="1:4" x14ac:dyDescent="0.2">
      <c r="A1798">
        <v>1797</v>
      </c>
      <c r="B1798" s="626">
        <v>0</v>
      </c>
      <c r="C1798" s="626">
        <v>1000000</v>
      </c>
      <c r="D1798" s="626">
        <v>0</v>
      </c>
    </row>
    <row r="1799" spans="1:4" x14ac:dyDescent="0.2">
      <c r="A1799">
        <v>1798</v>
      </c>
      <c r="B1799" s="626">
        <v>0</v>
      </c>
      <c r="C1799" s="626">
        <v>1000000</v>
      </c>
      <c r="D1799" s="626">
        <v>0</v>
      </c>
    </row>
    <row r="1800" spans="1:4" x14ac:dyDescent="0.2">
      <c r="A1800">
        <v>1799</v>
      </c>
      <c r="B1800" s="626">
        <v>0</v>
      </c>
      <c r="C1800" s="626">
        <v>1000000</v>
      </c>
      <c r="D1800" s="626">
        <v>0</v>
      </c>
    </row>
    <row r="1801" spans="1:4" x14ac:dyDescent="0.2">
      <c r="A1801">
        <v>1800</v>
      </c>
      <c r="B1801" s="626">
        <v>0</v>
      </c>
      <c r="C1801" s="626">
        <v>1000000</v>
      </c>
      <c r="D1801" s="626">
        <v>0</v>
      </c>
    </row>
    <row r="1802" spans="1:4" x14ac:dyDescent="0.2">
      <c r="A1802">
        <v>1801</v>
      </c>
      <c r="B1802" s="626">
        <v>0</v>
      </c>
      <c r="C1802" s="626">
        <v>1000000</v>
      </c>
      <c r="D1802" s="626">
        <v>0</v>
      </c>
    </row>
    <row r="1803" spans="1:4" x14ac:dyDescent="0.2">
      <c r="A1803">
        <v>1802</v>
      </c>
      <c r="B1803" s="626">
        <v>0</v>
      </c>
      <c r="C1803" s="626">
        <v>1000000</v>
      </c>
      <c r="D1803" s="626">
        <v>0</v>
      </c>
    </row>
    <row r="1804" spans="1:4" x14ac:dyDescent="0.2">
      <c r="A1804">
        <v>1803</v>
      </c>
      <c r="B1804" s="626">
        <v>0</v>
      </c>
      <c r="C1804" s="626">
        <v>1000000</v>
      </c>
      <c r="D1804" s="626">
        <v>0</v>
      </c>
    </row>
    <row r="1805" spans="1:4" x14ac:dyDescent="0.2">
      <c r="A1805">
        <v>1804</v>
      </c>
      <c r="B1805" s="626">
        <v>0</v>
      </c>
      <c r="C1805" s="626">
        <v>1000000</v>
      </c>
      <c r="D1805" s="626">
        <v>0</v>
      </c>
    </row>
    <row r="1806" spans="1:4" x14ac:dyDescent="0.2">
      <c r="A1806">
        <v>1805</v>
      </c>
      <c r="B1806" s="626">
        <v>0</v>
      </c>
      <c r="C1806" s="626">
        <v>1000000</v>
      </c>
      <c r="D1806" s="626">
        <v>0</v>
      </c>
    </row>
    <row r="1807" spans="1:4" x14ac:dyDescent="0.2">
      <c r="A1807">
        <v>1806</v>
      </c>
      <c r="B1807" s="626">
        <v>0</v>
      </c>
      <c r="C1807" s="626">
        <v>1000000</v>
      </c>
      <c r="D1807" s="626">
        <v>0</v>
      </c>
    </row>
    <row r="1808" spans="1:4" x14ac:dyDescent="0.2">
      <c r="A1808">
        <v>1807</v>
      </c>
      <c r="B1808" s="626">
        <v>0</v>
      </c>
      <c r="C1808" s="626">
        <v>1000000</v>
      </c>
      <c r="D1808" s="626">
        <v>0</v>
      </c>
    </row>
    <row r="1809" spans="1:4" x14ac:dyDescent="0.2">
      <c r="A1809">
        <v>1808</v>
      </c>
      <c r="B1809" s="626">
        <v>0</v>
      </c>
      <c r="C1809" s="626">
        <v>1000000</v>
      </c>
      <c r="D1809" s="626">
        <v>0</v>
      </c>
    </row>
    <row r="1810" spans="1:4" x14ac:dyDescent="0.2">
      <c r="A1810">
        <v>1809</v>
      </c>
      <c r="B1810" s="626">
        <v>0</v>
      </c>
      <c r="C1810" s="626">
        <v>1000000</v>
      </c>
      <c r="D1810" s="626">
        <v>0</v>
      </c>
    </row>
    <row r="1811" spans="1:4" x14ac:dyDescent="0.2">
      <c r="A1811">
        <v>1810</v>
      </c>
      <c r="B1811" s="626">
        <v>0</v>
      </c>
      <c r="C1811" s="626">
        <v>1000000</v>
      </c>
      <c r="D1811" s="626">
        <v>0</v>
      </c>
    </row>
    <row r="1812" spans="1:4" x14ac:dyDescent="0.2">
      <c r="A1812">
        <v>1811</v>
      </c>
      <c r="B1812" s="626">
        <v>0</v>
      </c>
      <c r="C1812" s="626">
        <v>1000000</v>
      </c>
      <c r="D1812" s="626">
        <v>0</v>
      </c>
    </row>
    <row r="1813" spans="1:4" x14ac:dyDescent="0.2">
      <c r="A1813">
        <v>1812</v>
      </c>
      <c r="B1813" s="626">
        <v>0</v>
      </c>
      <c r="C1813" s="626">
        <v>1000000</v>
      </c>
      <c r="D1813" s="626">
        <v>0</v>
      </c>
    </row>
    <row r="1814" spans="1:4" x14ac:dyDescent="0.2">
      <c r="A1814">
        <v>1813</v>
      </c>
      <c r="B1814" s="626">
        <v>0</v>
      </c>
      <c r="C1814" s="626">
        <v>1000000</v>
      </c>
      <c r="D1814" s="626">
        <v>0</v>
      </c>
    </row>
    <row r="1815" spans="1:4" x14ac:dyDescent="0.2">
      <c r="A1815">
        <v>1814</v>
      </c>
      <c r="B1815" s="626">
        <v>0</v>
      </c>
      <c r="C1815" s="626">
        <v>1000000</v>
      </c>
      <c r="D1815" s="626">
        <v>0</v>
      </c>
    </row>
    <row r="1816" spans="1:4" x14ac:dyDescent="0.2">
      <c r="A1816">
        <v>1815</v>
      </c>
      <c r="B1816" s="626">
        <v>0</v>
      </c>
      <c r="C1816" s="626">
        <v>1000000</v>
      </c>
      <c r="D1816" s="626">
        <v>0</v>
      </c>
    </row>
    <row r="1817" spans="1:4" x14ac:dyDescent="0.2">
      <c r="A1817">
        <v>1816</v>
      </c>
      <c r="B1817" s="626">
        <v>0</v>
      </c>
      <c r="C1817" s="626">
        <v>1000000</v>
      </c>
      <c r="D1817" s="626">
        <v>0</v>
      </c>
    </row>
    <row r="1818" spans="1:4" x14ac:dyDescent="0.2">
      <c r="A1818">
        <v>1817</v>
      </c>
      <c r="B1818" s="626">
        <v>0</v>
      </c>
      <c r="C1818" s="626">
        <v>1000000</v>
      </c>
      <c r="D1818" s="626">
        <v>0</v>
      </c>
    </row>
    <row r="1819" spans="1:4" x14ac:dyDescent="0.2">
      <c r="A1819">
        <v>1818</v>
      </c>
      <c r="B1819" s="626">
        <v>0</v>
      </c>
      <c r="C1819" s="626">
        <v>1000000</v>
      </c>
      <c r="D1819" s="626">
        <v>0</v>
      </c>
    </row>
    <row r="1820" spans="1:4" x14ac:dyDescent="0.2">
      <c r="A1820">
        <v>1819</v>
      </c>
      <c r="B1820" s="626">
        <v>0</v>
      </c>
      <c r="C1820" s="626">
        <v>1000000</v>
      </c>
      <c r="D1820" s="626">
        <v>0</v>
      </c>
    </row>
    <row r="1821" spans="1:4" x14ac:dyDescent="0.2">
      <c r="A1821">
        <v>1820</v>
      </c>
      <c r="B1821" s="626">
        <v>0</v>
      </c>
      <c r="C1821" s="626">
        <v>1000000</v>
      </c>
      <c r="D1821" s="626">
        <v>0</v>
      </c>
    </row>
    <row r="1822" spans="1:4" x14ac:dyDescent="0.2">
      <c r="A1822">
        <v>1821</v>
      </c>
      <c r="B1822" s="626">
        <v>0</v>
      </c>
      <c r="C1822" s="626">
        <v>1000000</v>
      </c>
      <c r="D1822" s="626">
        <v>0</v>
      </c>
    </row>
    <row r="1823" spans="1:4" x14ac:dyDescent="0.2">
      <c r="A1823">
        <v>1822</v>
      </c>
      <c r="B1823" s="626">
        <v>0</v>
      </c>
      <c r="C1823" s="626">
        <v>1000000</v>
      </c>
      <c r="D1823" s="626">
        <v>0</v>
      </c>
    </row>
    <row r="1824" spans="1:4" x14ac:dyDescent="0.2">
      <c r="A1824">
        <v>1823</v>
      </c>
      <c r="B1824" s="626">
        <v>0</v>
      </c>
      <c r="C1824" s="626">
        <v>1000000</v>
      </c>
      <c r="D1824" s="626">
        <v>0</v>
      </c>
    </row>
    <row r="1825" spans="1:4" x14ac:dyDescent="0.2">
      <c r="A1825">
        <v>1824</v>
      </c>
      <c r="B1825" s="626">
        <v>0</v>
      </c>
      <c r="C1825" s="626">
        <v>1000000</v>
      </c>
      <c r="D1825" s="626">
        <v>0</v>
      </c>
    </row>
    <row r="1826" spans="1:4" x14ac:dyDescent="0.2">
      <c r="A1826">
        <v>1825</v>
      </c>
      <c r="B1826" s="626">
        <v>0</v>
      </c>
      <c r="C1826" s="626">
        <v>1000000</v>
      </c>
      <c r="D1826" s="626">
        <v>0</v>
      </c>
    </row>
    <row r="1827" spans="1:4" x14ac:dyDescent="0.2">
      <c r="A1827">
        <v>1826</v>
      </c>
      <c r="B1827" s="626">
        <v>0</v>
      </c>
      <c r="C1827" s="626">
        <v>1000000</v>
      </c>
      <c r="D1827" s="626">
        <v>0</v>
      </c>
    </row>
    <row r="1828" spans="1:4" x14ac:dyDescent="0.2">
      <c r="A1828">
        <v>1827</v>
      </c>
      <c r="B1828" s="626">
        <v>0</v>
      </c>
      <c r="C1828" s="626">
        <v>1000000</v>
      </c>
      <c r="D1828" s="626">
        <v>0</v>
      </c>
    </row>
    <row r="1829" spans="1:4" x14ac:dyDescent="0.2">
      <c r="A1829">
        <v>1828</v>
      </c>
      <c r="B1829" s="626">
        <v>0</v>
      </c>
      <c r="C1829" s="626">
        <v>1000000</v>
      </c>
      <c r="D1829" s="626">
        <v>0</v>
      </c>
    </row>
    <row r="1830" spans="1:4" x14ac:dyDescent="0.2">
      <c r="A1830">
        <v>1829</v>
      </c>
      <c r="B1830" s="626">
        <v>0</v>
      </c>
      <c r="C1830" s="626">
        <v>1000000</v>
      </c>
      <c r="D1830" s="626">
        <v>0</v>
      </c>
    </row>
    <row r="1831" spans="1:4" x14ac:dyDescent="0.2">
      <c r="A1831">
        <v>1830</v>
      </c>
      <c r="B1831" s="626">
        <v>0</v>
      </c>
      <c r="C1831" s="626">
        <v>1000000</v>
      </c>
      <c r="D1831" s="626">
        <v>0</v>
      </c>
    </row>
    <row r="1832" spans="1:4" x14ac:dyDescent="0.2">
      <c r="A1832">
        <v>1831</v>
      </c>
      <c r="B1832" s="626">
        <v>0</v>
      </c>
      <c r="C1832" s="626">
        <v>1000000</v>
      </c>
      <c r="D1832" s="626">
        <v>0</v>
      </c>
    </row>
    <row r="1833" spans="1:4" x14ac:dyDescent="0.2">
      <c r="A1833">
        <v>1832</v>
      </c>
      <c r="B1833" s="626">
        <v>0</v>
      </c>
      <c r="C1833" s="626">
        <v>1000000</v>
      </c>
      <c r="D1833" s="626">
        <v>0</v>
      </c>
    </row>
    <row r="1834" spans="1:4" x14ac:dyDescent="0.2">
      <c r="A1834">
        <v>1833</v>
      </c>
      <c r="B1834" s="626">
        <v>0</v>
      </c>
      <c r="C1834" s="626">
        <v>1000000</v>
      </c>
      <c r="D1834" s="626">
        <v>0</v>
      </c>
    </row>
    <row r="1835" spans="1:4" x14ac:dyDescent="0.2">
      <c r="A1835">
        <v>1834</v>
      </c>
      <c r="B1835" s="626">
        <v>0</v>
      </c>
      <c r="C1835" s="626">
        <v>1000000</v>
      </c>
      <c r="D1835" s="626">
        <v>0</v>
      </c>
    </row>
    <row r="1836" spans="1:4" x14ac:dyDescent="0.2">
      <c r="A1836">
        <v>1835</v>
      </c>
      <c r="B1836" s="626">
        <v>0</v>
      </c>
      <c r="C1836" s="626">
        <v>1000000</v>
      </c>
      <c r="D1836" s="626">
        <v>0</v>
      </c>
    </row>
    <row r="1837" spans="1:4" x14ac:dyDescent="0.2">
      <c r="A1837">
        <v>1836</v>
      </c>
      <c r="B1837" s="626">
        <v>0</v>
      </c>
      <c r="C1837" s="626">
        <v>1000000</v>
      </c>
      <c r="D1837" s="626">
        <v>0</v>
      </c>
    </row>
    <row r="1838" spans="1:4" x14ac:dyDescent="0.2">
      <c r="A1838">
        <v>1837</v>
      </c>
      <c r="B1838" s="626">
        <v>0</v>
      </c>
      <c r="C1838" s="626">
        <v>1000000</v>
      </c>
      <c r="D1838" s="626">
        <v>0</v>
      </c>
    </row>
    <row r="1839" spans="1:4" x14ac:dyDescent="0.2">
      <c r="A1839">
        <v>1838</v>
      </c>
      <c r="B1839" s="626">
        <v>0</v>
      </c>
      <c r="C1839" s="626">
        <v>1000000</v>
      </c>
      <c r="D1839" s="626">
        <v>0</v>
      </c>
    </row>
    <row r="1840" spans="1:4" x14ac:dyDescent="0.2">
      <c r="A1840">
        <v>1839</v>
      </c>
      <c r="B1840" s="626">
        <v>0</v>
      </c>
      <c r="C1840" s="626">
        <v>1000000</v>
      </c>
      <c r="D1840" s="626">
        <v>0</v>
      </c>
    </row>
    <row r="1841" spans="1:4" x14ac:dyDescent="0.2">
      <c r="A1841">
        <v>1840</v>
      </c>
      <c r="B1841" s="626">
        <v>0</v>
      </c>
      <c r="C1841" s="626">
        <v>1000000</v>
      </c>
      <c r="D1841" s="626">
        <v>0</v>
      </c>
    </row>
    <row r="1842" spans="1:4" x14ac:dyDescent="0.2">
      <c r="A1842">
        <v>1841</v>
      </c>
      <c r="B1842" s="626">
        <v>0</v>
      </c>
      <c r="C1842" s="626">
        <v>1000000</v>
      </c>
      <c r="D1842" s="626">
        <v>0</v>
      </c>
    </row>
    <row r="1843" spans="1:4" x14ac:dyDescent="0.2">
      <c r="A1843">
        <v>1842</v>
      </c>
      <c r="B1843" s="626">
        <v>0</v>
      </c>
      <c r="C1843" s="626">
        <v>1000000</v>
      </c>
      <c r="D1843" s="626">
        <v>0</v>
      </c>
    </row>
    <row r="1844" spans="1:4" x14ac:dyDescent="0.2">
      <c r="A1844">
        <v>1843</v>
      </c>
      <c r="B1844" s="626">
        <v>0</v>
      </c>
      <c r="C1844" s="626">
        <v>1000000</v>
      </c>
      <c r="D1844" s="626">
        <v>0</v>
      </c>
    </row>
    <row r="1845" spans="1:4" x14ac:dyDescent="0.2">
      <c r="A1845">
        <v>1844</v>
      </c>
      <c r="B1845" s="626">
        <v>0</v>
      </c>
      <c r="C1845" s="626">
        <v>1000000</v>
      </c>
      <c r="D1845" s="626">
        <v>0</v>
      </c>
    </row>
    <row r="1846" spans="1:4" x14ac:dyDescent="0.2">
      <c r="A1846">
        <v>1845</v>
      </c>
      <c r="B1846" s="626">
        <v>0</v>
      </c>
      <c r="C1846" s="626">
        <v>1000000</v>
      </c>
      <c r="D1846" s="626">
        <v>0</v>
      </c>
    </row>
    <row r="1847" spans="1:4" x14ac:dyDescent="0.2">
      <c r="A1847">
        <v>1846</v>
      </c>
      <c r="B1847" s="626">
        <v>0</v>
      </c>
      <c r="C1847" s="626">
        <v>1000000</v>
      </c>
      <c r="D1847" s="626">
        <v>0</v>
      </c>
    </row>
    <row r="1848" spans="1:4" x14ac:dyDescent="0.2">
      <c r="A1848">
        <v>1847</v>
      </c>
      <c r="B1848" s="626">
        <v>0</v>
      </c>
      <c r="C1848" s="626">
        <v>1000000</v>
      </c>
      <c r="D1848" s="626">
        <v>0</v>
      </c>
    </row>
    <row r="1849" spans="1:4" x14ac:dyDescent="0.2">
      <c r="A1849">
        <v>1848</v>
      </c>
      <c r="B1849" s="626">
        <v>0</v>
      </c>
      <c r="C1849" s="626">
        <v>1000000</v>
      </c>
      <c r="D1849" s="626">
        <v>0</v>
      </c>
    </row>
    <row r="1850" spans="1:4" x14ac:dyDescent="0.2">
      <c r="A1850">
        <v>1849</v>
      </c>
      <c r="B1850" s="626">
        <v>0</v>
      </c>
      <c r="C1850" s="626">
        <v>1000000</v>
      </c>
      <c r="D1850" s="626">
        <v>0</v>
      </c>
    </row>
    <row r="1851" spans="1:4" x14ac:dyDescent="0.2">
      <c r="A1851">
        <v>1850</v>
      </c>
      <c r="B1851" s="626">
        <v>0</v>
      </c>
      <c r="C1851" s="626">
        <v>1000000</v>
      </c>
      <c r="D1851" s="626">
        <v>0</v>
      </c>
    </row>
    <row r="1852" spans="1:4" x14ac:dyDescent="0.2">
      <c r="A1852">
        <v>1851</v>
      </c>
      <c r="B1852" s="626">
        <v>0</v>
      </c>
      <c r="C1852" s="626">
        <v>1000000</v>
      </c>
      <c r="D1852" s="626">
        <v>0</v>
      </c>
    </row>
    <row r="1853" spans="1:4" x14ac:dyDescent="0.2">
      <c r="A1853">
        <v>1852</v>
      </c>
      <c r="B1853" s="626">
        <v>0</v>
      </c>
      <c r="C1853" s="626">
        <v>1000000</v>
      </c>
      <c r="D1853" s="626">
        <v>0</v>
      </c>
    </row>
    <row r="1854" spans="1:4" x14ac:dyDescent="0.2">
      <c r="A1854">
        <v>1853</v>
      </c>
      <c r="B1854" s="626">
        <v>0</v>
      </c>
      <c r="C1854" s="626">
        <v>1000000</v>
      </c>
      <c r="D1854" s="626">
        <v>0</v>
      </c>
    </row>
    <row r="1855" spans="1:4" x14ac:dyDescent="0.2">
      <c r="A1855">
        <v>1854</v>
      </c>
      <c r="B1855" s="626">
        <v>0</v>
      </c>
      <c r="C1855" s="626">
        <v>1000000</v>
      </c>
      <c r="D1855" s="626">
        <v>0</v>
      </c>
    </row>
    <row r="1856" spans="1:4" x14ac:dyDescent="0.2">
      <c r="A1856">
        <v>1855</v>
      </c>
      <c r="B1856" s="626">
        <v>0</v>
      </c>
      <c r="C1856" s="626">
        <v>1000000</v>
      </c>
      <c r="D1856" s="626">
        <v>0</v>
      </c>
    </row>
    <row r="1857" spans="1:4" x14ac:dyDescent="0.2">
      <c r="A1857">
        <v>1856</v>
      </c>
      <c r="B1857" s="626">
        <v>0</v>
      </c>
      <c r="C1857" s="626">
        <v>1000000</v>
      </c>
      <c r="D1857" s="626">
        <v>0</v>
      </c>
    </row>
    <row r="1858" spans="1:4" x14ac:dyDescent="0.2">
      <c r="A1858">
        <v>1857</v>
      </c>
      <c r="B1858" s="626">
        <v>0</v>
      </c>
      <c r="C1858" s="626">
        <v>1000000</v>
      </c>
      <c r="D1858" s="626">
        <v>0</v>
      </c>
    </row>
    <row r="1859" spans="1:4" x14ac:dyDescent="0.2">
      <c r="A1859">
        <v>1858</v>
      </c>
      <c r="B1859" s="626">
        <v>0</v>
      </c>
      <c r="C1859" s="626">
        <v>1000000</v>
      </c>
      <c r="D1859" s="626">
        <v>0</v>
      </c>
    </row>
    <row r="1860" spans="1:4" x14ac:dyDescent="0.2">
      <c r="A1860">
        <v>1859</v>
      </c>
      <c r="B1860" s="626">
        <v>0</v>
      </c>
      <c r="C1860" s="626">
        <v>1000000</v>
      </c>
      <c r="D1860" s="626">
        <v>0</v>
      </c>
    </row>
    <row r="1861" spans="1:4" x14ac:dyDescent="0.2">
      <c r="A1861">
        <v>1860</v>
      </c>
      <c r="B1861" s="626">
        <v>0</v>
      </c>
      <c r="C1861" s="626">
        <v>1000000</v>
      </c>
      <c r="D1861" s="626">
        <v>0</v>
      </c>
    </row>
    <row r="1862" spans="1:4" x14ac:dyDescent="0.2">
      <c r="A1862">
        <v>1861</v>
      </c>
      <c r="B1862" s="626">
        <v>0</v>
      </c>
      <c r="C1862" s="626">
        <v>1000000</v>
      </c>
      <c r="D1862" s="626">
        <v>0</v>
      </c>
    </row>
    <row r="1863" spans="1:4" x14ac:dyDescent="0.2">
      <c r="A1863">
        <v>1862</v>
      </c>
      <c r="B1863" s="626">
        <v>0</v>
      </c>
      <c r="C1863" s="626">
        <v>1000000</v>
      </c>
      <c r="D1863" s="626">
        <v>0</v>
      </c>
    </row>
    <row r="1864" spans="1:4" x14ac:dyDescent="0.2">
      <c r="A1864">
        <v>1863</v>
      </c>
      <c r="B1864" s="626">
        <v>0</v>
      </c>
      <c r="C1864" s="626">
        <v>1000000</v>
      </c>
      <c r="D1864" s="626">
        <v>0</v>
      </c>
    </row>
    <row r="1865" spans="1:4" x14ac:dyDescent="0.2">
      <c r="A1865">
        <v>1864</v>
      </c>
      <c r="B1865" s="626">
        <v>0</v>
      </c>
      <c r="C1865" s="626">
        <v>1000000</v>
      </c>
      <c r="D1865" s="626">
        <v>0</v>
      </c>
    </row>
    <row r="1866" spans="1:4" x14ac:dyDescent="0.2">
      <c r="A1866">
        <v>1865</v>
      </c>
      <c r="B1866" s="626">
        <v>0</v>
      </c>
      <c r="C1866" s="626">
        <v>1000000</v>
      </c>
      <c r="D1866" s="626">
        <v>0</v>
      </c>
    </row>
    <row r="1867" spans="1:4" x14ac:dyDescent="0.2">
      <c r="A1867">
        <v>1866</v>
      </c>
      <c r="B1867" s="626">
        <v>0</v>
      </c>
      <c r="C1867" s="626">
        <v>1000000</v>
      </c>
      <c r="D1867" s="626">
        <v>0</v>
      </c>
    </row>
    <row r="1868" spans="1:4" x14ac:dyDescent="0.2">
      <c r="A1868">
        <v>1867</v>
      </c>
      <c r="B1868" s="626">
        <v>0</v>
      </c>
      <c r="C1868" s="626">
        <v>1000000</v>
      </c>
      <c r="D1868" s="626">
        <v>0</v>
      </c>
    </row>
    <row r="1869" spans="1:4" x14ac:dyDescent="0.2">
      <c r="A1869">
        <v>1868</v>
      </c>
      <c r="B1869" s="626">
        <v>0</v>
      </c>
      <c r="C1869" s="626">
        <v>1000000</v>
      </c>
      <c r="D1869" s="626">
        <v>0</v>
      </c>
    </row>
    <row r="1870" spans="1:4" x14ac:dyDescent="0.2">
      <c r="A1870">
        <v>1869</v>
      </c>
      <c r="B1870" s="626">
        <v>0</v>
      </c>
      <c r="C1870" s="626">
        <v>1000000</v>
      </c>
      <c r="D1870" s="626">
        <v>0</v>
      </c>
    </row>
    <row r="1871" spans="1:4" x14ac:dyDescent="0.2">
      <c r="A1871">
        <v>1870</v>
      </c>
      <c r="B1871" s="626">
        <v>0</v>
      </c>
      <c r="C1871" s="626">
        <v>1000000</v>
      </c>
      <c r="D1871" s="626">
        <v>0</v>
      </c>
    </row>
    <row r="1872" spans="1:4" x14ac:dyDescent="0.2">
      <c r="A1872">
        <v>1871</v>
      </c>
      <c r="B1872" s="626">
        <v>0</v>
      </c>
      <c r="C1872" s="626">
        <v>1000000</v>
      </c>
      <c r="D1872" s="626">
        <v>0</v>
      </c>
    </row>
    <row r="1873" spans="1:4" x14ac:dyDescent="0.2">
      <c r="A1873">
        <v>1872</v>
      </c>
      <c r="B1873" s="626">
        <v>0</v>
      </c>
      <c r="C1873" s="626">
        <v>1000000</v>
      </c>
      <c r="D1873" s="626">
        <v>0</v>
      </c>
    </row>
    <row r="1874" spans="1:4" x14ac:dyDescent="0.2">
      <c r="A1874">
        <v>1873</v>
      </c>
      <c r="B1874" s="626">
        <v>0</v>
      </c>
      <c r="C1874" s="626">
        <v>1000000</v>
      </c>
      <c r="D1874" s="626">
        <v>0</v>
      </c>
    </row>
    <row r="1875" spans="1:4" x14ac:dyDescent="0.2">
      <c r="A1875">
        <v>1874</v>
      </c>
      <c r="B1875" s="626">
        <v>0</v>
      </c>
      <c r="C1875" s="626">
        <v>1000000</v>
      </c>
      <c r="D1875" s="626">
        <v>0</v>
      </c>
    </row>
    <row r="1876" spans="1:4" x14ac:dyDescent="0.2">
      <c r="A1876">
        <v>1875</v>
      </c>
      <c r="B1876" s="626">
        <v>0</v>
      </c>
      <c r="C1876" s="626">
        <v>1000000</v>
      </c>
      <c r="D1876" s="626">
        <v>0</v>
      </c>
    </row>
    <row r="1877" spans="1:4" x14ac:dyDescent="0.2">
      <c r="A1877">
        <v>1876</v>
      </c>
      <c r="B1877" s="626">
        <v>0</v>
      </c>
      <c r="C1877" s="626">
        <v>1000000</v>
      </c>
      <c r="D1877" s="626">
        <v>0</v>
      </c>
    </row>
    <row r="1878" spans="1:4" x14ac:dyDescent="0.2">
      <c r="A1878">
        <v>1877</v>
      </c>
      <c r="B1878" s="626">
        <v>0</v>
      </c>
      <c r="C1878" s="626">
        <v>1000000</v>
      </c>
      <c r="D1878" s="626">
        <v>0</v>
      </c>
    </row>
    <row r="1879" spans="1:4" x14ac:dyDescent="0.2">
      <c r="A1879">
        <v>1878</v>
      </c>
      <c r="B1879" s="626">
        <v>0</v>
      </c>
      <c r="C1879" s="626">
        <v>1000000</v>
      </c>
      <c r="D1879" s="626">
        <v>0</v>
      </c>
    </row>
    <row r="1880" spans="1:4" x14ac:dyDescent="0.2">
      <c r="A1880">
        <v>1879</v>
      </c>
      <c r="B1880" s="626">
        <v>0</v>
      </c>
      <c r="C1880" s="626">
        <v>1000000</v>
      </c>
      <c r="D1880" s="626">
        <v>0</v>
      </c>
    </row>
    <row r="1881" spans="1:4" x14ac:dyDescent="0.2">
      <c r="A1881">
        <v>1880</v>
      </c>
      <c r="B1881" s="626">
        <v>0</v>
      </c>
      <c r="C1881" s="626">
        <v>1000000</v>
      </c>
      <c r="D1881" s="626">
        <v>0</v>
      </c>
    </row>
    <row r="1882" spans="1:4" x14ac:dyDescent="0.2">
      <c r="A1882">
        <v>1881</v>
      </c>
      <c r="B1882" s="626">
        <v>0</v>
      </c>
      <c r="C1882" s="626">
        <v>1000000</v>
      </c>
      <c r="D1882" s="626">
        <v>0</v>
      </c>
    </row>
    <row r="1883" spans="1:4" x14ac:dyDescent="0.2">
      <c r="A1883">
        <v>1882</v>
      </c>
      <c r="B1883" s="626">
        <v>0</v>
      </c>
      <c r="C1883" s="626">
        <v>1000000</v>
      </c>
      <c r="D1883" s="626">
        <v>0</v>
      </c>
    </row>
    <row r="1884" spans="1:4" x14ac:dyDescent="0.2">
      <c r="A1884">
        <v>1883</v>
      </c>
      <c r="B1884" s="626">
        <v>0</v>
      </c>
      <c r="C1884" s="626">
        <v>1000000</v>
      </c>
      <c r="D1884" s="626">
        <v>0</v>
      </c>
    </row>
    <row r="1885" spans="1:4" x14ac:dyDescent="0.2">
      <c r="A1885">
        <v>1884</v>
      </c>
      <c r="B1885" s="626">
        <v>0</v>
      </c>
      <c r="C1885" s="626">
        <v>1000000</v>
      </c>
      <c r="D1885" s="626">
        <v>0</v>
      </c>
    </row>
    <row r="1886" spans="1:4" x14ac:dyDescent="0.2">
      <c r="A1886">
        <v>1885</v>
      </c>
      <c r="B1886" s="626">
        <v>0</v>
      </c>
      <c r="C1886" s="626">
        <v>1000000</v>
      </c>
      <c r="D1886" s="626">
        <v>0</v>
      </c>
    </row>
    <row r="1887" spans="1:4" x14ac:dyDescent="0.2">
      <c r="A1887">
        <v>1886</v>
      </c>
      <c r="B1887" s="626">
        <v>0</v>
      </c>
      <c r="C1887" s="626">
        <v>1000000</v>
      </c>
      <c r="D1887" s="626">
        <v>0</v>
      </c>
    </row>
    <row r="1888" spans="1:4" x14ac:dyDescent="0.2">
      <c r="A1888">
        <v>1887</v>
      </c>
      <c r="B1888" s="626">
        <v>0</v>
      </c>
      <c r="C1888" s="626">
        <v>1000000</v>
      </c>
      <c r="D1888" s="626">
        <v>0</v>
      </c>
    </row>
    <row r="1889" spans="1:4" x14ac:dyDescent="0.2">
      <c r="A1889">
        <v>1888</v>
      </c>
      <c r="B1889" s="626">
        <v>0</v>
      </c>
      <c r="C1889" s="626">
        <v>1000000</v>
      </c>
      <c r="D1889" s="626">
        <v>0</v>
      </c>
    </row>
    <row r="1890" spans="1:4" x14ac:dyDescent="0.2">
      <c r="A1890">
        <v>1889</v>
      </c>
      <c r="B1890" s="626">
        <v>0</v>
      </c>
      <c r="C1890" s="626">
        <v>1000000</v>
      </c>
      <c r="D1890" s="626">
        <v>0</v>
      </c>
    </row>
    <row r="1891" spans="1:4" x14ac:dyDescent="0.2">
      <c r="A1891">
        <v>1890</v>
      </c>
      <c r="B1891" s="626">
        <v>0</v>
      </c>
      <c r="C1891" s="626">
        <v>1000000</v>
      </c>
      <c r="D1891" s="626">
        <v>0</v>
      </c>
    </row>
    <row r="1892" spans="1:4" x14ac:dyDescent="0.2">
      <c r="A1892">
        <v>1891</v>
      </c>
      <c r="B1892" s="626">
        <v>0</v>
      </c>
      <c r="C1892" s="626">
        <v>1000000</v>
      </c>
      <c r="D1892" s="626">
        <v>0</v>
      </c>
    </row>
    <row r="1893" spans="1:4" x14ac:dyDescent="0.2">
      <c r="A1893">
        <v>1892</v>
      </c>
      <c r="B1893" s="626">
        <v>0</v>
      </c>
      <c r="C1893" s="626">
        <v>1000000</v>
      </c>
      <c r="D1893" s="626">
        <v>0</v>
      </c>
    </row>
    <row r="1894" spans="1:4" x14ac:dyDescent="0.2">
      <c r="A1894">
        <v>1893</v>
      </c>
      <c r="B1894" s="626">
        <v>0</v>
      </c>
      <c r="C1894" s="626">
        <v>1000000</v>
      </c>
      <c r="D1894" s="626">
        <v>0</v>
      </c>
    </row>
    <row r="1895" spans="1:4" x14ac:dyDescent="0.2">
      <c r="A1895">
        <v>1894</v>
      </c>
      <c r="B1895" s="626">
        <v>0</v>
      </c>
      <c r="C1895" s="626">
        <v>1000000</v>
      </c>
      <c r="D1895" s="626">
        <v>0</v>
      </c>
    </row>
    <row r="1896" spans="1:4" x14ac:dyDescent="0.2">
      <c r="A1896">
        <v>1895</v>
      </c>
      <c r="B1896" s="626">
        <v>0</v>
      </c>
      <c r="C1896" s="626">
        <v>1000000</v>
      </c>
      <c r="D1896" s="626">
        <v>0</v>
      </c>
    </row>
    <row r="1897" spans="1:4" x14ac:dyDescent="0.2">
      <c r="A1897">
        <v>1896</v>
      </c>
      <c r="B1897" s="626">
        <v>0</v>
      </c>
      <c r="C1897" s="626">
        <v>1000000</v>
      </c>
      <c r="D1897" s="626">
        <v>0</v>
      </c>
    </row>
    <row r="1898" spans="1:4" x14ac:dyDescent="0.2">
      <c r="A1898">
        <v>1897</v>
      </c>
      <c r="B1898" s="626">
        <v>0</v>
      </c>
      <c r="C1898" s="626">
        <v>1000000</v>
      </c>
      <c r="D1898" s="626">
        <v>0</v>
      </c>
    </row>
    <row r="1899" spans="1:4" x14ac:dyDescent="0.2">
      <c r="A1899">
        <v>1898</v>
      </c>
      <c r="B1899" s="626">
        <v>0</v>
      </c>
      <c r="C1899" s="626">
        <v>1000000</v>
      </c>
      <c r="D1899" s="626">
        <v>0</v>
      </c>
    </row>
    <row r="1900" spans="1:4" x14ac:dyDescent="0.2">
      <c r="A1900">
        <v>1899</v>
      </c>
      <c r="B1900" s="626">
        <v>0</v>
      </c>
      <c r="C1900" s="626">
        <v>1000000</v>
      </c>
      <c r="D1900" s="626">
        <v>0</v>
      </c>
    </row>
    <row r="1901" spans="1:4" x14ac:dyDescent="0.2">
      <c r="A1901">
        <v>1900</v>
      </c>
      <c r="B1901" s="626">
        <v>0</v>
      </c>
      <c r="C1901" s="626">
        <v>1000000</v>
      </c>
      <c r="D1901" s="626">
        <v>0</v>
      </c>
    </row>
    <row r="1902" spans="1:4" x14ac:dyDescent="0.2">
      <c r="A1902">
        <v>1901</v>
      </c>
      <c r="B1902" s="626">
        <v>0</v>
      </c>
      <c r="C1902" s="626">
        <v>1000000</v>
      </c>
      <c r="D1902" s="626">
        <v>0</v>
      </c>
    </row>
    <row r="1903" spans="1:4" x14ac:dyDescent="0.2">
      <c r="A1903">
        <v>1902</v>
      </c>
      <c r="B1903" s="626">
        <v>0</v>
      </c>
      <c r="C1903" s="626">
        <v>1000000</v>
      </c>
      <c r="D1903" s="626">
        <v>0</v>
      </c>
    </row>
    <row r="1904" spans="1:4" x14ac:dyDescent="0.2">
      <c r="A1904">
        <v>1903</v>
      </c>
      <c r="B1904" s="626">
        <v>0</v>
      </c>
      <c r="C1904" s="626">
        <v>1000000</v>
      </c>
      <c r="D1904" s="626">
        <v>0</v>
      </c>
    </row>
    <row r="1905" spans="1:4" x14ac:dyDescent="0.2">
      <c r="A1905">
        <v>1904</v>
      </c>
      <c r="B1905" s="626">
        <v>0</v>
      </c>
      <c r="C1905" s="626">
        <v>1000000</v>
      </c>
      <c r="D1905" s="626">
        <v>0</v>
      </c>
    </row>
    <row r="1906" spans="1:4" x14ac:dyDescent="0.2">
      <c r="A1906">
        <v>1905</v>
      </c>
      <c r="B1906" s="626">
        <v>0</v>
      </c>
      <c r="C1906" s="626">
        <v>1000000</v>
      </c>
      <c r="D1906" s="626">
        <v>0</v>
      </c>
    </row>
    <row r="1907" spans="1:4" x14ac:dyDescent="0.2">
      <c r="A1907">
        <v>1906</v>
      </c>
      <c r="B1907" s="626">
        <v>0</v>
      </c>
      <c r="C1907" s="626">
        <v>1000000</v>
      </c>
      <c r="D1907" s="626">
        <v>0</v>
      </c>
    </row>
    <row r="1908" spans="1:4" x14ac:dyDescent="0.2">
      <c r="A1908">
        <v>1907</v>
      </c>
      <c r="B1908" s="626">
        <v>0</v>
      </c>
      <c r="C1908" s="626">
        <v>1000000</v>
      </c>
      <c r="D1908" s="626">
        <v>0</v>
      </c>
    </row>
    <row r="1909" spans="1:4" x14ac:dyDescent="0.2">
      <c r="A1909">
        <v>1908</v>
      </c>
      <c r="B1909" s="626">
        <v>0</v>
      </c>
      <c r="C1909" s="626">
        <v>1000000</v>
      </c>
      <c r="D1909" s="626">
        <v>0</v>
      </c>
    </row>
    <row r="1910" spans="1:4" x14ac:dyDescent="0.2">
      <c r="A1910">
        <v>1909</v>
      </c>
      <c r="B1910" s="626">
        <v>0</v>
      </c>
      <c r="C1910" s="626">
        <v>1000000</v>
      </c>
      <c r="D1910" s="626">
        <v>0</v>
      </c>
    </row>
    <row r="1911" spans="1:4" x14ac:dyDescent="0.2">
      <c r="A1911">
        <v>1910</v>
      </c>
      <c r="B1911" s="626">
        <v>0</v>
      </c>
      <c r="C1911" s="626">
        <v>1000000</v>
      </c>
      <c r="D1911" s="626">
        <v>0</v>
      </c>
    </row>
    <row r="1912" spans="1:4" x14ac:dyDescent="0.2">
      <c r="A1912">
        <v>1911</v>
      </c>
      <c r="B1912" s="626">
        <v>0</v>
      </c>
      <c r="C1912" s="626">
        <v>1000000</v>
      </c>
      <c r="D1912" s="626">
        <v>0</v>
      </c>
    </row>
    <row r="1913" spans="1:4" x14ac:dyDescent="0.2">
      <c r="A1913">
        <v>1912</v>
      </c>
      <c r="B1913" s="626">
        <v>0</v>
      </c>
      <c r="C1913" s="626">
        <v>1000000</v>
      </c>
      <c r="D1913" s="626">
        <v>0</v>
      </c>
    </row>
    <row r="1914" spans="1:4" x14ac:dyDescent="0.2">
      <c r="A1914">
        <v>1913</v>
      </c>
      <c r="B1914" s="626">
        <v>0</v>
      </c>
      <c r="C1914" s="626">
        <v>1000000</v>
      </c>
      <c r="D1914" s="626">
        <v>0</v>
      </c>
    </row>
    <row r="1915" spans="1:4" x14ac:dyDescent="0.2">
      <c r="A1915">
        <v>1914</v>
      </c>
      <c r="B1915" s="626">
        <v>0</v>
      </c>
      <c r="C1915" s="626">
        <v>1000000</v>
      </c>
      <c r="D1915" s="626">
        <v>0</v>
      </c>
    </row>
    <row r="1916" spans="1:4" x14ac:dyDescent="0.2">
      <c r="A1916">
        <v>1915</v>
      </c>
      <c r="B1916" s="626">
        <v>0</v>
      </c>
      <c r="C1916" s="626">
        <v>1000000</v>
      </c>
      <c r="D1916" s="626">
        <v>0</v>
      </c>
    </row>
    <row r="1917" spans="1:4" x14ac:dyDescent="0.2">
      <c r="A1917">
        <v>1916</v>
      </c>
      <c r="B1917" s="626">
        <v>0</v>
      </c>
      <c r="C1917" s="626">
        <v>1000000</v>
      </c>
      <c r="D1917" s="626">
        <v>0</v>
      </c>
    </row>
    <row r="1918" spans="1:4" x14ac:dyDescent="0.2">
      <c r="A1918">
        <v>1917</v>
      </c>
      <c r="B1918" s="626">
        <v>0</v>
      </c>
      <c r="C1918" s="626">
        <v>1000000</v>
      </c>
      <c r="D1918" s="626">
        <v>0</v>
      </c>
    </row>
    <row r="1919" spans="1:4" x14ac:dyDescent="0.2">
      <c r="A1919">
        <v>1918</v>
      </c>
      <c r="B1919" s="626">
        <v>0</v>
      </c>
      <c r="C1919" s="626">
        <v>1000000</v>
      </c>
      <c r="D1919" s="626">
        <v>0</v>
      </c>
    </row>
    <row r="1920" spans="1:4" x14ac:dyDescent="0.2">
      <c r="A1920">
        <v>1919</v>
      </c>
      <c r="B1920" s="626">
        <v>0</v>
      </c>
      <c r="C1920" s="626">
        <v>1000000</v>
      </c>
      <c r="D1920" s="626">
        <v>0</v>
      </c>
    </row>
    <row r="1921" spans="1:4" x14ac:dyDescent="0.2">
      <c r="A1921">
        <v>1920</v>
      </c>
      <c r="B1921" s="626">
        <v>0</v>
      </c>
      <c r="C1921" s="626">
        <v>1000000</v>
      </c>
      <c r="D1921" s="626">
        <v>0</v>
      </c>
    </row>
    <row r="1922" spans="1:4" x14ac:dyDescent="0.2">
      <c r="A1922">
        <v>1921</v>
      </c>
      <c r="B1922" s="626">
        <v>0</v>
      </c>
      <c r="C1922" s="626">
        <v>1000000</v>
      </c>
      <c r="D1922" s="626">
        <v>0</v>
      </c>
    </row>
    <row r="1923" spans="1:4" x14ac:dyDescent="0.2">
      <c r="A1923">
        <v>1922</v>
      </c>
      <c r="B1923" s="626">
        <v>0</v>
      </c>
      <c r="C1923" s="626">
        <v>1000000</v>
      </c>
      <c r="D1923" s="626">
        <v>0</v>
      </c>
    </row>
    <row r="1924" spans="1:4" x14ac:dyDescent="0.2">
      <c r="A1924">
        <v>1923</v>
      </c>
      <c r="B1924" s="626">
        <v>0</v>
      </c>
      <c r="C1924" s="626">
        <v>1000000</v>
      </c>
      <c r="D1924" s="626">
        <v>0</v>
      </c>
    </row>
    <row r="1925" spans="1:4" x14ac:dyDescent="0.2">
      <c r="A1925">
        <v>1924</v>
      </c>
      <c r="B1925" s="626">
        <v>0</v>
      </c>
      <c r="C1925" s="626">
        <v>1000000</v>
      </c>
      <c r="D1925" s="626">
        <v>0</v>
      </c>
    </row>
    <row r="1926" spans="1:4" x14ac:dyDescent="0.2">
      <c r="A1926">
        <v>1925</v>
      </c>
      <c r="B1926" s="626">
        <v>0</v>
      </c>
      <c r="C1926" s="626">
        <v>1000000</v>
      </c>
      <c r="D1926" s="626">
        <v>0</v>
      </c>
    </row>
    <row r="1927" spans="1:4" x14ac:dyDescent="0.2">
      <c r="A1927">
        <v>1926</v>
      </c>
      <c r="B1927" s="626">
        <v>0</v>
      </c>
      <c r="C1927" s="626">
        <v>1000000</v>
      </c>
      <c r="D1927" s="626">
        <v>0</v>
      </c>
    </row>
    <row r="1928" spans="1:4" x14ac:dyDescent="0.2">
      <c r="A1928">
        <v>1927</v>
      </c>
      <c r="B1928" s="626">
        <v>0</v>
      </c>
      <c r="C1928" s="626">
        <v>1000000</v>
      </c>
      <c r="D1928" s="626">
        <v>0</v>
      </c>
    </row>
    <row r="1929" spans="1:4" x14ac:dyDescent="0.2">
      <c r="A1929">
        <v>1928</v>
      </c>
      <c r="B1929" s="626">
        <v>0</v>
      </c>
      <c r="C1929" s="626">
        <v>1000000</v>
      </c>
      <c r="D1929" s="626">
        <v>0</v>
      </c>
    </row>
    <row r="1930" spans="1:4" x14ac:dyDescent="0.2">
      <c r="A1930">
        <v>1929</v>
      </c>
      <c r="B1930" s="626">
        <v>0</v>
      </c>
      <c r="C1930" s="626">
        <v>1000000</v>
      </c>
      <c r="D1930" s="626">
        <v>0</v>
      </c>
    </row>
    <row r="1931" spans="1:4" x14ac:dyDescent="0.2">
      <c r="A1931">
        <v>1930</v>
      </c>
      <c r="B1931" s="626">
        <v>0</v>
      </c>
      <c r="C1931" s="626">
        <v>1000000</v>
      </c>
      <c r="D1931" s="626">
        <v>0</v>
      </c>
    </row>
    <row r="1932" spans="1:4" x14ac:dyDescent="0.2">
      <c r="A1932">
        <v>1931</v>
      </c>
      <c r="B1932" s="626">
        <v>0</v>
      </c>
      <c r="C1932" s="626">
        <v>1000000</v>
      </c>
      <c r="D1932" s="626">
        <v>0</v>
      </c>
    </row>
    <row r="1933" spans="1:4" x14ac:dyDescent="0.2">
      <c r="A1933">
        <v>1932</v>
      </c>
      <c r="B1933" s="626">
        <v>0</v>
      </c>
      <c r="C1933" s="626">
        <v>1000000</v>
      </c>
      <c r="D1933" s="626">
        <v>0</v>
      </c>
    </row>
    <row r="1934" spans="1:4" x14ac:dyDescent="0.2">
      <c r="A1934">
        <v>1933</v>
      </c>
      <c r="B1934" s="626">
        <v>0</v>
      </c>
      <c r="C1934" s="626">
        <v>1000000</v>
      </c>
      <c r="D1934" s="626">
        <v>0</v>
      </c>
    </row>
    <row r="1935" spans="1:4" x14ac:dyDescent="0.2">
      <c r="A1935">
        <v>1934</v>
      </c>
      <c r="B1935" s="626">
        <v>0</v>
      </c>
      <c r="C1935" s="626">
        <v>1000000</v>
      </c>
      <c r="D1935" s="626">
        <v>0</v>
      </c>
    </row>
    <row r="1936" spans="1:4" x14ac:dyDescent="0.2">
      <c r="A1936">
        <v>1935</v>
      </c>
      <c r="B1936" s="626">
        <v>0</v>
      </c>
      <c r="C1936" s="626">
        <v>1000000</v>
      </c>
      <c r="D1936" s="626">
        <v>0</v>
      </c>
    </row>
    <row r="1937" spans="1:4" x14ac:dyDescent="0.2">
      <c r="A1937">
        <v>1936</v>
      </c>
      <c r="B1937" s="626">
        <v>0</v>
      </c>
      <c r="C1937" s="626">
        <v>1000000</v>
      </c>
      <c r="D1937" s="626">
        <v>0</v>
      </c>
    </row>
    <row r="1938" spans="1:4" x14ac:dyDescent="0.2">
      <c r="A1938">
        <v>1937</v>
      </c>
      <c r="B1938" s="626">
        <v>0</v>
      </c>
      <c r="C1938" s="626">
        <v>1000000</v>
      </c>
      <c r="D1938" s="626">
        <v>0</v>
      </c>
    </row>
    <row r="1939" spans="1:4" x14ac:dyDescent="0.2">
      <c r="A1939">
        <v>1938</v>
      </c>
      <c r="B1939" s="626">
        <v>0</v>
      </c>
      <c r="C1939" s="626">
        <v>1000000</v>
      </c>
      <c r="D1939" s="626">
        <v>0</v>
      </c>
    </row>
    <row r="1940" spans="1:4" x14ac:dyDescent="0.2">
      <c r="A1940">
        <v>1939</v>
      </c>
      <c r="B1940" s="626">
        <v>0</v>
      </c>
      <c r="C1940" s="626">
        <v>1000000</v>
      </c>
      <c r="D1940" s="626">
        <v>0</v>
      </c>
    </row>
    <row r="1941" spans="1:4" x14ac:dyDescent="0.2">
      <c r="A1941">
        <v>1940</v>
      </c>
      <c r="B1941" s="626">
        <v>0</v>
      </c>
      <c r="C1941" s="626">
        <v>1000000</v>
      </c>
      <c r="D1941" s="626">
        <v>0</v>
      </c>
    </row>
    <row r="1942" spans="1:4" x14ac:dyDescent="0.2">
      <c r="A1942">
        <v>1941</v>
      </c>
      <c r="B1942" s="626">
        <v>0</v>
      </c>
      <c r="C1942" s="626">
        <v>1000000</v>
      </c>
      <c r="D1942" s="626">
        <v>0</v>
      </c>
    </row>
    <row r="1943" spans="1:4" x14ac:dyDescent="0.2">
      <c r="A1943">
        <v>1942</v>
      </c>
      <c r="B1943" s="626">
        <v>0</v>
      </c>
      <c r="C1943" s="626">
        <v>1000000</v>
      </c>
      <c r="D1943" s="626">
        <v>0</v>
      </c>
    </row>
    <row r="1944" spans="1:4" x14ac:dyDescent="0.2">
      <c r="A1944">
        <v>1943</v>
      </c>
      <c r="B1944" s="626">
        <v>0</v>
      </c>
      <c r="C1944" s="626">
        <v>1000000</v>
      </c>
      <c r="D1944" s="626">
        <v>0</v>
      </c>
    </row>
    <row r="1945" spans="1:4" x14ac:dyDescent="0.2">
      <c r="A1945">
        <v>1944</v>
      </c>
      <c r="B1945" s="626">
        <v>0</v>
      </c>
      <c r="C1945" s="626">
        <v>1000000</v>
      </c>
      <c r="D1945" s="626">
        <v>0</v>
      </c>
    </row>
    <row r="1946" spans="1:4" x14ac:dyDescent="0.2">
      <c r="A1946">
        <v>1945</v>
      </c>
      <c r="B1946" s="626">
        <v>0</v>
      </c>
      <c r="C1946" s="626">
        <v>1000000</v>
      </c>
      <c r="D1946" s="626">
        <v>0</v>
      </c>
    </row>
    <row r="1947" spans="1:4" x14ac:dyDescent="0.2">
      <c r="A1947">
        <v>1946</v>
      </c>
      <c r="B1947" s="626">
        <v>0</v>
      </c>
      <c r="C1947" s="626">
        <v>1000000</v>
      </c>
      <c r="D1947" s="626">
        <v>0</v>
      </c>
    </row>
    <row r="1948" spans="1:4" x14ac:dyDescent="0.2">
      <c r="A1948">
        <v>1947</v>
      </c>
      <c r="B1948" s="626">
        <v>0</v>
      </c>
      <c r="C1948" s="626">
        <v>1000000</v>
      </c>
      <c r="D1948" s="626">
        <v>0</v>
      </c>
    </row>
    <row r="1949" spans="1:4" x14ac:dyDescent="0.2">
      <c r="A1949">
        <v>1948</v>
      </c>
      <c r="B1949" s="626">
        <v>0</v>
      </c>
      <c r="C1949" s="626">
        <v>1000000</v>
      </c>
      <c r="D1949" s="626">
        <v>0</v>
      </c>
    </row>
    <row r="1950" spans="1:4" x14ac:dyDescent="0.2">
      <c r="A1950">
        <v>1949</v>
      </c>
      <c r="B1950" s="626">
        <v>0</v>
      </c>
      <c r="C1950" s="626">
        <v>1000000</v>
      </c>
      <c r="D1950" s="626">
        <v>0</v>
      </c>
    </row>
    <row r="1951" spans="1:4" x14ac:dyDescent="0.2">
      <c r="A1951">
        <v>1950</v>
      </c>
      <c r="B1951" s="626">
        <v>0</v>
      </c>
      <c r="C1951" s="626">
        <v>1000000</v>
      </c>
      <c r="D1951" s="626">
        <v>0</v>
      </c>
    </row>
    <row r="1952" spans="1:4" x14ac:dyDescent="0.2">
      <c r="A1952">
        <v>1951</v>
      </c>
      <c r="B1952" s="626">
        <v>0</v>
      </c>
      <c r="C1952" s="626">
        <v>1000000</v>
      </c>
      <c r="D1952" s="626">
        <v>0</v>
      </c>
    </row>
    <row r="1953" spans="1:4" x14ac:dyDescent="0.2">
      <c r="A1953">
        <v>1952</v>
      </c>
      <c r="B1953" s="626">
        <v>0</v>
      </c>
      <c r="C1953" s="626">
        <v>1000000</v>
      </c>
      <c r="D1953" s="626">
        <v>0</v>
      </c>
    </row>
    <row r="1954" spans="1:4" x14ac:dyDescent="0.2">
      <c r="A1954">
        <v>1953</v>
      </c>
      <c r="B1954" s="626">
        <v>0</v>
      </c>
      <c r="C1954" s="626">
        <v>1000000</v>
      </c>
      <c r="D1954" s="626">
        <v>0</v>
      </c>
    </row>
    <row r="1955" spans="1:4" x14ac:dyDescent="0.2">
      <c r="A1955">
        <v>1954</v>
      </c>
      <c r="B1955" s="626">
        <v>0</v>
      </c>
      <c r="C1955" s="626">
        <v>1000000</v>
      </c>
      <c r="D1955" s="626">
        <v>0</v>
      </c>
    </row>
    <row r="1956" spans="1:4" x14ac:dyDescent="0.2">
      <c r="A1956">
        <v>1955</v>
      </c>
      <c r="B1956" s="626">
        <v>0</v>
      </c>
      <c r="C1956" s="626">
        <v>1000000</v>
      </c>
      <c r="D1956" s="626">
        <v>0</v>
      </c>
    </row>
    <row r="1957" spans="1:4" x14ac:dyDescent="0.2">
      <c r="A1957">
        <v>1956</v>
      </c>
      <c r="B1957" s="626">
        <v>0</v>
      </c>
      <c r="C1957" s="626">
        <v>1000000</v>
      </c>
      <c r="D1957" s="626">
        <v>0</v>
      </c>
    </row>
    <row r="1958" spans="1:4" x14ac:dyDescent="0.2">
      <c r="A1958">
        <v>1957</v>
      </c>
      <c r="B1958" s="626">
        <v>0</v>
      </c>
      <c r="C1958" s="626">
        <v>1000000</v>
      </c>
      <c r="D1958" s="626">
        <v>0</v>
      </c>
    </row>
    <row r="1959" spans="1:4" x14ac:dyDescent="0.2">
      <c r="A1959">
        <v>1958</v>
      </c>
      <c r="B1959" s="626">
        <v>0</v>
      </c>
      <c r="C1959" s="626">
        <v>1000000</v>
      </c>
      <c r="D1959" s="626">
        <v>0</v>
      </c>
    </row>
    <row r="1960" spans="1:4" x14ac:dyDescent="0.2">
      <c r="A1960">
        <v>1959</v>
      </c>
      <c r="B1960" s="626">
        <v>0</v>
      </c>
      <c r="C1960" s="626">
        <v>1000000</v>
      </c>
      <c r="D1960" s="626">
        <v>0</v>
      </c>
    </row>
    <row r="1961" spans="1:4" x14ac:dyDescent="0.2">
      <c r="A1961">
        <v>1960</v>
      </c>
      <c r="B1961" s="626">
        <v>0</v>
      </c>
      <c r="C1961" s="626">
        <v>1000000</v>
      </c>
      <c r="D1961" s="626">
        <v>0</v>
      </c>
    </row>
    <row r="1962" spans="1:4" x14ac:dyDescent="0.2">
      <c r="A1962">
        <v>1961</v>
      </c>
      <c r="B1962" s="626">
        <v>0</v>
      </c>
      <c r="C1962" s="626">
        <v>1000000</v>
      </c>
      <c r="D1962" s="626">
        <v>0</v>
      </c>
    </row>
    <row r="1963" spans="1:4" x14ac:dyDescent="0.2">
      <c r="A1963">
        <v>1962</v>
      </c>
      <c r="B1963" s="626">
        <v>0</v>
      </c>
      <c r="C1963" s="626">
        <v>1000000</v>
      </c>
      <c r="D1963" s="626">
        <v>0</v>
      </c>
    </row>
    <row r="1964" spans="1:4" x14ac:dyDescent="0.2">
      <c r="A1964">
        <v>1963</v>
      </c>
      <c r="B1964" s="626">
        <v>0</v>
      </c>
      <c r="C1964" s="626">
        <v>1000000</v>
      </c>
      <c r="D1964" s="626">
        <v>0</v>
      </c>
    </row>
    <row r="1965" spans="1:4" x14ac:dyDescent="0.2">
      <c r="A1965">
        <v>1964</v>
      </c>
      <c r="B1965" s="626">
        <v>0</v>
      </c>
      <c r="C1965" s="626">
        <v>1000000</v>
      </c>
      <c r="D1965" s="626">
        <v>0</v>
      </c>
    </row>
    <row r="1966" spans="1:4" x14ac:dyDescent="0.2">
      <c r="A1966">
        <v>1965</v>
      </c>
      <c r="B1966" s="626">
        <v>0</v>
      </c>
      <c r="C1966" s="626">
        <v>1000000</v>
      </c>
      <c r="D1966" s="626">
        <v>0</v>
      </c>
    </row>
    <row r="1967" spans="1:4" x14ac:dyDescent="0.2">
      <c r="A1967">
        <v>1966</v>
      </c>
      <c r="B1967" s="626">
        <v>0</v>
      </c>
      <c r="C1967" s="626">
        <v>1000000</v>
      </c>
      <c r="D1967" s="626">
        <v>0</v>
      </c>
    </row>
    <row r="1968" spans="1:4" x14ac:dyDescent="0.2">
      <c r="A1968">
        <v>1967</v>
      </c>
      <c r="B1968" s="626">
        <v>0</v>
      </c>
      <c r="C1968" s="626">
        <v>1000000</v>
      </c>
      <c r="D1968" s="626">
        <v>0</v>
      </c>
    </row>
    <row r="1969" spans="1:4" x14ac:dyDescent="0.2">
      <c r="A1969">
        <v>1968</v>
      </c>
      <c r="B1969" s="626">
        <v>0</v>
      </c>
      <c r="C1969" s="626">
        <v>1000000</v>
      </c>
      <c r="D1969" s="626">
        <v>0</v>
      </c>
    </row>
    <row r="1970" spans="1:4" x14ac:dyDescent="0.2">
      <c r="A1970">
        <v>1969</v>
      </c>
      <c r="B1970" s="626">
        <v>0</v>
      </c>
      <c r="C1970" s="626">
        <v>1000000</v>
      </c>
      <c r="D1970" s="626">
        <v>0</v>
      </c>
    </row>
    <row r="1971" spans="1:4" x14ac:dyDescent="0.2">
      <c r="A1971">
        <v>1970</v>
      </c>
      <c r="B1971" s="626">
        <v>0</v>
      </c>
      <c r="C1971" s="626">
        <v>1000000</v>
      </c>
      <c r="D1971" s="626">
        <v>0</v>
      </c>
    </row>
    <row r="1972" spans="1:4" x14ac:dyDescent="0.2">
      <c r="A1972">
        <v>1971</v>
      </c>
      <c r="B1972" s="626">
        <v>0</v>
      </c>
      <c r="C1972" s="626">
        <v>1000000</v>
      </c>
      <c r="D1972" s="626">
        <v>0</v>
      </c>
    </row>
    <row r="1973" spans="1:4" x14ac:dyDescent="0.2">
      <c r="A1973">
        <v>1972</v>
      </c>
      <c r="B1973" s="626">
        <v>0</v>
      </c>
      <c r="C1973" s="626">
        <v>1000000</v>
      </c>
      <c r="D1973" s="626">
        <v>0</v>
      </c>
    </row>
    <row r="1974" spans="1:4" x14ac:dyDescent="0.2">
      <c r="A1974">
        <v>1973</v>
      </c>
      <c r="B1974" s="626">
        <v>0</v>
      </c>
      <c r="C1974" s="626">
        <v>1000000</v>
      </c>
      <c r="D1974" s="626">
        <v>0</v>
      </c>
    </row>
    <row r="1975" spans="1:4" x14ac:dyDescent="0.2">
      <c r="A1975">
        <v>1974</v>
      </c>
      <c r="B1975" s="626">
        <v>0</v>
      </c>
      <c r="C1975" s="626">
        <v>1000000</v>
      </c>
      <c r="D1975" s="626">
        <v>0</v>
      </c>
    </row>
    <row r="1976" spans="1:4" x14ac:dyDescent="0.2">
      <c r="A1976">
        <v>1975</v>
      </c>
      <c r="B1976" s="626">
        <v>0</v>
      </c>
      <c r="C1976" s="626">
        <v>1000000</v>
      </c>
      <c r="D1976" s="626">
        <v>0</v>
      </c>
    </row>
    <row r="1977" spans="1:4" x14ac:dyDescent="0.2">
      <c r="A1977">
        <v>1976</v>
      </c>
      <c r="B1977" s="626">
        <v>0</v>
      </c>
      <c r="C1977" s="626">
        <v>1000000</v>
      </c>
      <c r="D1977" s="626">
        <v>0</v>
      </c>
    </row>
    <row r="1978" spans="1:4" x14ac:dyDescent="0.2">
      <c r="A1978">
        <v>1977</v>
      </c>
      <c r="B1978" s="626">
        <v>0</v>
      </c>
      <c r="C1978" s="626">
        <v>1000000</v>
      </c>
      <c r="D1978" s="626">
        <v>0</v>
      </c>
    </row>
    <row r="1979" spans="1:4" x14ac:dyDescent="0.2">
      <c r="A1979">
        <v>1978</v>
      </c>
      <c r="B1979" s="626">
        <v>0</v>
      </c>
      <c r="C1979" s="626">
        <v>1000000</v>
      </c>
      <c r="D1979" s="626">
        <v>0</v>
      </c>
    </row>
    <row r="1980" spans="1:4" x14ac:dyDescent="0.2">
      <c r="A1980">
        <v>1979</v>
      </c>
      <c r="B1980" s="626">
        <v>0</v>
      </c>
      <c r="C1980" s="626">
        <v>1000000</v>
      </c>
      <c r="D1980" s="626">
        <v>0</v>
      </c>
    </row>
    <row r="1981" spans="1:4" x14ac:dyDescent="0.2">
      <c r="A1981">
        <v>1980</v>
      </c>
      <c r="B1981" s="626">
        <v>0</v>
      </c>
      <c r="C1981" s="626">
        <v>1000000</v>
      </c>
      <c r="D1981" s="626">
        <v>0</v>
      </c>
    </row>
    <row r="1982" spans="1:4" x14ac:dyDescent="0.2">
      <c r="A1982">
        <v>1981</v>
      </c>
      <c r="B1982" s="626">
        <v>0</v>
      </c>
      <c r="C1982" s="626">
        <v>1000000</v>
      </c>
      <c r="D1982" s="626">
        <v>0</v>
      </c>
    </row>
    <row r="1983" spans="1:4" x14ac:dyDescent="0.2">
      <c r="A1983">
        <v>1982</v>
      </c>
      <c r="B1983" s="626">
        <v>0</v>
      </c>
      <c r="C1983" s="626">
        <v>1000000</v>
      </c>
      <c r="D1983" s="626">
        <v>0</v>
      </c>
    </row>
    <row r="1984" spans="1:4" x14ac:dyDescent="0.2">
      <c r="A1984">
        <v>1983</v>
      </c>
      <c r="B1984" s="626">
        <v>0</v>
      </c>
      <c r="C1984" s="626">
        <v>1000000</v>
      </c>
      <c r="D1984" s="626">
        <v>0</v>
      </c>
    </row>
    <row r="1985" spans="1:4" x14ac:dyDescent="0.2">
      <c r="A1985">
        <v>1984</v>
      </c>
      <c r="B1985" s="626">
        <v>0</v>
      </c>
      <c r="C1985" s="626">
        <v>1000000</v>
      </c>
      <c r="D1985" s="626">
        <v>0</v>
      </c>
    </row>
    <row r="1986" spans="1:4" x14ac:dyDescent="0.2">
      <c r="A1986">
        <v>1985</v>
      </c>
      <c r="B1986" s="626">
        <v>0</v>
      </c>
      <c r="C1986" s="626">
        <v>1000000</v>
      </c>
      <c r="D1986" s="626">
        <v>0</v>
      </c>
    </row>
    <row r="1987" spans="1:4" x14ac:dyDescent="0.2">
      <c r="A1987">
        <v>1986</v>
      </c>
      <c r="B1987" s="626">
        <v>0</v>
      </c>
      <c r="C1987" s="626">
        <v>1000000</v>
      </c>
      <c r="D1987" s="626">
        <v>0</v>
      </c>
    </row>
    <row r="1988" spans="1:4" x14ac:dyDescent="0.2">
      <c r="A1988">
        <v>1987</v>
      </c>
      <c r="B1988" s="626">
        <v>0</v>
      </c>
      <c r="C1988" s="626">
        <v>1000000</v>
      </c>
      <c r="D1988" s="626">
        <v>0</v>
      </c>
    </row>
    <row r="1989" spans="1:4" x14ac:dyDescent="0.2">
      <c r="A1989">
        <v>1988</v>
      </c>
      <c r="B1989" s="626">
        <v>0</v>
      </c>
      <c r="C1989" s="626">
        <v>1000000</v>
      </c>
      <c r="D1989" s="626">
        <v>0</v>
      </c>
    </row>
    <row r="1990" spans="1:4" x14ac:dyDescent="0.2">
      <c r="A1990">
        <v>1989</v>
      </c>
      <c r="B1990" s="626">
        <v>0</v>
      </c>
      <c r="C1990" s="626">
        <v>1000000</v>
      </c>
      <c r="D1990" s="626">
        <v>0</v>
      </c>
    </row>
    <row r="1991" spans="1:4" x14ac:dyDescent="0.2">
      <c r="A1991">
        <v>1990</v>
      </c>
      <c r="B1991" s="626">
        <v>0</v>
      </c>
      <c r="C1991" s="626">
        <v>1000000</v>
      </c>
      <c r="D1991" s="626">
        <v>0</v>
      </c>
    </row>
    <row r="1992" spans="1:4" x14ac:dyDescent="0.2">
      <c r="A1992">
        <v>1991</v>
      </c>
      <c r="B1992" s="626">
        <v>0</v>
      </c>
      <c r="C1992" s="626">
        <v>1000000</v>
      </c>
      <c r="D1992" s="626">
        <v>0</v>
      </c>
    </row>
    <row r="1993" spans="1:4" x14ac:dyDescent="0.2">
      <c r="A1993">
        <v>1992</v>
      </c>
      <c r="B1993" s="626">
        <v>0</v>
      </c>
      <c r="C1993" s="626">
        <v>1000000</v>
      </c>
      <c r="D1993" s="626">
        <v>0</v>
      </c>
    </row>
    <row r="1994" spans="1:4" x14ac:dyDescent="0.2">
      <c r="A1994">
        <v>1993</v>
      </c>
      <c r="B1994" s="626">
        <v>0</v>
      </c>
      <c r="C1994" s="626">
        <v>1000000</v>
      </c>
      <c r="D1994" s="626">
        <v>0</v>
      </c>
    </row>
    <row r="1995" spans="1:4" x14ac:dyDescent="0.2">
      <c r="A1995">
        <v>1994</v>
      </c>
      <c r="B1995" s="626">
        <v>0</v>
      </c>
      <c r="C1995" s="626">
        <v>1000000</v>
      </c>
      <c r="D1995" s="626">
        <v>0</v>
      </c>
    </row>
    <row r="1996" spans="1:4" x14ac:dyDescent="0.2">
      <c r="A1996">
        <v>1995</v>
      </c>
      <c r="B1996" s="626">
        <v>0</v>
      </c>
      <c r="C1996" s="626">
        <v>1000000</v>
      </c>
      <c r="D1996" s="626">
        <v>0</v>
      </c>
    </row>
    <row r="1997" spans="1:4" x14ac:dyDescent="0.2">
      <c r="A1997">
        <v>1996</v>
      </c>
      <c r="B1997" s="626">
        <v>0</v>
      </c>
      <c r="C1997" s="626">
        <v>1000000</v>
      </c>
      <c r="D1997" s="626">
        <v>0</v>
      </c>
    </row>
    <row r="1998" spans="1:4" x14ac:dyDescent="0.2">
      <c r="A1998">
        <v>1997</v>
      </c>
      <c r="B1998" s="626">
        <v>0</v>
      </c>
      <c r="C1998" s="626">
        <v>1000000</v>
      </c>
      <c r="D1998" s="626">
        <v>0</v>
      </c>
    </row>
    <row r="1999" spans="1:4" x14ac:dyDescent="0.2">
      <c r="A1999">
        <v>1998</v>
      </c>
      <c r="B1999" s="626">
        <v>0</v>
      </c>
      <c r="C1999" s="626">
        <v>1000000</v>
      </c>
      <c r="D1999" s="626">
        <v>0</v>
      </c>
    </row>
    <row r="2000" spans="1:4" x14ac:dyDescent="0.2">
      <c r="A2000">
        <v>1999</v>
      </c>
      <c r="B2000" s="626">
        <v>0</v>
      </c>
      <c r="C2000" s="626">
        <v>1000000</v>
      </c>
      <c r="D2000" s="626">
        <v>0</v>
      </c>
    </row>
    <row r="2001" spans="1:4" x14ac:dyDescent="0.2">
      <c r="A2001">
        <v>2000</v>
      </c>
      <c r="B2001" s="626">
        <v>0</v>
      </c>
      <c r="C2001" s="626">
        <v>1000000</v>
      </c>
      <c r="D2001" s="626">
        <v>0</v>
      </c>
    </row>
    <row r="2002" spans="1:4" x14ac:dyDescent="0.2">
      <c r="A2002">
        <v>2001</v>
      </c>
      <c r="B2002" s="626">
        <v>0</v>
      </c>
      <c r="C2002" s="626">
        <v>1000000</v>
      </c>
      <c r="D2002" s="626">
        <v>0</v>
      </c>
    </row>
    <row r="2003" spans="1:4" x14ac:dyDescent="0.2">
      <c r="A2003">
        <v>2002</v>
      </c>
      <c r="B2003" s="626">
        <v>0</v>
      </c>
      <c r="C2003" s="626">
        <v>1000000</v>
      </c>
      <c r="D2003" s="626">
        <v>0</v>
      </c>
    </row>
    <row r="2004" spans="1:4" x14ac:dyDescent="0.2">
      <c r="A2004">
        <v>2003</v>
      </c>
      <c r="B2004" s="626">
        <v>0</v>
      </c>
      <c r="C2004" s="626">
        <v>1000000</v>
      </c>
      <c r="D2004" s="626">
        <v>0</v>
      </c>
    </row>
    <row r="2005" spans="1:4" x14ac:dyDescent="0.2">
      <c r="A2005">
        <v>2004</v>
      </c>
      <c r="B2005" s="626">
        <v>0</v>
      </c>
      <c r="C2005" s="626">
        <v>1000000</v>
      </c>
      <c r="D2005" s="626">
        <v>0</v>
      </c>
    </row>
    <row r="2006" spans="1:4" x14ac:dyDescent="0.2">
      <c r="A2006">
        <v>2005</v>
      </c>
      <c r="B2006" s="626">
        <v>0</v>
      </c>
      <c r="C2006" s="626">
        <v>1000000</v>
      </c>
      <c r="D2006" s="626">
        <v>0</v>
      </c>
    </row>
    <row r="2007" spans="1:4" x14ac:dyDescent="0.2">
      <c r="A2007">
        <v>2006</v>
      </c>
      <c r="B2007" s="626">
        <v>0</v>
      </c>
      <c r="C2007" s="626">
        <v>1000000</v>
      </c>
      <c r="D2007" s="626">
        <v>0</v>
      </c>
    </row>
    <row r="2008" spans="1:4" x14ac:dyDescent="0.2">
      <c r="A2008">
        <v>2007</v>
      </c>
      <c r="B2008" s="626">
        <v>0</v>
      </c>
      <c r="C2008" s="626">
        <v>1000000</v>
      </c>
      <c r="D2008" s="626">
        <v>0</v>
      </c>
    </row>
    <row r="2009" spans="1:4" x14ac:dyDescent="0.2">
      <c r="A2009">
        <v>2008</v>
      </c>
      <c r="B2009" s="626">
        <v>0</v>
      </c>
      <c r="C2009" s="626">
        <v>1000000</v>
      </c>
      <c r="D2009" s="626">
        <v>0</v>
      </c>
    </row>
    <row r="2010" spans="1:4" x14ac:dyDescent="0.2">
      <c r="A2010">
        <v>2009</v>
      </c>
      <c r="B2010" s="626">
        <v>0</v>
      </c>
      <c r="C2010" s="626">
        <v>1000000</v>
      </c>
      <c r="D2010" s="626">
        <v>0</v>
      </c>
    </row>
    <row r="2011" spans="1:4" x14ac:dyDescent="0.2">
      <c r="A2011">
        <v>2010</v>
      </c>
      <c r="B2011" s="626">
        <v>0</v>
      </c>
      <c r="C2011" s="626">
        <v>1000000</v>
      </c>
      <c r="D2011" s="626">
        <v>0</v>
      </c>
    </row>
    <row r="2012" spans="1:4" x14ac:dyDescent="0.2">
      <c r="A2012">
        <v>2011</v>
      </c>
      <c r="B2012" s="626">
        <v>0</v>
      </c>
      <c r="C2012" s="626">
        <v>1000000</v>
      </c>
      <c r="D2012" s="626">
        <v>0</v>
      </c>
    </row>
    <row r="2013" spans="1:4" x14ac:dyDescent="0.2">
      <c r="A2013">
        <v>2012</v>
      </c>
      <c r="B2013" s="626">
        <v>0</v>
      </c>
      <c r="C2013" s="626">
        <v>1000000</v>
      </c>
      <c r="D2013" s="626">
        <v>0</v>
      </c>
    </row>
    <row r="2014" spans="1:4" x14ac:dyDescent="0.2">
      <c r="A2014">
        <v>2013</v>
      </c>
      <c r="B2014" s="626">
        <v>0</v>
      </c>
      <c r="C2014" s="626">
        <v>1000000</v>
      </c>
      <c r="D2014" s="626">
        <v>0</v>
      </c>
    </row>
    <row r="2015" spans="1:4" x14ac:dyDescent="0.2">
      <c r="A2015">
        <v>2014</v>
      </c>
      <c r="B2015" s="626">
        <v>0</v>
      </c>
      <c r="C2015" s="626">
        <v>1000000</v>
      </c>
      <c r="D2015" s="626">
        <v>0</v>
      </c>
    </row>
    <row r="2016" spans="1:4" x14ac:dyDescent="0.2">
      <c r="A2016">
        <v>2015</v>
      </c>
      <c r="B2016" s="626">
        <v>0</v>
      </c>
      <c r="C2016" s="626">
        <v>1000000</v>
      </c>
      <c r="D2016" s="626">
        <v>0</v>
      </c>
    </row>
    <row r="2017" spans="1:4" x14ac:dyDescent="0.2">
      <c r="A2017">
        <v>2016</v>
      </c>
      <c r="B2017" s="626">
        <v>0</v>
      </c>
      <c r="C2017" s="626">
        <v>1000000</v>
      </c>
      <c r="D2017" s="626">
        <v>0</v>
      </c>
    </row>
    <row r="2018" spans="1:4" x14ac:dyDescent="0.2">
      <c r="A2018">
        <v>2017</v>
      </c>
      <c r="B2018" s="626">
        <v>0</v>
      </c>
      <c r="C2018" s="626">
        <v>1000000</v>
      </c>
      <c r="D2018" s="626">
        <v>0</v>
      </c>
    </row>
    <row r="2019" spans="1:4" x14ac:dyDescent="0.2">
      <c r="A2019">
        <v>2018</v>
      </c>
      <c r="B2019" s="626">
        <v>0</v>
      </c>
      <c r="C2019" s="626">
        <v>1000000</v>
      </c>
      <c r="D2019" s="626">
        <v>0</v>
      </c>
    </row>
    <row r="2020" spans="1:4" x14ac:dyDescent="0.2">
      <c r="A2020">
        <v>2019</v>
      </c>
      <c r="B2020" s="626">
        <v>0</v>
      </c>
      <c r="C2020" s="626">
        <v>1000000</v>
      </c>
      <c r="D2020" s="626">
        <v>0</v>
      </c>
    </row>
    <row r="2021" spans="1:4" x14ac:dyDescent="0.2">
      <c r="A2021">
        <v>2020</v>
      </c>
      <c r="B2021" s="626">
        <v>0</v>
      </c>
      <c r="C2021" s="626">
        <v>1000000</v>
      </c>
      <c r="D2021" s="626">
        <v>0</v>
      </c>
    </row>
    <row r="2022" spans="1:4" x14ac:dyDescent="0.2">
      <c r="A2022">
        <v>2021</v>
      </c>
      <c r="B2022" s="626">
        <v>0</v>
      </c>
      <c r="C2022" s="626">
        <v>1000000</v>
      </c>
      <c r="D2022" s="626">
        <v>0</v>
      </c>
    </row>
    <row r="2023" spans="1:4" x14ac:dyDescent="0.2">
      <c r="A2023">
        <v>2022</v>
      </c>
      <c r="B2023" s="626">
        <v>0</v>
      </c>
      <c r="C2023" s="626">
        <v>1000000</v>
      </c>
      <c r="D2023" s="626">
        <v>0</v>
      </c>
    </row>
    <row r="2024" spans="1:4" x14ac:dyDescent="0.2">
      <c r="A2024">
        <v>2023</v>
      </c>
      <c r="B2024" s="626">
        <v>0</v>
      </c>
      <c r="C2024" s="626">
        <v>1000000</v>
      </c>
      <c r="D2024" s="626">
        <v>0</v>
      </c>
    </row>
    <row r="2025" spans="1:4" x14ac:dyDescent="0.2">
      <c r="A2025">
        <v>2024</v>
      </c>
      <c r="B2025" s="626">
        <v>0</v>
      </c>
      <c r="C2025" s="626">
        <v>1000000</v>
      </c>
      <c r="D2025" s="626">
        <v>0</v>
      </c>
    </row>
    <row r="2026" spans="1:4" x14ac:dyDescent="0.2">
      <c r="A2026">
        <v>2025</v>
      </c>
      <c r="B2026" s="626">
        <v>0</v>
      </c>
      <c r="C2026" s="626">
        <v>1000000</v>
      </c>
      <c r="D2026" s="626">
        <v>0</v>
      </c>
    </row>
    <row r="2027" spans="1:4" x14ac:dyDescent="0.2">
      <c r="A2027">
        <v>2026</v>
      </c>
      <c r="B2027" s="626">
        <v>0</v>
      </c>
      <c r="C2027" s="626">
        <v>1000000</v>
      </c>
      <c r="D2027" s="626">
        <v>0</v>
      </c>
    </row>
    <row r="2028" spans="1:4" x14ac:dyDescent="0.2">
      <c r="A2028">
        <v>2027</v>
      </c>
      <c r="B2028" s="626">
        <v>0</v>
      </c>
      <c r="C2028" s="626">
        <v>1000000</v>
      </c>
      <c r="D2028" s="626">
        <v>0</v>
      </c>
    </row>
    <row r="2029" spans="1:4" x14ac:dyDescent="0.2">
      <c r="A2029">
        <v>2028</v>
      </c>
      <c r="B2029" s="626">
        <v>0</v>
      </c>
      <c r="C2029" s="626">
        <v>1000000</v>
      </c>
      <c r="D2029" s="626">
        <v>0</v>
      </c>
    </row>
    <row r="2030" spans="1:4" x14ac:dyDescent="0.2">
      <c r="A2030">
        <v>2029</v>
      </c>
      <c r="B2030" s="626">
        <v>0</v>
      </c>
      <c r="C2030" s="626">
        <v>1000000</v>
      </c>
      <c r="D2030" s="626">
        <v>0</v>
      </c>
    </row>
    <row r="2031" spans="1:4" x14ac:dyDescent="0.2">
      <c r="A2031">
        <v>2030</v>
      </c>
      <c r="B2031" s="626">
        <v>0</v>
      </c>
      <c r="C2031" s="626">
        <v>1000000</v>
      </c>
      <c r="D2031" s="626">
        <v>0</v>
      </c>
    </row>
    <row r="2032" spans="1:4" x14ac:dyDescent="0.2">
      <c r="A2032">
        <v>2031</v>
      </c>
      <c r="B2032" s="626">
        <v>0</v>
      </c>
      <c r="C2032" s="626">
        <v>1000000</v>
      </c>
      <c r="D2032" s="626">
        <v>0</v>
      </c>
    </row>
    <row r="2033" spans="1:4" x14ac:dyDescent="0.2">
      <c r="A2033">
        <v>2032</v>
      </c>
      <c r="B2033" s="626">
        <v>0</v>
      </c>
      <c r="C2033" s="626">
        <v>1000000</v>
      </c>
      <c r="D2033" s="626">
        <v>0</v>
      </c>
    </row>
    <row r="2034" spans="1:4" x14ac:dyDescent="0.2">
      <c r="A2034">
        <v>2033</v>
      </c>
      <c r="B2034" s="626">
        <v>0</v>
      </c>
      <c r="C2034" s="626">
        <v>1000000</v>
      </c>
      <c r="D2034" s="626">
        <v>0</v>
      </c>
    </row>
    <row r="2035" spans="1:4" x14ac:dyDescent="0.2">
      <c r="A2035">
        <v>2034</v>
      </c>
      <c r="B2035" s="626">
        <v>0</v>
      </c>
      <c r="C2035" s="626">
        <v>1000000</v>
      </c>
      <c r="D2035" s="626">
        <v>0</v>
      </c>
    </row>
    <row r="2036" spans="1:4" x14ac:dyDescent="0.2">
      <c r="A2036">
        <v>2035</v>
      </c>
      <c r="B2036" s="626">
        <v>0</v>
      </c>
      <c r="C2036" s="626">
        <v>1000000</v>
      </c>
      <c r="D2036" s="626">
        <v>0</v>
      </c>
    </row>
    <row r="2037" spans="1:4" x14ac:dyDescent="0.2">
      <c r="A2037">
        <v>2036</v>
      </c>
      <c r="B2037" s="626">
        <v>0</v>
      </c>
      <c r="C2037" s="626">
        <v>1000000</v>
      </c>
      <c r="D2037" s="626">
        <v>0</v>
      </c>
    </row>
    <row r="2038" spans="1:4" x14ac:dyDescent="0.2">
      <c r="A2038">
        <v>2037</v>
      </c>
      <c r="B2038" s="626">
        <v>0</v>
      </c>
      <c r="C2038" s="626">
        <v>1000000</v>
      </c>
      <c r="D2038" s="626">
        <v>0</v>
      </c>
    </row>
    <row r="2039" spans="1:4" x14ac:dyDescent="0.2">
      <c r="A2039">
        <v>2038</v>
      </c>
      <c r="B2039" s="626">
        <v>0</v>
      </c>
      <c r="C2039" s="626">
        <v>1000000</v>
      </c>
      <c r="D2039" s="626">
        <v>0</v>
      </c>
    </row>
    <row r="2040" spans="1:4" x14ac:dyDescent="0.2">
      <c r="A2040">
        <v>2039</v>
      </c>
      <c r="B2040" s="626">
        <v>0</v>
      </c>
      <c r="C2040" s="626">
        <v>1000000</v>
      </c>
      <c r="D2040" s="626">
        <v>0</v>
      </c>
    </row>
    <row r="2041" spans="1:4" x14ac:dyDescent="0.2">
      <c r="A2041">
        <v>2040</v>
      </c>
      <c r="B2041" s="626">
        <v>0</v>
      </c>
      <c r="C2041" s="626">
        <v>1000000</v>
      </c>
      <c r="D2041" s="626">
        <v>0</v>
      </c>
    </row>
    <row r="2042" spans="1:4" x14ac:dyDescent="0.2">
      <c r="A2042">
        <v>2041</v>
      </c>
      <c r="B2042" s="626">
        <v>0</v>
      </c>
      <c r="C2042" s="626">
        <v>1000000</v>
      </c>
      <c r="D2042" s="626">
        <v>0</v>
      </c>
    </row>
    <row r="2043" spans="1:4" x14ac:dyDescent="0.2">
      <c r="A2043">
        <v>2042</v>
      </c>
      <c r="B2043" s="626">
        <v>0</v>
      </c>
      <c r="C2043" s="626">
        <v>1000000</v>
      </c>
      <c r="D2043" s="626">
        <v>0</v>
      </c>
    </row>
    <row r="2044" spans="1:4" x14ac:dyDescent="0.2">
      <c r="A2044">
        <v>2043</v>
      </c>
      <c r="B2044" s="626">
        <v>0</v>
      </c>
      <c r="C2044" s="626">
        <v>1000000</v>
      </c>
      <c r="D2044" s="626">
        <v>0</v>
      </c>
    </row>
    <row r="2045" spans="1:4" x14ac:dyDescent="0.2">
      <c r="A2045">
        <v>2044</v>
      </c>
      <c r="B2045" s="626">
        <v>0</v>
      </c>
      <c r="C2045" s="626">
        <v>1000000</v>
      </c>
      <c r="D2045" s="626">
        <v>0</v>
      </c>
    </row>
    <row r="2046" spans="1:4" x14ac:dyDescent="0.2">
      <c r="A2046">
        <v>2045</v>
      </c>
      <c r="B2046" s="626">
        <v>0</v>
      </c>
      <c r="C2046" s="626">
        <v>1000000</v>
      </c>
      <c r="D2046" s="626">
        <v>0</v>
      </c>
    </row>
    <row r="2047" spans="1:4" x14ac:dyDescent="0.2">
      <c r="A2047">
        <v>2046</v>
      </c>
      <c r="B2047" s="626">
        <v>0</v>
      </c>
      <c r="C2047" s="626">
        <v>1000000</v>
      </c>
      <c r="D2047" s="626">
        <v>0</v>
      </c>
    </row>
    <row r="2048" spans="1:4" x14ac:dyDescent="0.2">
      <c r="A2048">
        <v>2047</v>
      </c>
      <c r="B2048" s="626">
        <v>0</v>
      </c>
      <c r="C2048" s="626">
        <v>1000000</v>
      </c>
      <c r="D2048" s="626">
        <v>0</v>
      </c>
    </row>
    <row r="2049" spans="1:4" x14ac:dyDescent="0.2">
      <c r="A2049">
        <v>2048</v>
      </c>
      <c r="B2049" s="626">
        <v>0</v>
      </c>
      <c r="C2049" s="626">
        <v>1000000</v>
      </c>
      <c r="D2049" s="626">
        <v>0</v>
      </c>
    </row>
    <row r="2050" spans="1:4" x14ac:dyDescent="0.2">
      <c r="A2050">
        <v>2049</v>
      </c>
      <c r="B2050" s="626">
        <v>0</v>
      </c>
      <c r="C2050" s="626">
        <v>1000000</v>
      </c>
      <c r="D2050" s="626">
        <v>0</v>
      </c>
    </row>
    <row r="2051" spans="1:4" x14ac:dyDescent="0.2">
      <c r="A2051">
        <v>2050</v>
      </c>
      <c r="B2051" s="626">
        <v>0</v>
      </c>
      <c r="C2051" s="626">
        <v>1000000</v>
      </c>
      <c r="D2051" s="626">
        <v>0</v>
      </c>
    </row>
    <row r="2052" spans="1:4" x14ac:dyDescent="0.2">
      <c r="A2052">
        <v>2051</v>
      </c>
      <c r="B2052" s="626">
        <v>0</v>
      </c>
      <c r="C2052" s="626">
        <v>1000000</v>
      </c>
      <c r="D2052" s="626">
        <v>0</v>
      </c>
    </row>
    <row r="2053" spans="1:4" x14ac:dyDescent="0.2">
      <c r="A2053">
        <v>2052</v>
      </c>
      <c r="B2053" s="626">
        <v>0</v>
      </c>
      <c r="C2053" s="626">
        <v>1000000</v>
      </c>
      <c r="D2053" s="626">
        <v>0</v>
      </c>
    </row>
    <row r="2054" spans="1:4" x14ac:dyDescent="0.2">
      <c r="A2054">
        <v>2053</v>
      </c>
      <c r="B2054" s="626">
        <v>0</v>
      </c>
      <c r="C2054" s="626">
        <v>1000000</v>
      </c>
      <c r="D2054" s="626">
        <v>0</v>
      </c>
    </row>
    <row r="2055" spans="1:4" x14ac:dyDescent="0.2">
      <c r="A2055">
        <v>2054</v>
      </c>
      <c r="B2055" s="626">
        <v>0</v>
      </c>
      <c r="C2055" s="626">
        <v>1000000</v>
      </c>
      <c r="D2055" s="626">
        <v>0</v>
      </c>
    </row>
    <row r="2056" spans="1:4" x14ac:dyDescent="0.2">
      <c r="A2056">
        <v>2055</v>
      </c>
      <c r="B2056" s="626">
        <v>0</v>
      </c>
      <c r="C2056" s="626">
        <v>1000000</v>
      </c>
      <c r="D2056" s="626">
        <v>0</v>
      </c>
    </row>
    <row r="2057" spans="1:4" x14ac:dyDescent="0.2">
      <c r="A2057">
        <v>2056</v>
      </c>
      <c r="B2057" s="626">
        <v>0</v>
      </c>
      <c r="C2057" s="626">
        <v>1000000</v>
      </c>
      <c r="D2057" s="626">
        <v>0</v>
      </c>
    </row>
    <row r="2058" spans="1:4" x14ac:dyDescent="0.2">
      <c r="A2058">
        <v>2057</v>
      </c>
      <c r="B2058" s="626">
        <v>0</v>
      </c>
      <c r="C2058" s="626">
        <v>1000000</v>
      </c>
      <c r="D2058" s="626">
        <v>0</v>
      </c>
    </row>
    <row r="2059" spans="1:4" x14ac:dyDescent="0.2">
      <c r="A2059">
        <v>2058</v>
      </c>
      <c r="B2059" s="626">
        <v>0</v>
      </c>
      <c r="C2059" s="626">
        <v>1000000</v>
      </c>
      <c r="D2059" s="626">
        <v>0</v>
      </c>
    </row>
    <row r="2060" spans="1:4" x14ac:dyDescent="0.2">
      <c r="A2060">
        <v>2059</v>
      </c>
      <c r="B2060" s="626">
        <v>0</v>
      </c>
      <c r="C2060" s="626">
        <v>1000000</v>
      </c>
      <c r="D2060" s="626">
        <v>0</v>
      </c>
    </row>
    <row r="2061" spans="1:4" x14ac:dyDescent="0.2">
      <c r="A2061">
        <v>2060</v>
      </c>
      <c r="B2061" s="626">
        <v>0</v>
      </c>
      <c r="C2061" s="626">
        <v>1000000</v>
      </c>
      <c r="D2061" s="626">
        <v>0</v>
      </c>
    </row>
    <row r="2062" spans="1:4" x14ac:dyDescent="0.2">
      <c r="A2062">
        <v>2061</v>
      </c>
      <c r="B2062" s="626">
        <v>0</v>
      </c>
      <c r="C2062" s="626">
        <v>1000000</v>
      </c>
      <c r="D2062" s="626">
        <v>0</v>
      </c>
    </row>
    <row r="2063" spans="1:4" x14ac:dyDescent="0.2">
      <c r="A2063">
        <v>2062</v>
      </c>
      <c r="B2063" s="626">
        <v>0</v>
      </c>
      <c r="C2063" s="626">
        <v>1000000</v>
      </c>
      <c r="D2063" s="626">
        <v>0</v>
      </c>
    </row>
    <row r="2064" spans="1:4" x14ac:dyDescent="0.2">
      <c r="A2064">
        <v>2063</v>
      </c>
      <c r="B2064" s="626">
        <v>0</v>
      </c>
      <c r="C2064" s="626">
        <v>1000000</v>
      </c>
      <c r="D2064" s="626">
        <v>0</v>
      </c>
    </row>
    <row r="2065" spans="1:4" x14ac:dyDescent="0.2">
      <c r="A2065">
        <v>2064</v>
      </c>
      <c r="B2065" s="626">
        <v>0</v>
      </c>
      <c r="C2065" s="626">
        <v>1000000</v>
      </c>
      <c r="D2065" s="626">
        <v>0</v>
      </c>
    </row>
    <row r="2066" spans="1:4" x14ac:dyDescent="0.2">
      <c r="A2066">
        <v>2065</v>
      </c>
      <c r="B2066" s="626">
        <v>0</v>
      </c>
      <c r="C2066" s="626">
        <v>1000000</v>
      </c>
      <c r="D2066" s="626">
        <v>0</v>
      </c>
    </row>
    <row r="2067" spans="1:4" x14ac:dyDescent="0.2">
      <c r="A2067">
        <v>2066</v>
      </c>
      <c r="B2067" s="626">
        <v>0</v>
      </c>
      <c r="C2067" s="626">
        <v>1000000</v>
      </c>
      <c r="D2067" s="626">
        <v>0</v>
      </c>
    </row>
    <row r="2068" spans="1:4" x14ac:dyDescent="0.2">
      <c r="A2068">
        <v>2067</v>
      </c>
      <c r="B2068" s="626">
        <v>0</v>
      </c>
      <c r="C2068" s="626">
        <v>1000000</v>
      </c>
      <c r="D2068" s="626">
        <v>0</v>
      </c>
    </row>
    <row r="2069" spans="1:4" x14ac:dyDescent="0.2">
      <c r="A2069">
        <v>2068</v>
      </c>
      <c r="B2069" s="626">
        <v>0</v>
      </c>
      <c r="C2069" s="626">
        <v>1000000</v>
      </c>
      <c r="D2069" s="626">
        <v>0</v>
      </c>
    </row>
    <row r="2070" spans="1:4" x14ac:dyDescent="0.2">
      <c r="A2070">
        <v>2069</v>
      </c>
      <c r="B2070" s="626">
        <v>0</v>
      </c>
      <c r="C2070" s="626">
        <v>1000000</v>
      </c>
      <c r="D2070" s="626">
        <v>0</v>
      </c>
    </row>
    <row r="2071" spans="1:4" x14ac:dyDescent="0.2">
      <c r="A2071">
        <v>2070</v>
      </c>
      <c r="B2071" s="626">
        <v>0</v>
      </c>
      <c r="C2071" s="626">
        <v>1000000</v>
      </c>
      <c r="D2071" s="626">
        <v>0</v>
      </c>
    </row>
    <row r="2072" spans="1:4" x14ac:dyDescent="0.2">
      <c r="A2072">
        <v>2071</v>
      </c>
      <c r="B2072" s="626">
        <v>0</v>
      </c>
      <c r="C2072" s="626">
        <v>1000000</v>
      </c>
      <c r="D2072" s="626">
        <v>0</v>
      </c>
    </row>
    <row r="2073" spans="1:4" x14ac:dyDescent="0.2">
      <c r="A2073">
        <v>2072</v>
      </c>
      <c r="B2073" s="626">
        <v>0</v>
      </c>
      <c r="C2073" s="626">
        <v>1000000</v>
      </c>
      <c r="D2073" s="626">
        <v>0</v>
      </c>
    </row>
    <row r="2074" spans="1:4" x14ac:dyDescent="0.2">
      <c r="A2074">
        <v>2073</v>
      </c>
      <c r="B2074" s="626">
        <v>0</v>
      </c>
      <c r="C2074" s="626">
        <v>1000000</v>
      </c>
      <c r="D2074" s="626">
        <v>0</v>
      </c>
    </row>
    <row r="2075" spans="1:4" x14ac:dyDescent="0.2">
      <c r="A2075">
        <v>2074</v>
      </c>
      <c r="B2075" s="626">
        <v>0</v>
      </c>
      <c r="C2075" s="626">
        <v>1000000</v>
      </c>
      <c r="D2075" s="626">
        <v>0</v>
      </c>
    </row>
    <row r="2076" spans="1:4" x14ac:dyDescent="0.2">
      <c r="A2076">
        <v>2075</v>
      </c>
      <c r="B2076" s="626">
        <v>0</v>
      </c>
      <c r="C2076" s="626">
        <v>1000000</v>
      </c>
      <c r="D2076" s="626">
        <v>0</v>
      </c>
    </row>
    <row r="2077" spans="1:4" x14ac:dyDescent="0.2">
      <c r="A2077">
        <v>2076</v>
      </c>
      <c r="B2077" s="626">
        <v>0</v>
      </c>
      <c r="C2077" s="626">
        <v>1000000</v>
      </c>
      <c r="D2077" s="626">
        <v>0</v>
      </c>
    </row>
    <row r="2078" spans="1:4" x14ac:dyDescent="0.2">
      <c r="A2078">
        <v>2077</v>
      </c>
      <c r="B2078" s="626">
        <v>0</v>
      </c>
      <c r="C2078" s="626">
        <v>1000000</v>
      </c>
      <c r="D2078" s="626">
        <v>0</v>
      </c>
    </row>
    <row r="2079" spans="1:4" x14ac:dyDescent="0.2">
      <c r="A2079">
        <v>2078</v>
      </c>
      <c r="B2079" s="626">
        <v>0</v>
      </c>
      <c r="C2079" s="626">
        <v>1000000</v>
      </c>
      <c r="D2079" s="626">
        <v>0</v>
      </c>
    </row>
    <row r="2080" spans="1:4" x14ac:dyDescent="0.2">
      <c r="A2080">
        <v>2079</v>
      </c>
      <c r="B2080" s="626">
        <v>0</v>
      </c>
      <c r="C2080" s="626">
        <v>1000000</v>
      </c>
      <c r="D2080" s="626">
        <v>0</v>
      </c>
    </row>
    <row r="2081" spans="1:4" x14ac:dyDescent="0.2">
      <c r="A2081">
        <v>2080</v>
      </c>
      <c r="B2081" s="626">
        <v>0</v>
      </c>
      <c r="C2081" s="626">
        <v>1000000</v>
      </c>
      <c r="D2081" s="626">
        <v>0</v>
      </c>
    </row>
    <row r="2082" spans="1:4" x14ac:dyDescent="0.2">
      <c r="A2082">
        <v>2081</v>
      </c>
      <c r="B2082" s="626">
        <v>0</v>
      </c>
      <c r="C2082" s="626">
        <v>1000000</v>
      </c>
      <c r="D2082" s="626">
        <v>0</v>
      </c>
    </row>
    <row r="2083" spans="1:4" x14ac:dyDescent="0.2">
      <c r="A2083">
        <v>2082</v>
      </c>
      <c r="B2083" s="626">
        <v>0</v>
      </c>
      <c r="C2083" s="626">
        <v>1000000</v>
      </c>
      <c r="D2083" s="626">
        <v>0</v>
      </c>
    </row>
    <row r="2084" spans="1:4" x14ac:dyDescent="0.2">
      <c r="A2084">
        <v>2083</v>
      </c>
      <c r="B2084" s="626">
        <v>0</v>
      </c>
      <c r="C2084" s="626">
        <v>1000000</v>
      </c>
      <c r="D2084" s="626">
        <v>0</v>
      </c>
    </row>
    <row r="2085" spans="1:4" x14ac:dyDescent="0.2">
      <c r="A2085">
        <v>2084</v>
      </c>
      <c r="B2085" s="626">
        <v>0</v>
      </c>
      <c r="C2085" s="626">
        <v>1000000</v>
      </c>
      <c r="D2085" s="626">
        <v>0</v>
      </c>
    </row>
    <row r="2086" spans="1:4" x14ac:dyDescent="0.2">
      <c r="A2086">
        <v>2085</v>
      </c>
      <c r="B2086" s="626">
        <v>0</v>
      </c>
      <c r="C2086" s="626">
        <v>1000000</v>
      </c>
      <c r="D2086" s="626">
        <v>0</v>
      </c>
    </row>
    <row r="2087" spans="1:4" x14ac:dyDescent="0.2">
      <c r="A2087">
        <v>2086</v>
      </c>
      <c r="B2087" s="626">
        <v>0</v>
      </c>
      <c r="C2087" s="626">
        <v>1000000</v>
      </c>
      <c r="D2087" s="626">
        <v>0</v>
      </c>
    </row>
    <row r="2088" spans="1:4" x14ac:dyDescent="0.2">
      <c r="A2088">
        <v>2087</v>
      </c>
      <c r="B2088" s="626">
        <v>0</v>
      </c>
      <c r="C2088" s="626">
        <v>1000000</v>
      </c>
      <c r="D2088" s="626">
        <v>0</v>
      </c>
    </row>
    <row r="2089" spans="1:4" x14ac:dyDescent="0.2">
      <c r="A2089">
        <v>2088</v>
      </c>
      <c r="B2089" s="626">
        <v>0</v>
      </c>
      <c r="C2089" s="626">
        <v>1000000</v>
      </c>
      <c r="D2089" s="626">
        <v>0</v>
      </c>
    </row>
    <row r="2090" spans="1:4" x14ac:dyDescent="0.2">
      <c r="A2090">
        <v>2089</v>
      </c>
      <c r="B2090" s="626">
        <v>0</v>
      </c>
      <c r="C2090" s="626">
        <v>1000000</v>
      </c>
      <c r="D2090" s="626">
        <v>0</v>
      </c>
    </row>
    <row r="2091" spans="1:4" x14ac:dyDescent="0.2">
      <c r="A2091">
        <v>2090</v>
      </c>
      <c r="B2091" s="626">
        <v>0</v>
      </c>
      <c r="C2091" s="626">
        <v>1000000</v>
      </c>
      <c r="D2091" s="626">
        <v>0</v>
      </c>
    </row>
    <row r="2092" spans="1:4" x14ac:dyDescent="0.2">
      <c r="A2092">
        <v>2091</v>
      </c>
      <c r="B2092" s="626">
        <v>0</v>
      </c>
      <c r="C2092" s="626">
        <v>1000000</v>
      </c>
      <c r="D2092" s="626">
        <v>0</v>
      </c>
    </row>
    <row r="2093" spans="1:4" x14ac:dyDescent="0.2">
      <c r="A2093">
        <v>2092</v>
      </c>
      <c r="B2093" s="626">
        <v>0</v>
      </c>
      <c r="C2093" s="626">
        <v>1000000</v>
      </c>
      <c r="D2093" s="626">
        <v>0</v>
      </c>
    </row>
    <row r="2094" spans="1:4" x14ac:dyDescent="0.2">
      <c r="A2094">
        <v>2093</v>
      </c>
      <c r="B2094" s="626">
        <v>0</v>
      </c>
      <c r="C2094" s="626">
        <v>1000000</v>
      </c>
      <c r="D2094" s="626">
        <v>0</v>
      </c>
    </row>
    <row r="2095" spans="1:4" x14ac:dyDescent="0.2">
      <c r="A2095">
        <v>2094</v>
      </c>
      <c r="B2095" s="626">
        <v>0</v>
      </c>
      <c r="C2095" s="626">
        <v>1000000</v>
      </c>
      <c r="D2095" s="626">
        <v>0</v>
      </c>
    </row>
    <row r="2096" spans="1:4" x14ac:dyDescent="0.2">
      <c r="A2096">
        <v>2095</v>
      </c>
      <c r="B2096" s="626">
        <v>0</v>
      </c>
      <c r="C2096" s="626">
        <v>1000000</v>
      </c>
      <c r="D2096" s="626">
        <v>0</v>
      </c>
    </row>
    <row r="2097" spans="1:4" x14ac:dyDescent="0.2">
      <c r="A2097">
        <v>2096</v>
      </c>
      <c r="B2097" s="626">
        <v>0</v>
      </c>
      <c r="C2097" s="626">
        <v>1000000</v>
      </c>
      <c r="D2097" s="626">
        <v>0</v>
      </c>
    </row>
    <row r="2098" spans="1:4" x14ac:dyDescent="0.2">
      <c r="A2098">
        <v>2097</v>
      </c>
      <c r="B2098" s="626">
        <v>0</v>
      </c>
      <c r="C2098" s="626">
        <v>1000000</v>
      </c>
      <c r="D2098" s="626">
        <v>0</v>
      </c>
    </row>
    <row r="2099" spans="1:4" x14ac:dyDescent="0.2">
      <c r="A2099">
        <v>2098</v>
      </c>
      <c r="B2099" s="626">
        <v>0</v>
      </c>
      <c r="C2099" s="626">
        <v>1000000</v>
      </c>
      <c r="D2099" s="626">
        <v>0</v>
      </c>
    </row>
    <row r="2100" spans="1:4" x14ac:dyDescent="0.2">
      <c r="A2100">
        <v>2099</v>
      </c>
      <c r="B2100" s="626">
        <v>0</v>
      </c>
      <c r="C2100" s="626">
        <v>1000000</v>
      </c>
      <c r="D2100" s="626">
        <v>0</v>
      </c>
    </row>
    <row r="2101" spans="1:4" x14ac:dyDescent="0.2">
      <c r="A2101">
        <v>2100</v>
      </c>
      <c r="B2101" s="626">
        <v>0</v>
      </c>
      <c r="C2101" s="626">
        <v>1000000</v>
      </c>
      <c r="D2101" s="626">
        <v>0</v>
      </c>
    </row>
    <row r="2102" spans="1:4" x14ac:dyDescent="0.2">
      <c r="A2102">
        <v>2101</v>
      </c>
      <c r="B2102" s="626">
        <v>0</v>
      </c>
      <c r="C2102" s="626">
        <v>1000000</v>
      </c>
      <c r="D2102" s="626">
        <v>0</v>
      </c>
    </row>
    <row r="2103" spans="1:4" x14ac:dyDescent="0.2">
      <c r="A2103">
        <v>2102</v>
      </c>
      <c r="B2103" s="626">
        <v>0</v>
      </c>
      <c r="C2103" s="626">
        <v>1000000</v>
      </c>
      <c r="D2103" s="626">
        <v>0</v>
      </c>
    </row>
    <row r="2104" spans="1:4" x14ac:dyDescent="0.2">
      <c r="A2104">
        <v>2103</v>
      </c>
      <c r="B2104" s="626">
        <v>0</v>
      </c>
      <c r="C2104" s="626">
        <v>1000000</v>
      </c>
      <c r="D2104" s="626">
        <v>0</v>
      </c>
    </row>
    <row r="2105" spans="1:4" x14ac:dyDescent="0.2">
      <c r="A2105">
        <v>2104</v>
      </c>
      <c r="B2105" s="626">
        <v>0</v>
      </c>
      <c r="C2105" s="626">
        <v>1000000</v>
      </c>
      <c r="D2105" s="626">
        <v>0</v>
      </c>
    </row>
    <row r="2106" spans="1:4" x14ac:dyDescent="0.2">
      <c r="A2106">
        <v>2105</v>
      </c>
      <c r="B2106" s="626">
        <v>0</v>
      </c>
      <c r="C2106" s="626">
        <v>1000000</v>
      </c>
      <c r="D2106" s="626">
        <v>0</v>
      </c>
    </row>
    <row r="2107" spans="1:4" x14ac:dyDescent="0.2">
      <c r="A2107">
        <v>2106</v>
      </c>
      <c r="B2107" s="626">
        <v>0</v>
      </c>
      <c r="C2107" s="626">
        <v>1000000</v>
      </c>
      <c r="D2107" s="626">
        <v>0</v>
      </c>
    </row>
    <row r="2108" spans="1:4" x14ac:dyDescent="0.2">
      <c r="A2108">
        <v>2107</v>
      </c>
      <c r="B2108" s="626">
        <v>0</v>
      </c>
      <c r="C2108" s="626">
        <v>1000000</v>
      </c>
      <c r="D2108" s="626">
        <v>0</v>
      </c>
    </row>
    <row r="2109" spans="1:4" x14ac:dyDescent="0.2">
      <c r="A2109">
        <v>2108</v>
      </c>
      <c r="B2109" s="626">
        <v>0</v>
      </c>
      <c r="C2109" s="626">
        <v>1000000</v>
      </c>
      <c r="D2109" s="626">
        <v>0</v>
      </c>
    </row>
    <row r="2110" spans="1:4" x14ac:dyDescent="0.2">
      <c r="A2110">
        <v>2109</v>
      </c>
      <c r="B2110" s="626">
        <v>0</v>
      </c>
      <c r="C2110" s="626">
        <v>1000000</v>
      </c>
      <c r="D2110" s="626">
        <v>0</v>
      </c>
    </row>
    <row r="2111" spans="1:4" x14ac:dyDescent="0.2">
      <c r="A2111">
        <v>2110</v>
      </c>
      <c r="B2111" s="626">
        <v>0</v>
      </c>
      <c r="C2111" s="626">
        <v>1000000</v>
      </c>
      <c r="D2111" s="626">
        <v>0</v>
      </c>
    </row>
    <row r="2112" spans="1:4" x14ac:dyDescent="0.2">
      <c r="A2112">
        <v>2111</v>
      </c>
      <c r="B2112" s="626">
        <v>0</v>
      </c>
      <c r="C2112" s="626">
        <v>1000000</v>
      </c>
      <c r="D2112" s="626">
        <v>0</v>
      </c>
    </row>
    <row r="2113" spans="1:4" x14ac:dyDescent="0.2">
      <c r="A2113">
        <v>2112</v>
      </c>
      <c r="B2113" s="626">
        <v>0</v>
      </c>
      <c r="C2113" s="626">
        <v>1000000</v>
      </c>
      <c r="D2113" s="626">
        <v>0</v>
      </c>
    </row>
    <row r="2114" spans="1:4" x14ac:dyDescent="0.2">
      <c r="A2114">
        <v>2113</v>
      </c>
      <c r="B2114" s="626">
        <v>0</v>
      </c>
      <c r="C2114" s="626">
        <v>1000000</v>
      </c>
      <c r="D2114" s="626">
        <v>0</v>
      </c>
    </row>
    <row r="2115" spans="1:4" x14ac:dyDescent="0.2">
      <c r="A2115">
        <v>2114</v>
      </c>
      <c r="B2115" s="626">
        <v>0</v>
      </c>
      <c r="C2115" s="626">
        <v>1000000</v>
      </c>
      <c r="D2115" s="626">
        <v>0</v>
      </c>
    </row>
    <row r="2116" spans="1:4" x14ac:dyDescent="0.2">
      <c r="A2116">
        <v>2115</v>
      </c>
      <c r="B2116" s="626">
        <v>0</v>
      </c>
      <c r="C2116" s="626">
        <v>1000000</v>
      </c>
      <c r="D2116" s="626">
        <v>0</v>
      </c>
    </row>
    <row r="2117" spans="1:4" x14ac:dyDescent="0.2">
      <c r="A2117">
        <v>2116</v>
      </c>
      <c r="B2117" s="626">
        <v>0</v>
      </c>
      <c r="C2117" s="626">
        <v>1000000</v>
      </c>
      <c r="D2117" s="626">
        <v>0</v>
      </c>
    </row>
    <row r="2118" spans="1:4" x14ac:dyDescent="0.2">
      <c r="A2118">
        <v>2117</v>
      </c>
      <c r="B2118" s="626">
        <v>0</v>
      </c>
      <c r="C2118" s="626">
        <v>1000000</v>
      </c>
      <c r="D2118" s="626">
        <v>0</v>
      </c>
    </row>
    <row r="2119" spans="1:4" x14ac:dyDescent="0.2">
      <c r="A2119">
        <v>2118</v>
      </c>
      <c r="B2119" s="626">
        <v>0</v>
      </c>
      <c r="C2119" s="626">
        <v>1000000</v>
      </c>
      <c r="D2119" s="626">
        <v>0</v>
      </c>
    </row>
    <row r="2120" spans="1:4" x14ac:dyDescent="0.2">
      <c r="A2120">
        <v>2119</v>
      </c>
      <c r="B2120" s="626">
        <v>0</v>
      </c>
      <c r="C2120" s="626">
        <v>1000000</v>
      </c>
      <c r="D2120" s="626">
        <v>0</v>
      </c>
    </row>
    <row r="2121" spans="1:4" x14ac:dyDescent="0.2">
      <c r="A2121">
        <v>2120</v>
      </c>
      <c r="B2121" s="626">
        <v>0</v>
      </c>
      <c r="C2121" s="626">
        <v>1000000</v>
      </c>
      <c r="D2121" s="626">
        <v>0</v>
      </c>
    </row>
    <row r="2122" spans="1:4" x14ac:dyDescent="0.2">
      <c r="A2122">
        <v>2121</v>
      </c>
      <c r="B2122" s="626">
        <v>0</v>
      </c>
      <c r="C2122" s="626">
        <v>1000000</v>
      </c>
      <c r="D2122" s="626">
        <v>0</v>
      </c>
    </row>
    <row r="2123" spans="1:4" x14ac:dyDescent="0.2">
      <c r="A2123">
        <v>2122</v>
      </c>
      <c r="B2123" s="626">
        <v>0</v>
      </c>
      <c r="C2123" s="626">
        <v>1000000</v>
      </c>
      <c r="D2123" s="626">
        <v>0</v>
      </c>
    </row>
    <row r="2124" spans="1:4" x14ac:dyDescent="0.2">
      <c r="A2124">
        <v>2123</v>
      </c>
      <c r="B2124" s="626">
        <v>0</v>
      </c>
      <c r="C2124" s="626">
        <v>1000000</v>
      </c>
      <c r="D2124" s="626">
        <v>0</v>
      </c>
    </row>
    <row r="2125" spans="1:4" x14ac:dyDescent="0.2">
      <c r="A2125">
        <v>2124</v>
      </c>
      <c r="B2125" s="626">
        <v>0</v>
      </c>
      <c r="C2125" s="626">
        <v>1000000</v>
      </c>
      <c r="D2125" s="626">
        <v>0</v>
      </c>
    </row>
    <row r="2126" spans="1:4" x14ac:dyDescent="0.2">
      <c r="A2126">
        <v>2125</v>
      </c>
      <c r="B2126" s="626">
        <v>0</v>
      </c>
      <c r="C2126" s="626">
        <v>1000000</v>
      </c>
      <c r="D2126" s="626">
        <v>0</v>
      </c>
    </row>
    <row r="2127" spans="1:4" x14ac:dyDescent="0.2">
      <c r="A2127">
        <v>2126</v>
      </c>
      <c r="B2127" s="626">
        <v>0</v>
      </c>
      <c r="C2127" s="626">
        <v>1000000</v>
      </c>
      <c r="D2127" s="626">
        <v>0</v>
      </c>
    </row>
    <row r="2128" spans="1:4" x14ac:dyDescent="0.2">
      <c r="A2128">
        <v>2127</v>
      </c>
      <c r="B2128" s="626">
        <v>0</v>
      </c>
      <c r="C2128" s="626">
        <v>1000000</v>
      </c>
      <c r="D2128" s="626">
        <v>0</v>
      </c>
    </row>
    <row r="2129" spans="1:4" x14ac:dyDescent="0.2">
      <c r="A2129">
        <v>2128</v>
      </c>
      <c r="B2129" s="626">
        <v>0</v>
      </c>
      <c r="C2129" s="626">
        <v>1000000</v>
      </c>
      <c r="D2129" s="626">
        <v>0</v>
      </c>
    </row>
    <row r="2130" spans="1:4" x14ac:dyDescent="0.2">
      <c r="A2130">
        <v>2129</v>
      </c>
      <c r="B2130" s="626">
        <v>0</v>
      </c>
      <c r="C2130" s="626">
        <v>1000000</v>
      </c>
      <c r="D2130" s="626">
        <v>0</v>
      </c>
    </row>
    <row r="2131" spans="1:4" x14ac:dyDescent="0.2">
      <c r="A2131">
        <v>2130</v>
      </c>
      <c r="B2131" s="626">
        <v>0</v>
      </c>
      <c r="C2131" s="626">
        <v>1000000</v>
      </c>
      <c r="D2131" s="626">
        <v>0</v>
      </c>
    </row>
    <row r="2132" spans="1:4" x14ac:dyDescent="0.2">
      <c r="A2132">
        <v>2131</v>
      </c>
      <c r="B2132" s="626">
        <v>0</v>
      </c>
      <c r="C2132" s="626">
        <v>1000000</v>
      </c>
      <c r="D2132" s="626">
        <v>0</v>
      </c>
    </row>
    <row r="2133" spans="1:4" x14ac:dyDescent="0.2">
      <c r="A2133">
        <v>2132</v>
      </c>
      <c r="B2133" s="626">
        <v>0</v>
      </c>
      <c r="C2133" s="626">
        <v>1000000</v>
      </c>
      <c r="D2133" s="626">
        <v>0</v>
      </c>
    </row>
    <row r="2134" spans="1:4" x14ac:dyDescent="0.2">
      <c r="A2134">
        <v>2133</v>
      </c>
      <c r="B2134" s="626">
        <v>0</v>
      </c>
      <c r="C2134" s="626">
        <v>1000000</v>
      </c>
      <c r="D2134" s="626">
        <v>0</v>
      </c>
    </row>
    <row r="2135" spans="1:4" x14ac:dyDescent="0.2">
      <c r="A2135">
        <v>2134</v>
      </c>
      <c r="B2135" s="626">
        <v>0</v>
      </c>
      <c r="C2135" s="626">
        <v>1000000</v>
      </c>
      <c r="D2135" s="626">
        <v>0</v>
      </c>
    </row>
    <row r="2136" spans="1:4" x14ac:dyDescent="0.2">
      <c r="A2136">
        <v>2135</v>
      </c>
      <c r="B2136" s="626">
        <v>0</v>
      </c>
      <c r="C2136" s="626">
        <v>1000000</v>
      </c>
      <c r="D2136" s="626">
        <v>0</v>
      </c>
    </row>
    <row r="2137" spans="1:4" x14ac:dyDescent="0.2">
      <c r="A2137">
        <v>2136</v>
      </c>
      <c r="B2137" s="626">
        <v>0</v>
      </c>
      <c r="C2137" s="626">
        <v>1000000</v>
      </c>
      <c r="D2137" s="626">
        <v>0</v>
      </c>
    </row>
    <row r="2138" spans="1:4" x14ac:dyDescent="0.2">
      <c r="A2138">
        <v>2137</v>
      </c>
      <c r="B2138" s="626">
        <v>0</v>
      </c>
      <c r="C2138" s="626">
        <v>1000000</v>
      </c>
      <c r="D2138" s="626">
        <v>0</v>
      </c>
    </row>
    <row r="2139" spans="1:4" x14ac:dyDescent="0.2">
      <c r="A2139">
        <v>2138</v>
      </c>
      <c r="B2139" s="626">
        <v>0</v>
      </c>
      <c r="C2139" s="626">
        <v>1000000</v>
      </c>
      <c r="D2139" s="626">
        <v>0</v>
      </c>
    </row>
    <row r="2140" spans="1:4" x14ac:dyDescent="0.2">
      <c r="A2140">
        <v>2139</v>
      </c>
      <c r="B2140" s="626">
        <v>0</v>
      </c>
      <c r="C2140" s="626">
        <v>1000000</v>
      </c>
      <c r="D2140" s="626">
        <v>0</v>
      </c>
    </row>
    <row r="2141" spans="1:4" x14ac:dyDescent="0.2">
      <c r="A2141">
        <v>2140</v>
      </c>
      <c r="B2141" s="626">
        <v>0</v>
      </c>
      <c r="C2141" s="626">
        <v>1000000</v>
      </c>
      <c r="D2141" s="626">
        <v>0</v>
      </c>
    </row>
    <row r="2142" spans="1:4" x14ac:dyDescent="0.2">
      <c r="A2142">
        <v>2141</v>
      </c>
      <c r="B2142" s="626">
        <v>0</v>
      </c>
      <c r="C2142" s="626">
        <v>1000000</v>
      </c>
      <c r="D2142" s="626">
        <v>0</v>
      </c>
    </row>
    <row r="2143" spans="1:4" x14ac:dyDescent="0.2">
      <c r="A2143">
        <v>2142</v>
      </c>
      <c r="B2143" s="626">
        <v>0</v>
      </c>
      <c r="C2143" s="626">
        <v>1000000</v>
      </c>
      <c r="D2143" s="626">
        <v>0</v>
      </c>
    </row>
    <row r="2144" spans="1:4" x14ac:dyDescent="0.2">
      <c r="A2144">
        <v>2143</v>
      </c>
      <c r="B2144" s="626">
        <v>0</v>
      </c>
      <c r="C2144" s="626">
        <v>1000000</v>
      </c>
      <c r="D2144" s="626">
        <v>0</v>
      </c>
    </row>
    <row r="2145" spans="1:4" x14ac:dyDescent="0.2">
      <c r="A2145">
        <v>2144</v>
      </c>
      <c r="B2145" s="626">
        <v>0</v>
      </c>
      <c r="C2145" s="626">
        <v>1000000</v>
      </c>
      <c r="D2145" s="626">
        <v>0</v>
      </c>
    </row>
    <row r="2146" spans="1:4" x14ac:dyDescent="0.2">
      <c r="A2146">
        <v>2145</v>
      </c>
      <c r="B2146" s="626">
        <v>0</v>
      </c>
      <c r="C2146" s="626">
        <v>1000000</v>
      </c>
      <c r="D2146" s="626">
        <v>0</v>
      </c>
    </row>
    <row r="2147" spans="1:4" x14ac:dyDescent="0.2">
      <c r="A2147">
        <v>2146</v>
      </c>
      <c r="B2147" s="626">
        <v>0</v>
      </c>
      <c r="C2147" s="626">
        <v>1000000</v>
      </c>
      <c r="D2147" s="626">
        <v>0</v>
      </c>
    </row>
    <row r="2148" spans="1:4" x14ac:dyDescent="0.2">
      <c r="A2148">
        <v>2147</v>
      </c>
      <c r="B2148" s="626">
        <v>0</v>
      </c>
      <c r="C2148" s="626">
        <v>1000000</v>
      </c>
      <c r="D2148" s="626">
        <v>0</v>
      </c>
    </row>
    <row r="2149" spans="1:4" x14ac:dyDescent="0.2">
      <c r="A2149">
        <v>2148</v>
      </c>
      <c r="B2149" s="626">
        <v>0</v>
      </c>
      <c r="C2149" s="626">
        <v>1000000</v>
      </c>
      <c r="D2149" s="626">
        <v>0</v>
      </c>
    </row>
    <row r="2150" spans="1:4" x14ac:dyDescent="0.2">
      <c r="A2150">
        <v>2149</v>
      </c>
      <c r="B2150" s="626">
        <v>0</v>
      </c>
      <c r="C2150" s="626">
        <v>1000000</v>
      </c>
      <c r="D2150" s="626">
        <v>0</v>
      </c>
    </row>
    <row r="2151" spans="1:4" x14ac:dyDescent="0.2">
      <c r="A2151">
        <v>2150</v>
      </c>
      <c r="B2151" s="626">
        <v>0</v>
      </c>
      <c r="C2151" s="626">
        <v>1000000</v>
      </c>
      <c r="D2151" s="626">
        <v>0</v>
      </c>
    </row>
    <row r="2152" spans="1:4" x14ac:dyDescent="0.2">
      <c r="A2152">
        <v>2151</v>
      </c>
      <c r="B2152" s="626">
        <v>0</v>
      </c>
      <c r="C2152" s="626">
        <v>1000000</v>
      </c>
      <c r="D2152" s="626">
        <v>0</v>
      </c>
    </row>
    <row r="2153" spans="1:4" x14ac:dyDescent="0.2">
      <c r="A2153">
        <v>2152</v>
      </c>
      <c r="B2153" s="626">
        <v>0</v>
      </c>
      <c r="C2153" s="626">
        <v>1000000</v>
      </c>
      <c r="D2153" s="626">
        <v>0</v>
      </c>
    </row>
    <row r="2154" spans="1:4" x14ac:dyDescent="0.2">
      <c r="A2154">
        <v>2153</v>
      </c>
      <c r="B2154" s="626">
        <v>0</v>
      </c>
      <c r="C2154" s="626">
        <v>1000000</v>
      </c>
      <c r="D2154" s="626">
        <v>0</v>
      </c>
    </row>
    <row r="2155" spans="1:4" x14ac:dyDescent="0.2">
      <c r="A2155">
        <v>2154</v>
      </c>
      <c r="B2155" s="626">
        <v>0</v>
      </c>
      <c r="C2155" s="626">
        <v>1000000</v>
      </c>
      <c r="D2155" s="626">
        <v>0</v>
      </c>
    </row>
    <row r="2156" spans="1:4" x14ac:dyDescent="0.2">
      <c r="A2156">
        <v>2155</v>
      </c>
      <c r="B2156" s="626">
        <v>0</v>
      </c>
      <c r="C2156" s="626">
        <v>1000000</v>
      </c>
      <c r="D2156" s="626">
        <v>0</v>
      </c>
    </row>
    <row r="2157" spans="1:4" x14ac:dyDescent="0.2">
      <c r="A2157">
        <v>2156</v>
      </c>
      <c r="B2157" s="626">
        <v>0</v>
      </c>
      <c r="C2157" s="626">
        <v>1000000</v>
      </c>
      <c r="D2157" s="626">
        <v>0</v>
      </c>
    </row>
    <row r="2158" spans="1:4" x14ac:dyDescent="0.2">
      <c r="A2158">
        <v>2157</v>
      </c>
      <c r="B2158" s="626">
        <v>0</v>
      </c>
      <c r="C2158" s="626">
        <v>1000000</v>
      </c>
      <c r="D2158" s="626">
        <v>0</v>
      </c>
    </row>
    <row r="2159" spans="1:4" x14ac:dyDescent="0.2">
      <c r="A2159">
        <v>2158</v>
      </c>
      <c r="B2159" s="626">
        <v>0</v>
      </c>
      <c r="C2159" s="626">
        <v>1000000</v>
      </c>
      <c r="D2159" s="626">
        <v>0</v>
      </c>
    </row>
    <row r="2160" spans="1:4" x14ac:dyDescent="0.2">
      <c r="A2160">
        <v>2159</v>
      </c>
      <c r="B2160" s="626">
        <v>0</v>
      </c>
      <c r="C2160" s="626">
        <v>1000000</v>
      </c>
      <c r="D2160" s="626">
        <v>0</v>
      </c>
    </row>
    <row r="2161" spans="1:4" x14ac:dyDescent="0.2">
      <c r="A2161">
        <v>2160</v>
      </c>
      <c r="B2161" s="626">
        <v>0</v>
      </c>
      <c r="C2161" s="626">
        <v>1000000</v>
      </c>
      <c r="D2161" s="626">
        <v>0</v>
      </c>
    </row>
    <row r="2162" spans="1:4" x14ac:dyDescent="0.2">
      <c r="A2162">
        <v>2161</v>
      </c>
      <c r="B2162" s="626">
        <v>0</v>
      </c>
      <c r="C2162" s="626">
        <v>1000000</v>
      </c>
      <c r="D2162" s="626">
        <v>0</v>
      </c>
    </row>
    <row r="2163" spans="1:4" x14ac:dyDescent="0.2">
      <c r="A2163">
        <v>2162</v>
      </c>
      <c r="B2163" s="626">
        <v>0</v>
      </c>
      <c r="C2163" s="626">
        <v>1000000</v>
      </c>
      <c r="D2163" s="626">
        <v>0</v>
      </c>
    </row>
    <row r="2164" spans="1:4" x14ac:dyDescent="0.2">
      <c r="A2164">
        <v>2163</v>
      </c>
      <c r="B2164" s="626">
        <v>0</v>
      </c>
      <c r="C2164" s="626">
        <v>1000000</v>
      </c>
      <c r="D2164" s="626">
        <v>0</v>
      </c>
    </row>
    <row r="2165" spans="1:4" x14ac:dyDescent="0.2">
      <c r="A2165">
        <v>2164</v>
      </c>
      <c r="B2165" s="626">
        <v>0</v>
      </c>
      <c r="C2165" s="626">
        <v>1000000</v>
      </c>
      <c r="D2165" s="626">
        <v>0</v>
      </c>
    </row>
    <row r="2166" spans="1:4" x14ac:dyDescent="0.2">
      <c r="A2166">
        <v>2165</v>
      </c>
      <c r="B2166" s="626">
        <v>0</v>
      </c>
      <c r="C2166" s="626">
        <v>1000000</v>
      </c>
      <c r="D2166" s="626">
        <v>0</v>
      </c>
    </row>
    <row r="2167" spans="1:4" x14ac:dyDescent="0.2">
      <c r="A2167">
        <v>2166</v>
      </c>
      <c r="B2167" s="626">
        <v>0</v>
      </c>
      <c r="C2167" s="626">
        <v>1000000</v>
      </c>
      <c r="D2167" s="626">
        <v>0</v>
      </c>
    </row>
    <row r="2168" spans="1:4" x14ac:dyDescent="0.2">
      <c r="A2168">
        <v>2167</v>
      </c>
      <c r="B2168" s="626">
        <v>0</v>
      </c>
      <c r="C2168" s="626">
        <v>1000000</v>
      </c>
      <c r="D2168" s="626">
        <v>0</v>
      </c>
    </row>
    <row r="2169" spans="1:4" x14ac:dyDescent="0.2">
      <c r="A2169">
        <v>2168</v>
      </c>
      <c r="B2169" s="626">
        <v>0</v>
      </c>
      <c r="C2169" s="626">
        <v>1000000</v>
      </c>
      <c r="D2169" s="626">
        <v>0</v>
      </c>
    </row>
    <row r="2170" spans="1:4" x14ac:dyDescent="0.2">
      <c r="A2170">
        <v>2169</v>
      </c>
      <c r="B2170" s="626">
        <v>0</v>
      </c>
      <c r="C2170" s="626">
        <v>1000000</v>
      </c>
      <c r="D2170" s="626">
        <v>0</v>
      </c>
    </row>
    <row r="2171" spans="1:4" x14ac:dyDescent="0.2">
      <c r="A2171">
        <v>2170</v>
      </c>
      <c r="B2171" s="626">
        <v>0</v>
      </c>
      <c r="C2171" s="626">
        <v>1000000</v>
      </c>
      <c r="D2171" s="626">
        <v>0</v>
      </c>
    </row>
    <row r="2172" spans="1:4" x14ac:dyDescent="0.2">
      <c r="A2172">
        <v>2171</v>
      </c>
      <c r="B2172" s="626">
        <v>0</v>
      </c>
      <c r="C2172" s="626">
        <v>1000000</v>
      </c>
      <c r="D2172" s="626">
        <v>0</v>
      </c>
    </row>
    <row r="2173" spans="1:4" x14ac:dyDescent="0.2">
      <c r="A2173">
        <v>2172</v>
      </c>
      <c r="B2173" s="626">
        <v>0</v>
      </c>
      <c r="C2173" s="626">
        <v>1000000</v>
      </c>
      <c r="D2173" s="626">
        <v>0</v>
      </c>
    </row>
    <row r="2174" spans="1:4" x14ac:dyDescent="0.2">
      <c r="A2174">
        <v>2173</v>
      </c>
      <c r="B2174" s="626">
        <v>0</v>
      </c>
      <c r="C2174" s="626">
        <v>1000000</v>
      </c>
      <c r="D2174" s="626">
        <v>0</v>
      </c>
    </row>
    <row r="2175" spans="1:4" x14ac:dyDescent="0.2">
      <c r="A2175">
        <v>2174</v>
      </c>
      <c r="B2175" s="626">
        <v>0</v>
      </c>
      <c r="C2175" s="626">
        <v>1000000</v>
      </c>
      <c r="D2175" s="626">
        <v>0</v>
      </c>
    </row>
    <row r="2176" spans="1:4" x14ac:dyDescent="0.2">
      <c r="A2176">
        <v>2175</v>
      </c>
      <c r="B2176" s="626">
        <v>0</v>
      </c>
      <c r="C2176" s="626">
        <v>1000000</v>
      </c>
      <c r="D2176" s="626">
        <v>0</v>
      </c>
    </row>
    <row r="2177" spans="1:4" x14ac:dyDescent="0.2">
      <c r="A2177">
        <v>2176</v>
      </c>
      <c r="B2177" s="626">
        <v>0</v>
      </c>
      <c r="C2177" s="626">
        <v>1000000</v>
      </c>
      <c r="D2177" s="626">
        <v>0</v>
      </c>
    </row>
    <row r="2178" spans="1:4" x14ac:dyDescent="0.2">
      <c r="A2178">
        <v>2177</v>
      </c>
      <c r="B2178" s="626">
        <v>0</v>
      </c>
      <c r="C2178" s="626">
        <v>1000000</v>
      </c>
      <c r="D2178" s="626">
        <v>0</v>
      </c>
    </row>
    <row r="2179" spans="1:4" x14ac:dyDescent="0.2">
      <c r="A2179">
        <v>2178</v>
      </c>
      <c r="B2179" s="626">
        <v>0</v>
      </c>
      <c r="C2179" s="626">
        <v>1000000</v>
      </c>
      <c r="D2179" s="626">
        <v>0</v>
      </c>
    </row>
    <row r="2180" spans="1:4" x14ac:dyDescent="0.2">
      <c r="A2180">
        <v>2179</v>
      </c>
      <c r="B2180" s="626">
        <v>0</v>
      </c>
      <c r="C2180" s="626">
        <v>1000000</v>
      </c>
      <c r="D2180" s="626">
        <v>0</v>
      </c>
    </row>
    <row r="2181" spans="1:4" x14ac:dyDescent="0.2">
      <c r="A2181">
        <v>2180</v>
      </c>
      <c r="B2181" s="626">
        <v>0</v>
      </c>
      <c r="C2181" s="626">
        <v>1000000</v>
      </c>
      <c r="D2181" s="626">
        <v>0</v>
      </c>
    </row>
    <row r="2182" spans="1:4" x14ac:dyDescent="0.2">
      <c r="A2182">
        <v>2181</v>
      </c>
      <c r="B2182" s="626">
        <v>0</v>
      </c>
      <c r="C2182" s="626">
        <v>1000000</v>
      </c>
      <c r="D2182" s="626">
        <v>0</v>
      </c>
    </row>
    <row r="2183" spans="1:4" x14ac:dyDescent="0.2">
      <c r="A2183">
        <v>2182</v>
      </c>
      <c r="B2183" s="626">
        <v>0</v>
      </c>
      <c r="C2183" s="626">
        <v>1000000</v>
      </c>
      <c r="D2183" s="626">
        <v>0</v>
      </c>
    </row>
    <row r="2184" spans="1:4" x14ac:dyDescent="0.2">
      <c r="A2184">
        <v>2183</v>
      </c>
      <c r="B2184" s="626">
        <v>0</v>
      </c>
      <c r="C2184" s="626">
        <v>1000000</v>
      </c>
      <c r="D2184" s="626">
        <v>0</v>
      </c>
    </row>
    <row r="2185" spans="1:4" x14ac:dyDescent="0.2">
      <c r="A2185">
        <v>2184</v>
      </c>
      <c r="B2185" s="626">
        <v>0</v>
      </c>
      <c r="C2185" s="626">
        <v>1000000</v>
      </c>
      <c r="D2185" s="626">
        <v>0</v>
      </c>
    </row>
    <row r="2186" spans="1:4" x14ac:dyDescent="0.2">
      <c r="A2186">
        <v>2185</v>
      </c>
      <c r="B2186" s="626">
        <v>0</v>
      </c>
      <c r="C2186" s="626">
        <v>1000000</v>
      </c>
      <c r="D2186" s="626">
        <v>0</v>
      </c>
    </row>
    <row r="2187" spans="1:4" x14ac:dyDescent="0.2">
      <c r="A2187">
        <v>2186</v>
      </c>
      <c r="B2187" s="626">
        <v>0</v>
      </c>
      <c r="C2187" s="626">
        <v>1000000</v>
      </c>
      <c r="D2187" s="626">
        <v>0</v>
      </c>
    </row>
    <row r="2188" spans="1:4" x14ac:dyDescent="0.2">
      <c r="A2188">
        <v>2187</v>
      </c>
      <c r="B2188" s="626">
        <v>0</v>
      </c>
      <c r="C2188" s="626">
        <v>1000000</v>
      </c>
      <c r="D2188" s="626">
        <v>0</v>
      </c>
    </row>
    <row r="2189" spans="1:4" x14ac:dyDescent="0.2">
      <c r="A2189">
        <v>2188</v>
      </c>
      <c r="B2189" s="626">
        <v>0</v>
      </c>
      <c r="C2189" s="626">
        <v>1000000</v>
      </c>
      <c r="D2189" s="626">
        <v>0</v>
      </c>
    </row>
    <row r="2190" spans="1:4" x14ac:dyDescent="0.2">
      <c r="A2190">
        <v>2189</v>
      </c>
      <c r="B2190" s="626">
        <v>0</v>
      </c>
      <c r="C2190" s="626">
        <v>1000000</v>
      </c>
      <c r="D2190" s="626">
        <v>0</v>
      </c>
    </row>
    <row r="2191" spans="1:4" x14ac:dyDescent="0.2">
      <c r="A2191">
        <v>2190</v>
      </c>
      <c r="B2191" s="626">
        <v>0</v>
      </c>
      <c r="C2191" s="626">
        <v>1000000</v>
      </c>
      <c r="D2191" s="626">
        <v>0</v>
      </c>
    </row>
    <row r="2192" spans="1:4" x14ac:dyDescent="0.2">
      <c r="A2192">
        <v>2191</v>
      </c>
      <c r="B2192" s="626">
        <v>0</v>
      </c>
      <c r="C2192" s="626">
        <v>1000000</v>
      </c>
      <c r="D2192" s="626">
        <v>0</v>
      </c>
    </row>
    <row r="2193" spans="1:4" x14ac:dyDescent="0.2">
      <c r="A2193">
        <v>2192</v>
      </c>
      <c r="B2193" s="626">
        <v>0</v>
      </c>
      <c r="C2193" s="626">
        <v>1000000</v>
      </c>
      <c r="D2193" s="626">
        <v>0</v>
      </c>
    </row>
    <row r="2194" spans="1:4" x14ac:dyDescent="0.2">
      <c r="A2194">
        <v>2193</v>
      </c>
      <c r="B2194" s="626">
        <v>0</v>
      </c>
      <c r="C2194" s="626">
        <v>1000000</v>
      </c>
      <c r="D2194" s="626">
        <v>0</v>
      </c>
    </row>
    <row r="2195" spans="1:4" x14ac:dyDescent="0.2">
      <c r="A2195">
        <v>2194</v>
      </c>
      <c r="B2195" s="626">
        <v>0</v>
      </c>
      <c r="C2195" s="626">
        <v>1000000</v>
      </c>
      <c r="D2195" s="626">
        <v>0</v>
      </c>
    </row>
    <row r="2196" spans="1:4" x14ac:dyDescent="0.2">
      <c r="A2196">
        <v>2195</v>
      </c>
      <c r="B2196" s="626">
        <v>0</v>
      </c>
      <c r="C2196" s="626">
        <v>1000000</v>
      </c>
      <c r="D2196" s="626">
        <v>0</v>
      </c>
    </row>
    <row r="2197" spans="1:4" x14ac:dyDescent="0.2">
      <c r="A2197">
        <v>2196</v>
      </c>
      <c r="B2197" s="626">
        <v>0</v>
      </c>
      <c r="C2197" s="626">
        <v>1000000</v>
      </c>
      <c r="D2197" s="626">
        <v>0</v>
      </c>
    </row>
    <row r="2198" spans="1:4" x14ac:dyDescent="0.2">
      <c r="A2198">
        <v>2197</v>
      </c>
      <c r="B2198" s="626">
        <v>0</v>
      </c>
      <c r="C2198" s="626">
        <v>1000000</v>
      </c>
      <c r="D2198" s="626">
        <v>0</v>
      </c>
    </row>
    <row r="2199" spans="1:4" x14ac:dyDescent="0.2">
      <c r="A2199">
        <v>2198</v>
      </c>
      <c r="B2199" s="626">
        <v>0</v>
      </c>
      <c r="C2199" s="626">
        <v>1000000</v>
      </c>
      <c r="D2199" s="626">
        <v>0</v>
      </c>
    </row>
    <row r="2200" spans="1:4" x14ac:dyDescent="0.2">
      <c r="A2200">
        <v>2199</v>
      </c>
      <c r="B2200" s="626">
        <v>0</v>
      </c>
      <c r="C2200" s="626">
        <v>1000000</v>
      </c>
      <c r="D2200" s="626">
        <v>0</v>
      </c>
    </row>
    <row r="2201" spans="1:4" x14ac:dyDescent="0.2">
      <c r="A2201">
        <v>2200</v>
      </c>
      <c r="B2201" s="626">
        <v>0</v>
      </c>
      <c r="C2201" s="626">
        <v>1000000</v>
      </c>
      <c r="D2201" s="626">
        <v>0</v>
      </c>
    </row>
    <row r="2202" spans="1:4" x14ac:dyDescent="0.2">
      <c r="A2202">
        <v>2201</v>
      </c>
      <c r="B2202" s="626">
        <v>0</v>
      </c>
      <c r="C2202" s="626">
        <v>1000000</v>
      </c>
      <c r="D2202" s="626">
        <v>0</v>
      </c>
    </row>
    <row r="2203" spans="1:4" x14ac:dyDescent="0.2">
      <c r="A2203">
        <v>2202</v>
      </c>
      <c r="B2203" s="626">
        <v>0</v>
      </c>
      <c r="C2203" s="626">
        <v>1000000</v>
      </c>
      <c r="D2203" s="626">
        <v>0</v>
      </c>
    </row>
    <row r="2204" spans="1:4" x14ac:dyDescent="0.2">
      <c r="A2204">
        <v>2203</v>
      </c>
      <c r="B2204" s="626">
        <v>0</v>
      </c>
      <c r="C2204" s="626">
        <v>1000000</v>
      </c>
      <c r="D2204" s="626">
        <v>0</v>
      </c>
    </row>
    <row r="2205" spans="1:4" x14ac:dyDescent="0.2">
      <c r="A2205">
        <v>2204</v>
      </c>
      <c r="B2205" s="626">
        <v>0</v>
      </c>
      <c r="C2205" s="626">
        <v>1000000</v>
      </c>
      <c r="D2205" s="626">
        <v>0</v>
      </c>
    </row>
    <row r="2206" spans="1:4" x14ac:dyDescent="0.2">
      <c r="A2206">
        <v>2205</v>
      </c>
      <c r="B2206" s="626">
        <v>0</v>
      </c>
      <c r="C2206" s="626">
        <v>1000000</v>
      </c>
      <c r="D2206" s="626">
        <v>0</v>
      </c>
    </row>
    <row r="2207" spans="1:4" x14ac:dyDescent="0.2">
      <c r="A2207">
        <v>2206</v>
      </c>
      <c r="B2207" s="626">
        <v>0</v>
      </c>
      <c r="C2207" s="626">
        <v>1000000</v>
      </c>
      <c r="D2207" s="626">
        <v>0</v>
      </c>
    </row>
    <row r="2208" spans="1:4" x14ac:dyDescent="0.2">
      <c r="A2208">
        <v>2207</v>
      </c>
      <c r="B2208" s="626">
        <v>0</v>
      </c>
      <c r="C2208" s="626">
        <v>1000000</v>
      </c>
      <c r="D2208" s="626">
        <v>0</v>
      </c>
    </row>
    <row r="2209" spans="1:4" x14ac:dyDescent="0.2">
      <c r="A2209">
        <v>2208</v>
      </c>
      <c r="B2209" s="626">
        <v>0</v>
      </c>
      <c r="C2209" s="626">
        <v>1000000</v>
      </c>
      <c r="D2209" s="626">
        <v>0</v>
      </c>
    </row>
    <row r="2210" spans="1:4" x14ac:dyDescent="0.2">
      <c r="A2210">
        <v>2209</v>
      </c>
      <c r="B2210" s="626">
        <v>0</v>
      </c>
      <c r="C2210" s="626">
        <v>1000000</v>
      </c>
      <c r="D2210" s="626">
        <v>0</v>
      </c>
    </row>
    <row r="2211" spans="1:4" x14ac:dyDescent="0.2">
      <c r="A2211">
        <v>2210</v>
      </c>
      <c r="B2211" s="626">
        <v>0</v>
      </c>
      <c r="C2211" s="626">
        <v>1000000</v>
      </c>
      <c r="D2211" s="626">
        <v>0</v>
      </c>
    </row>
    <row r="2212" spans="1:4" x14ac:dyDescent="0.2">
      <c r="A2212">
        <v>2211</v>
      </c>
      <c r="B2212" s="626">
        <v>0</v>
      </c>
      <c r="C2212" s="626">
        <v>1000000</v>
      </c>
      <c r="D2212" s="626">
        <v>0</v>
      </c>
    </row>
    <row r="2213" spans="1:4" x14ac:dyDescent="0.2">
      <c r="A2213">
        <v>2212</v>
      </c>
      <c r="B2213" s="626">
        <v>0</v>
      </c>
      <c r="C2213" s="626">
        <v>1000000</v>
      </c>
      <c r="D2213" s="626">
        <v>0</v>
      </c>
    </row>
    <row r="2214" spans="1:4" x14ac:dyDescent="0.2">
      <c r="A2214">
        <v>2213</v>
      </c>
      <c r="B2214" s="626">
        <v>0</v>
      </c>
      <c r="C2214" s="626">
        <v>1000000</v>
      </c>
      <c r="D2214" s="626">
        <v>0</v>
      </c>
    </row>
    <row r="2215" spans="1:4" x14ac:dyDescent="0.2">
      <c r="A2215">
        <v>2214</v>
      </c>
      <c r="B2215" s="626">
        <v>0</v>
      </c>
      <c r="C2215" s="626">
        <v>1000000</v>
      </c>
      <c r="D2215" s="626">
        <v>0</v>
      </c>
    </row>
    <row r="2216" spans="1:4" x14ac:dyDescent="0.2">
      <c r="A2216">
        <v>2215</v>
      </c>
      <c r="B2216" s="626">
        <v>0</v>
      </c>
      <c r="C2216" s="626">
        <v>1000000</v>
      </c>
      <c r="D2216" s="626">
        <v>0</v>
      </c>
    </row>
    <row r="2217" spans="1:4" x14ac:dyDescent="0.2">
      <c r="A2217">
        <v>2216</v>
      </c>
      <c r="B2217" s="626">
        <v>0</v>
      </c>
      <c r="C2217" s="626">
        <v>1000000</v>
      </c>
      <c r="D2217" s="626">
        <v>0</v>
      </c>
    </row>
    <row r="2218" spans="1:4" x14ac:dyDescent="0.2">
      <c r="A2218">
        <v>2217</v>
      </c>
      <c r="B2218" s="626">
        <v>0</v>
      </c>
      <c r="C2218" s="626">
        <v>1000000</v>
      </c>
      <c r="D2218" s="626">
        <v>0</v>
      </c>
    </row>
    <row r="2219" spans="1:4" x14ac:dyDescent="0.2">
      <c r="A2219">
        <v>2218</v>
      </c>
      <c r="B2219" s="626">
        <v>0</v>
      </c>
      <c r="C2219" s="626">
        <v>1000000</v>
      </c>
      <c r="D2219" s="626">
        <v>0</v>
      </c>
    </row>
    <row r="2220" spans="1:4" x14ac:dyDescent="0.2">
      <c r="A2220">
        <v>2219</v>
      </c>
      <c r="B2220" s="626">
        <v>0</v>
      </c>
      <c r="C2220" s="626">
        <v>1000000</v>
      </c>
      <c r="D2220" s="626">
        <v>0</v>
      </c>
    </row>
    <row r="2221" spans="1:4" x14ac:dyDescent="0.2">
      <c r="A2221">
        <v>2220</v>
      </c>
      <c r="B2221" s="626">
        <v>0</v>
      </c>
      <c r="C2221" s="626">
        <v>1000000</v>
      </c>
      <c r="D2221" s="626">
        <v>0</v>
      </c>
    </row>
    <row r="2222" spans="1:4" x14ac:dyDescent="0.2">
      <c r="A2222">
        <v>2221</v>
      </c>
      <c r="B2222" s="626">
        <v>0</v>
      </c>
      <c r="C2222" s="626">
        <v>1000000</v>
      </c>
      <c r="D2222" s="626">
        <v>0</v>
      </c>
    </row>
    <row r="2223" spans="1:4" x14ac:dyDescent="0.2">
      <c r="A2223">
        <v>2222</v>
      </c>
      <c r="B2223" s="626">
        <v>0</v>
      </c>
      <c r="C2223" s="626">
        <v>1000000</v>
      </c>
      <c r="D2223" s="626">
        <v>0</v>
      </c>
    </row>
    <row r="2224" spans="1:4" x14ac:dyDescent="0.2">
      <c r="A2224">
        <v>2223</v>
      </c>
      <c r="B2224" s="626">
        <v>0</v>
      </c>
      <c r="C2224" s="626">
        <v>1000000</v>
      </c>
      <c r="D2224" s="626">
        <v>0</v>
      </c>
    </row>
    <row r="2225" spans="1:4" x14ac:dyDescent="0.2">
      <c r="A2225">
        <v>2224</v>
      </c>
      <c r="B2225" s="626">
        <v>0</v>
      </c>
      <c r="C2225" s="626">
        <v>1000000</v>
      </c>
      <c r="D2225" s="626">
        <v>0</v>
      </c>
    </row>
    <row r="2226" spans="1:4" x14ac:dyDescent="0.2">
      <c r="A2226">
        <v>2225</v>
      </c>
      <c r="B2226" s="626">
        <v>0</v>
      </c>
      <c r="C2226" s="626">
        <v>1000000</v>
      </c>
      <c r="D2226" s="626">
        <v>0</v>
      </c>
    </row>
    <row r="2227" spans="1:4" x14ac:dyDescent="0.2">
      <c r="A2227">
        <v>2226</v>
      </c>
      <c r="B2227" s="626">
        <v>0</v>
      </c>
      <c r="C2227" s="626">
        <v>1000000</v>
      </c>
      <c r="D2227" s="626">
        <v>0</v>
      </c>
    </row>
    <row r="2228" spans="1:4" x14ac:dyDescent="0.2">
      <c r="A2228">
        <v>2227</v>
      </c>
      <c r="B2228" s="626">
        <v>0</v>
      </c>
      <c r="C2228" s="626">
        <v>1000000</v>
      </c>
      <c r="D2228" s="626">
        <v>0</v>
      </c>
    </row>
    <row r="2229" spans="1:4" x14ac:dyDescent="0.2">
      <c r="A2229">
        <v>2228</v>
      </c>
      <c r="B2229" s="626">
        <v>0</v>
      </c>
      <c r="C2229" s="626">
        <v>1000000</v>
      </c>
      <c r="D2229" s="626">
        <v>0</v>
      </c>
    </row>
    <row r="2230" spans="1:4" x14ac:dyDescent="0.2">
      <c r="A2230">
        <v>2229</v>
      </c>
      <c r="B2230" s="626">
        <v>0</v>
      </c>
      <c r="C2230" s="626">
        <v>1000000</v>
      </c>
      <c r="D2230" s="626">
        <v>0</v>
      </c>
    </row>
    <row r="2231" spans="1:4" x14ac:dyDescent="0.2">
      <c r="A2231">
        <v>2230</v>
      </c>
      <c r="B2231" s="626">
        <v>0</v>
      </c>
      <c r="C2231" s="626">
        <v>1000000</v>
      </c>
      <c r="D2231" s="626">
        <v>0</v>
      </c>
    </row>
    <row r="2232" spans="1:4" x14ac:dyDescent="0.2">
      <c r="A2232">
        <v>2231</v>
      </c>
      <c r="B2232" s="626">
        <v>0</v>
      </c>
      <c r="C2232" s="626">
        <v>1000000</v>
      </c>
      <c r="D2232" s="626">
        <v>0</v>
      </c>
    </row>
    <row r="2233" spans="1:4" x14ac:dyDescent="0.2">
      <c r="A2233">
        <v>2232</v>
      </c>
      <c r="B2233" s="626">
        <v>0</v>
      </c>
      <c r="C2233" s="626">
        <v>1000000</v>
      </c>
      <c r="D2233" s="626">
        <v>0</v>
      </c>
    </row>
    <row r="2234" spans="1:4" x14ac:dyDescent="0.2">
      <c r="A2234">
        <v>2233</v>
      </c>
      <c r="B2234" s="626">
        <v>0</v>
      </c>
      <c r="C2234" s="626">
        <v>1000000</v>
      </c>
      <c r="D2234" s="626">
        <v>0</v>
      </c>
    </row>
    <row r="2235" spans="1:4" x14ac:dyDescent="0.2">
      <c r="A2235">
        <v>2234</v>
      </c>
      <c r="B2235" s="626">
        <v>0</v>
      </c>
      <c r="C2235" s="626">
        <v>1000000</v>
      </c>
      <c r="D2235" s="626">
        <v>0</v>
      </c>
    </row>
    <row r="2236" spans="1:4" x14ac:dyDescent="0.2">
      <c r="A2236">
        <v>2235</v>
      </c>
      <c r="B2236" s="626">
        <v>0</v>
      </c>
      <c r="C2236" s="626">
        <v>1000000</v>
      </c>
      <c r="D2236" s="626">
        <v>0</v>
      </c>
    </row>
    <row r="2237" spans="1:4" x14ac:dyDescent="0.2">
      <c r="A2237">
        <v>2236</v>
      </c>
      <c r="B2237" s="626">
        <v>0</v>
      </c>
      <c r="C2237" s="626">
        <v>1000000</v>
      </c>
      <c r="D2237" s="626">
        <v>0</v>
      </c>
    </row>
    <row r="2238" spans="1:4" x14ac:dyDescent="0.2">
      <c r="A2238">
        <v>2237</v>
      </c>
      <c r="B2238" s="626">
        <v>0</v>
      </c>
      <c r="C2238" s="626">
        <v>1000000</v>
      </c>
      <c r="D2238" s="626">
        <v>0</v>
      </c>
    </row>
    <row r="2239" spans="1:4" x14ac:dyDescent="0.2">
      <c r="A2239">
        <v>2238</v>
      </c>
      <c r="B2239" s="626">
        <v>0</v>
      </c>
      <c r="C2239" s="626">
        <v>1000000</v>
      </c>
      <c r="D2239" s="626">
        <v>0</v>
      </c>
    </row>
    <row r="2240" spans="1:4" x14ac:dyDescent="0.2">
      <c r="A2240">
        <v>2239</v>
      </c>
      <c r="B2240" s="626">
        <v>0</v>
      </c>
      <c r="C2240" s="626">
        <v>1000000</v>
      </c>
      <c r="D2240" s="626">
        <v>0</v>
      </c>
    </row>
    <row r="2241" spans="1:4" x14ac:dyDescent="0.2">
      <c r="A2241">
        <v>2240</v>
      </c>
      <c r="B2241" s="626">
        <v>0</v>
      </c>
      <c r="C2241" s="626">
        <v>1000000</v>
      </c>
      <c r="D2241" s="626">
        <v>0</v>
      </c>
    </row>
    <row r="2242" spans="1:4" x14ac:dyDescent="0.2">
      <c r="A2242">
        <v>2241</v>
      </c>
      <c r="B2242" s="626">
        <v>0</v>
      </c>
      <c r="C2242" s="626">
        <v>1000000</v>
      </c>
      <c r="D2242" s="626">
        <v>0</v>
      </c>
    </row>
    <row r="2243" spans="1:4" x14ac:dyDescent="0.2">
      <c r="A2243">
        <v>2242</v>
      </c>
      <c r="B2243" s="626">
        <v>0</v>
      </c>
      <c r="C2243" s="626">
        <v>1000000</v>
      </c>
      <c r="D2243" s="626">
        <v>0</v>
      </c>
    </row>
    <row r="2244" spans="1:4" x14ac:dyDescent="0.2">
      <c r="A2244">
        <v>2243</v>
      </c>
      <c r="B2244" s="626">
        <v>0</v>
      </c>
      <c r="C2244" s="626">
        <v>1000000</v>
      </c>
      <c r="D2244" s="626">
        <v>0</v>
      </c>
    </row>
    <row r="2245" spans="1:4" x14ac:dyDescent="0.2">
      <c r="A2245">
        <v>2244</v>
      </c>
      <c r="B2245" s="626">
        <v>0</v>
      </c>
      <c r="C2245" s="626">
        <v>1000000</v>
      </c>
      <c r="D2245" s="626">
        <v>0</v>
      </c>
    </row>
    <row r="2246" spans="1:4" x14ac:dyDescent="0.2">
      <c r="A2246">
        <v>2245</v>
      </c>
      <c r="B2246" s="626">
        <v>0</v>
      </c>
      <c r="C2246" s="626">
        <v>1000000</v>
      </c>
      <c r="D2246" s="626">
        <v>0</v>
      </c>
    </row>
    <row r="2247" spans="1:4" x14ac:dyDescent="0.2">
      <c r="A2247">
        <v>2246</v>
      </c>
      <c r="B2247" s="626">
        <v>0</v>
      </c>
      <c r="C2247" s="626">
        <v>1000000</v>
      </c>
      <c r="D2247" s="626">
        <v>0</v>
      </c>
    </row>
    <row r="2248" spans="1:4" x14ac:dyDescent="0.2">
      <c r="A2248">
        <v>2247</v>
      </c>
      <c r="B2248" s="626">
        <v>0</v>
      </c>
      <c r="C2248" s="626">
        <v>1000000</v>
      </c>
      <c r="D2248" s="626">
        <v>0</v>
      </c>
    </row>
    <row r="2249" spans="1:4" x14ac:dyDescent="0.2">
      <c r="A2249">
        <v>2248</v>
      </c>
      <c r="B2249" s="626">
        <v>0</v>
      </c>
      <c r="C2249" s="626">
        <v>1000000</v>
      </c>
      <c r="D2249" s="626">
        <v>0</v>
      </c>
    </row>
    <row r="2250" spans="1:4" x14ac:dyDescent="0.2">
      <c r="A2250">
        <v>2249</v>
      </c>
      <c r="B2250" s="626">
        <v>0</v>
      </c>
      <c r="C2250" s="626">
        <v>1000000</v>
      </c>
      <c r="D2250" s="626">
        <v>0</v>
      </c>
    </row>
    <row r="2251" spans="1:4" x14ac:dyDescent="0.2">
      <c r="A2251">
        <v>2250</v>
      </c>
      <c r="B2251" s="626">
        <v>0</v>
      </c>
      <c r="C2251" s="626">
        <v>1000000</v>
      </c>
      <c r="D2251" s="626">
        <v>0</v>
      </c>
    </row>
    <row r="2252" spans="1:4" x14ac:dyDescent="0.2">
      <c r="A2252">
        <v>2251</v>
      </c>
      <c r="B2252" s="626">
        <v>0</v>
      </c>
      <c r="C2252" s="626">
        <v>1000000</v>
      </c>
      <c r="D2252" s="626">
        <v>0</v>
      </c>
    </row>
    <row r="2253" spans="1:4" x14ac:dyDescent="0.2">
      <c r="A2253">
        <v>2252</v>
      </c>
      <c r="B2253" s="626">
        <v>0</v>
      </c>
      <c r="C2253" s="626">
        <v>1000000</v>
      </c>
      <c r="D2253" s="626">
        <v>0</v>
      </c>
    </row>
    <row r="2254" spans="1:4" x14ac:dyDescent="0.2">
      <c r="A2254">
        <v>2253</v>
      </c>
      <c r="B2254" s="626">
        <v>0</v>
      </c>
      <c r="C2254" s="626">
        <v>1000000</v>
      </c>
      <c r="D2254" s="626">
        <v>0</v>
      </c>
    </row>
    <row r="2255" spans="1:4" x14ac:dyDescent="0.2">
      <c r="A2255">
        <v>2254</v>
      </c>
      <c r="B2255" s="626">
        <v>0</v>
      </c>
      <c r="C2255" s="626">
        <v>1000000</v>
      </c>
      <c r="D2255" s="626">
        <v>0</v>
      </c>
    </row>
    <row r="2256" spans="1:4" x14ac:dyDescent="0.2">
      <c r="A2256">
        <v>2255</v>
      </c>
      <c r="B2256" s="626">
        <v>0</v>
      </c>
      <c r="C2256" s="626">
        <v>1000000</v>
      </c>
      <c r="D2256" s="626">
        <v>0</v>
      </c>
    </row>
    <row r="2257" spans="1:4" x14ac:dyDescent="0.2">
      <c r="A2257">
        <v>2256</v>
      </c>
      <c r="B2257" s="626">
        <v>0</v>
      </c>
      <c r="C2257" s="626">
        <v>1000000</v>
      </c>
      <c r="D2257" s="626">
        <v>0</v>
      </c>
    </row>
    <row r="2258" spans="1:4" x14ac:dyDescent="0.2">
      <c r="A2258">
        <v>2257</v>
      </c>
      <c r="B2258" s="626">
        <v>0</v>
      </c>
      <c r="C2258" s="626">
        <v>1000000</v>
      </c>
      <c r="D2258" s="626">
        <v>0</v>
      </c>
    </row>
    <row r="2259" spans="1:4" x14ac:dyDescent="0.2">
      <c r="A2259">
        <v>2258</v>
      </c>
      <c r="B2259" s="626">
        <v>0</v>
      </c>
      <c r="C2259" s="626">
        <v>1000000</v>
      </c>
      <c r="D2259" s="626">
        <v>0</v>
      </c>
    </row>
    <row r="2260" spans="1:4" x14ac:dyDescent="0.2">
      <c r="A2260">
        <v>2259</v>
      </c>
      <c r="B2260" s="626">
        <v>0</v>
      </c>
      <c r="C2260" s="626">
        <v>1000000</v>
      </c>
      <c r="D2260" s="626">
        <v>0</v>
      </c>
    </row>
    <row r="2261" spans="1:4" x14ac:dyDescent="0.2">
      <c r="A2261">
        <v>2260</v>
      </c>
      <c r="B2261" s="626">
        <v>0</v>
      </c>
      <c r="C2261" s="626">
        <v>1000000</v>
      </c>
      <c r="D2261" s="626">
        <v>0</v>
      </c>
    </row>
    <row r="2262" spans="1:4" x14ac:dyDescent="0.2">
      <c r="A2262">
        <v>2261</v>
      </c>
      <c r="B2262" s="626">
        <v>0</v>
      </c>
      <c r="C2262" s="626">
        <v>1000000</v>
      </c>
      <c r="D2262" s="626">
        <v>0</v>
      </c>
    </row>
    <row r="2263" spans="1:4" x14ac:dyDescent="0.2">
      <c r="A2263">
        <v>2262</v>
      </c>
      <c r="B2263" s="626">
        <v>0</v>
      </c>
      <c r="C2263" s="626">
        <v>1000000</v>
      </c>
      <c r="D2263" s="626">
        <v>0</v>
      </c>
    </row>
    <row r="2264" spans="1:4" x14ac:dyDescent="0.2">
      <c r="A2264">
        <v>2263</v>
      </c>
      <c r="B2264" s="626">
        <v>0</v>
      </c>
      <c r="C2264" s="626">
        <v>1000000</v>
      </c>
      <c r="D2264" s="626">
        <v>0</v>
      </c>
    </row>
    <row r="2265" spans="1:4" x14ac:dyDescent="0.2">
      <c r="A2265">
        <v>2264</v>
      </c>
      <c r="B2265" s="626">
        <v>0</v>
      </c>
      <c r="C2265" s="626">
        <v>1000000</v>
      </c>
      <c r="D2265" s="626">
        <v>0</v>
      </c>
    </row>
    <row r="2266" spans="1:4" x14ac:dyDescent="0.2">
      <c r="A2266">
        <v>2265</v>
      </c>
      <c r="B2266" s="626">
        <v>0</v>
      </c>
      <c r="C2266" s="626">
        <v>1000000</v>
      </c>
      <c r="D2266" s="626">
        <v>0</v>
      </c>
    </row>
    <row r="2267" spans="1:4" x14ac:dyDescent="0.2">
      <c r="A2267">
        <v>2266</v>
      </c>
      <c r="B2267" s="626">
        <v>0</v>
      </c>
      <c r="C2267" s="626">
        <v>1000000</v>
      </c>
      <c r="D2267" s="626">
        <v>0</v>
      </c>
    </row>
    <row r="2268" spans="1:4" x14ac:dyDescent="0.2">
      <c r="A2268">
        <v>2267</v>
      </c>
      <c r="B2268" s="626">
        <v>0</v>
      </c>
      <c r="C2268" s="626">
        <v>1000000</v>
      </c>
      <c r="D2268" s="626">
        <v>0</v>
      </c>
    </row>
    <row r="2269" spans="1:4" x14ac:dyDescent="0.2">
      <c r="A2269">
        <v>2268</v>
      </c>
      <c r="B2269" s="626">
        <v>0</v>
      </c>
      <c r="C2269" s="626">
        <v>1000000</v>
      </c>
      <c r="D2269" s="626">
        <v>0</v>
      </c>
    </row>
    <row r="2270" spans="1:4" x14ac:dyDescent="0.2">
      <c r="A2270">
        <v>2269</v>
      </c>
      <c r="B2270" s="626">
        <v>0</v>
      </c>
      <c r="C2270" s="626">
        <v>1000000</v>
      </c>
      <c r="D2270" s="626">
        <v>0</v>
      </c>
    </row>
    <row r="2271" spans="1:4" x14ac:dyDescent="0.2">
      <c r="A2271">
        <v>2270</v>
      </c>
      <c r="B2271" s="626">
        <v>0</v>
      </c>
      <c r="C2271" s="626">
        <v>1000000</v>
      </c>
      <c r="D2271" s="626">
        <v>0</v>
      </c>
    </row>
    <row r="2272" spans="1:4" x14ac:dyDescent="0.2">
      <c r="A2272">
        <v>2271</v>
      </c>
      <c r="B2272" s="626">
        <v>0</v>
      </c>
      <c r="C2272" s="626">
        <v>1000000</v>
      </c>
      <c r="D2272" s="626">
        <v>0</v>
      </c>
    </row>
    <row r="2273" spans="1:4" x14ac:dyDescent="0.2">
      <c r="A2273">
        <v>2272</v>
      </c>
      <c r="B2273" s="626">
        <v>0</v>
      </c>
      <c r="C2273" s="626">
        <v>1000000</v>
      </c>
      <c r="D2273" s="626">
        <v>0</v>
      </c>
    </row>
    <row r="2274" spans="1:4" x14ac:dyDescent="0.2">
      <c r="A2274">
        <v>2273</v>
      </c>
      <c r="B2274" s="626">
        <v>0</v>
      </c>
      <c r="C2274" s="626">
        <v>1000000</v>
      </c>
      <c r="D2274" s="626">
        <v>0</v>
      </c>
    </row>
    <row r="2275" spans="1:4" x14ac:dyDescent="0.2">
      <c r="A2275">
        <v>2274</v>
      </c>
      <c r="B2275" s="626">
        <v>0</v>
      </c>
      <c r="C2275" s="626">
        <v>1000000</v>
      </c>
      <c r="D2275" s="626">
        <v>0</v>
      </c>
    </row>
    <row r="2276" spans="1:4" x14ac:dyDescent="0.2">
      <c r="A2276">
        <v>2275</v>
      </c>
      <c r="B2276" s="626">
        <v>0</v>
      </c>
      <c r="C2276" s="626">
        <v>1000000</v>
      </c>
      <c r="D2276" s="626">
        <v>0</v>
      </c>
    </row>
    <row r="2277" spans="1:4" x14ac:dyDescent="0.2">
      <c r="A2277">
        <v>2276</v>
      </c>
      <c r="B2277" s="626">
        <v>0</v>
      </c>
      <c r="C2277" s="626">
        <v>1000000</v>
      </c>
      <c r="D2277" s="626">
        <v>0</v>
      </c>
    </row>
    <row r="2278" spans="1:4" x14ac:dyDescent="0.2">
      <c r="A2278">
        <v>2277</v>
      </c>
      <c r="B2278" s="626">
        <v>0</v>
      </c>
      <c r="C2278" s="626">
        <v>1000000</v>
      </c>
      <c r="D2278" s="626">
        <v>0</v>
      </c>
    </row>
    <row r="2279" spans="1:4" x14ac:dyDescent="0.2">
      <c r="A2279">
        <v>2278</v>
      </c>
      <c r="B2279" s="626">
        <v>0</v>
      </c>
      <c r="C2279" s="626">
        <v>1000000</v>
      </c>
      <c r="D2279" s="626">
        <v>0</v>
      </c>
    </row>
    <row r="2280" spans="1:4" x14ac:dyDescent="0.2">
      <c r="A2280">
        <v>2279</v>
      </c>
      <c r="B2280" s="626">
        <v>0</v>
      </c>
      <c r="C2280" s="626">
        <v>1000000</v>
      </c>
      <c r="D2280" s="626">
        <v>0</v>
      </c>
    </row>
    <row r="2281" spans="1:4" x14ac:dyDescent="0.2">
      <c r="A2281">
        <v>2280</v>
      </c>
      <c r="B2281" s="626">
        <v>0</v>
      </c>
      <c r="C2281" s="626">
        <v>1000000</v>
      </c>
      <c r="D2281" s="626">
        <v>0</v>
      </c>
    </row>
    <row r="2282" spans="1:4" x14ac:dyDescent="0.2">
      <c r="A2282">
        <v>2281</v>
      </c>
      <c r="B2282" s="626">
        <v>0</v>
      </c>
      <c r="C2282" s="626">
        <v>1000000</v>
      </c>
      <c r="D2282" s="626">
        <v>0</v>
      </c>
    </row>
    <row r="2283" spans="1:4" x14ac:dyDescent="0.2">
      <c r="A2283">
        <v>2282</v>
      </c>
      <c r="B2283" s="626">
        <v>0</v>
      </c>
      <c r="C2283" s="626">
        <v>1000000</v>
      </c>
      <c r="D2283" s="626">
        <v>0</v>
      </c>
    </row>
    <row r="2284" spans="1:4" x14ac:dyDescent="0.2">
      <c r="A2284">
        <v>2283</v>
      </c>
      <c r="B2284" s="626">
        <v>0</v>
      </c>
      <c r="C2284" s="626">
        <v>1000000</v>
      </c>
      <c r="D2284" s="626">
        <v>0</v>
      </c>
    </row>
    <row r="2285" spans="1:4" x14ac:dyDescent="0.2">
      <c r="A2285">
        <v>2284</v>
      </c>
      <c r="B2285" s="626">
        <v>0</v>
      </c>
      <c r="C2285" s="626">
        <v>1000000</v>
      </c>
      <c r="D2285" s="626">
        <v>0</v>
      </c>
    </row>
    <row r="2286" spans="1:4" x14ac:dyDescent="0.2">
      <c r="A2286">
        <v>2285</v>
      </c>
      <c r="B2286" s="626">
        <v>0</v>
      </c>
      <c r="C2286" s="626">
        <v>1000000</v>
      </c>
      <c r="D2286" s="626">
        <v>0</v>
      </c>
    </row>
    <row r="2287" spans="1:4" x14ac:dyDescent="0.2">
      <c r="A2287">
        <v>2286</v>
      </c>
      <c r="B2287" s="626">
        <v>0</v>
      </c>
      <c r="C2287" s="626">
        <v>1000000</v>
      </c>
      <c r="D2287" s="626">
        <v>0</v>
      </c>
    </row>
    <row r="2288" spans="1:4" x14ac:dyDescent="0.2">
      <c r="A2288">
        <v>2287</v>
      </c>
      <c r="B2288" s="626">
        <v>0</v>
      </c>
      <c r="C2288" s="626">
        <v>1000000</v>
      </c>
      <c r="D2288" s="626">
        <v>0</v>
      </c>
    </row>
    <row r="2289" spans="1:4" x14ac:dyDescent="0.2">
      <c r="A2289">
        <v>2288</v>
      </c>
      <c r="B2289" s="626">
        <v>0</v>
      </c>
      <c r="C2289" s="626">
        <v>1000000</v>
      </c>
      <c r="D2289" s="626">
        <v>0</v>
      </c>
    </row>
    <row r="2290" spans="1:4" x14ac:dyDescent="0.2">
      <c r="A2290">
        <v>2289</v>
      </c>
      <c r="B2290" s="626">
        <v>0</v>
      </c>
      <c r="C2290" s="626">
        <v>1000000</v>
      </c>
      <c r="D2290" s="626">
        <v>0</v>
      </c>
    </row>
    <row r="2291" spans="1:4" x14ac:dyDescent="0.2">
      <c r="A2291">
        <v>2290</v>
      </c>
      <c r="B2291" s="626">
        <v>0</v>
      </c>
      <c r="C2291" s="626">
        <v>1000000</v>
      </c>
      <c r="D2291" s="626">
        <v>0</v>
      </c>
    </row>
    <row r="2292" spans="1:4" x14ac:dyDescent="0.2">
      <c r="A2292">
        <v>2291</v>
      </c>
      <c r="B2292" s="626">
        <v>0</v>
      </c>
      <c r="C2292" s="626">
        <v>1000000</v>
      </c>
      <c r="D2292" s="626">
        <v>0</v>
      </c>
    </row>
    <row r="2293" spans="1:4" x14ac:dyDescent="0.2">
      <c r="A2293">
        <v>2292</v>
      </c>
      <c r="B2293" s="626">
        <v>0</v>
      </c>
      <c r="C2293" s="626">
        <v>1000000</v>
      </c>
      <c r="D2293" s="626">
        <v>0</v>
      </c>
    </row>
    <row r="2294" spans="1:4" x14ac:dyDescent="0.2">
      <c r="A2294">
        <v>2293</v>
      </c>
      <c r="B2294" s="626">
        <v>0</v>
      </c>
      <c r="C2294" s="626">
        <v>1000000</v>
      </c>
      <c r="D2294" s="626">
        <v>0</v>
      </c>
    </row>
    <row r="2295" spans="1:4" x14ac:dyDescent="0.2">
      <c r="A2295">
        <v>2294</v>
      </c>
      <c r="B2295" s="626">
        <v>0</v>
      </c>
      <c r="C2295" s="626">
        <v>1000000</v>
      </c>
      <c r="D2295" s="626">
        <v>0</v>
      </c>
    </row>
    <row r="2296" spans="1:4" x14ac:dyDescent="0.2">
      <c r="A2296">
        <v>2295</v>
      </c>
      <c r="B2296" s="626">
        <v>0</v>
      </c>
      <c r="C2296" s="626">
        <v>1000000</v>
      </c>
      <c r="D2296" s="626">
        <v>0</v>
      </c>
    </row>
    <row r="2297" spans="1:4" x14ac:dyDescent="0.2">
      <c r="A2297">
        <v>2296</v>
      </c>
      <c r="B2297" s="626">
        <v>0</v>
      </c>
      <c r="C2297" s="626">
        <v>1000000</v>
      </c>
      <c r="D2297" s="626">
        <v>0</v>
      </c>
    </row>
    <row r="2298" spans="1:4" x14ac:dyDescent="0.2">
      <c r="A2298">
        <v>2297</v>
      </c>
      <c r="B2298" s="626">
        <v>0</v>
      </c>
      <c r="C2298" s="626">
        <v>1000000</v>
      </c>
      <c r="D2298" s="626">
        <v>0</v>
      </c>
    </row>
    <row r="2299" spans="1:4" x14ac:dyDescent="0.2">
      <c r="A2299">
        <v>2298</v>
      </c>
      <c r="B2299" s="626">
        <v>0</v>
      </c>
      <c r="C2299" s="626">
        <v>1000000</v>
      </c>
      <c r="D2299" s="626">
        <v>0</v>
      </c>
    </row>
    <row r="2300" spans="1:4" x14ac:dyDescent="0.2">
      <c r="A2300">
        <v>2299</v>
      </c>
      <c r="B2300" s="626">
        <v>0</v>
      </c>
      <c r="C2300" s="626">
        <v>1000000</v>
      </c>
      <c r="D2300" s="626">
        <v>0</v>
      </c>
    </row>
    <row r="2301" spans="1:4" x14ac:dyDescent="0.2">
      <c r="A2301">
        <v>2300</v>
      </c>
      <c r="B2301" s="626">
        <v>0</v>
      </c>
      <c r="C2301" s="626">
        <v>1000000</v>
      </c>
      <c r="D2301" s="626">
        <v>0</v>
      </c>
    </row>
    <row r="2302" spans="1:4" x14ac:dyDescent="0.2">
      <c r="A2302">
        <v>2301</v>
      </c>
      <c r="B2302" s="626">
        <v>0</v>
      </c>
      <c r="C2302" s="626">
        <v>1000000</v>
      </c>
      <c r="D2302" s="626">
        <v>0</v>
      </c>
    </row>
    <row r="2303" spans="1:4" x14ac:dyDescent="0.2">
      <c r="A2303">
        <v>2302</v>
      </c>
      <c r="B2303" s="626">
        <v>0</v>
      </c>
      <c r="C2303" s="626">
        <v>1000000</v>
      </c>
      <c r="D2303" s="626">
        <v>0</v>
      </c>
    </row>
    <row r="2304" spans="1:4" x14ac:dyDescent="0.2">
      <c r="A2304">
        <v>2303</v>
      </c>
      <c r="B2304" s="626">
        <v>0</v>
      </c>
      <c r="C2304" s="626">
        <v>1000000</v>
      </c>
      <c r="D2304" s="626">
        <v>0</v>
      </c>
    </row>
    <row r="2305" spans="1:4" x14ac:dyDescent="0.2">
      <c r="A2305">
        <v>2304</v>
      </c>
      <c r="B2305" s="626">
        <v>0</v>
      </c>
      <c r="C2305" s="626">
        <v>1000000</v>
      </c>
      <c r="D2305" s="626">
        <v>0</v>
      </c>
    </row>
    <row r="2306" spans="1:4" x14ac:dyDescent="0.2">
      <c r="A2306">
        <v>2305</v>
      </c>
      <c r="B2306" s="626">
        <v>0</v>
      </c>
      <c r="C2306" s="626">
        <v>1000000</v>
      </c>
      <c r="D2306" s="626">
        <v>0</v>
      </c>
    </row>
    <row r="2307" spans="1:4" x14ac:dyDescent="0.2">
      <c r="A2307">
        <v>2306</v>
      </c>
      <c r="B2307" s="626">
        <v>0</v>
      </c>
      <c r="C2307" s="626">
        <v>1000000</v>
      </c>
      <c r="D2307" s="626">
        <v>0</v>
      </c>
    </row>
    <row r="2308" spans="1:4" x14ac:dyDescent="0.2">
      <c r="A2308">
        <v>2307</v>
      </c>
      <c r="B2308" s="626">
        <v>0</v>
      </c>
      <c r="C2308" s="626">
        <v>1000000</v>
      </c>
      <c r="D2308" s="626">
        <v>0</v>
      </c>
    </row>
    <row r="2309" spans="1:4" x14ac:dyDescent="0.2">
      <c r="A2309">
        <v>2308</v>
      </c>
      <c r="B2309" s="626">
        <v>0</v>
      </c>
      <c r="C2309" s="626">
        <v>1000000</v>
      </c>
      <c r="D2309" s="626">
        <v>0</v>
      </c>
    </row>
    <row r="2310" spans="1:4" x14ac:dyDescent="0.2">
      <c r="A2310">
        <v>2309</v>
      </c>
      <c r="B2310" s="626">
        <v>0</v>
      </c>
      <c r="C2310" s="626">
        <v>1000000</v>
      </c>
      <c r="D2310" s="626">
        <v>0</v>
      </c>
    </row>
    <row r="2311" spans="1:4" x14ac:dyDescent="0.2">
      <c r="A2311">
        <v>2310</v>
      </c>
      <c r="B2311" s="626">
        <v>0</v>
      </c>
      <c r="C2311" s="626">
        <v>1000000</v>
      </c>
      <c r="D2311" s="626">
        <v>0</v>
      </c>
    </row>
    <row r="2312" spans="1:4" x14ac:dyDescent="0.2">
      <c r="A2312">
        <v>2311</v>
      </c>
      <c r="B2312" s="626">
        <v>0</v>
      </c>
      <c r="C2312" s="626">
        <v>1000000</v>
      </c>
      <c r="D2312" s="626">
        <v>0</v>
      </c>
    </row>
    <row r="2313" spans="1:4" x14ac:dyDescent="0.2">
      <c r="A2313">
        <v>2312</v>
      </c>
      <c r="B2313" s="626">
        <v>0</v>
      </c>
      <c r="C2313" s="626">
        <v>1000000</v>
      </c>
      <c r="D2313" s="626">
        <v>0</v>
      </c>
    </row>
    <row r="2314" spans="1:4" x14ac:dyDescent="0.2">
      <c r="A2314">
        <v>2313</v>
      </c>
      <c r="B2314" s="626">
        <v>0</v>
      </c>
      <c r="C2314" s="626">
        <v>1000000</v>
      </c>
      <c r="D2314" s="626">
        <v>0</v>
      </c>
    </row>
    <row r="2315" spans="1:4" x14ac:dyDescent="0.2">
      <c r="A2315">
        <v>2314</v>
      </c>
      <c r="B2315" s="626">
        <v>0</v>
      </c>
      <c r="C2315" s="626">
        <v>1000000</v>
      </c>
      <c r="D2315" s="626">
        <v>0</v>
      </c>
    </row>
    <row r="2316" spans="1:4" x14ac:dyDescent="0.2">
      <c r="A2316">
        <v>2315</v>
      </c>
      <c r="B2316" s="626">
        <v>0</v>
      </c>
      <c r="C2316" s="626">
        <v>1000000</v>
      </c>
      <c r="D2316" s="626">
        <v>0</v>
      </c>
    </row>
    <row r="2317" spans="1:4" x14ac:dyDescent="0.2">
      <c r="A2317">
        <v>2316</v>
      </c>
      <c r="B2317" s="626">
        <v>0</v>
      </c>
      <c r="C2317" s="626">
        <v>1000000</v>
      </c>
      <c r="D2317" s="626">
        <v>0</v>
      </c>
    </row>
    <row r="2318" spans="1:4" x14ac:dyDescent="0.2">
      <c r="A2318">
        <v>2317</v>
      </c>
      <c r="B2318" s="626">
        <v>0</v>
      </c>
      <c r="C2318" s="626">
        <v>1000000</v>
      </c>
      <c r="D2318" s="626">
        <v>0</v>
      </c>
    </row>
    <row r="2319" spans="1:4" x14ac:dyDescent="0.2">
      <c r="A2319">
        <v>2318</v>
      </c>
      <c r="B2319" s="626">
        <v>0</v>
      </c>
      <c r="C2319" s="626">
        <v>1000000</v>
      </c>
      <c r="D2319" s="626">
        <v>0</v>
      </c>
    </row>
    <row r="2320" spans="1:4" x14ac:dyDescent="0.2">
      <c r="A2320">
        <v>2319</v>
      </c>
      <c r="B2320" s="626">
        <v>0</v>
      </c>
      <c r="C2320" s="626">
        <v>1000000</v>
      </c>
      <c r="D2320" s="626">
        <v>0</v>
      </c>
    </row>
    <row r="2321" spans="1:4" x14ac:dyDescent="0.2">
      <c r="A2321">
        <v>2320</v>
      </c>
      <c r="B2321" s="626">
        <v>0</v>
      </c>
      <c r="C2321" s="626">
        <v>1000000</v>
      </c>
      <c r="D2321" s="626">
        <v>0</v>
      </c>
    </row>
    <row r="2322" spans="1:4" x14ac:dyDescent="0.2">
      <c r="A2322">
        <v>2321</v>
      </c>
      <c r="B2322" s="626">
        <v>0</v>
      </c>
      <c r="C2322" s="626">
        <v>1000000</v>
      </c>
      <c r="D2322" s="626">
        <v>0</v>
      </c>
    </row>
    <row r="2323" spans="1:4" x14ac:dyDescent="0.2">
      <c r="A2323">
        <v>2322</v>
      </c>
      <c r="B2323" s="626">
        <v>0</v>
      </c>
      <c r="C2323" s="626">
        <v>1000000</v>
      </c>
      <c r="D2323" s="626">
        <v>0</v>
      </c>
    </row>
    <row r="2324" spans="1:4" x14ac:dyDescent="0.2">
      <c r="A2324">
        <v>2323</v>
      </c>
      <c r="B2324" s="626">
        <v>0</v>
      </c>
      <c r="C2324" s="626">
        <v>1000000</v>
      </c>
      <c r="D2324" s="626">
        <v>0</v>
      </c>
    </row>
    <row r="2325" spans="1:4" x14ac:dyDescent="0.2">
      <c r="A2325">
        <v>2324</v>
      </c>
      <c r="B2325" s="626">
        <v>0</v>
      </c>
      <c r="C2325" s="626">
        <v>1000000</v>
      </c>
      <c r="D2325" s="626">
        <v>0</v>
      </c>
    </row>
    <row r="2326" spans="1:4" x14ac:dyDescent="0.2">
      <c r="A2326">
        <v>2325</v>
      </c>
      <c r="B2326" s="626">
        <v>0</v>
      </c>
      <c r="C2326" s="626">
        <v>1000000</v>
      </c>
      <c r="D2326" s="626">
        <v>0</v>
      </c>
    </row>
    <row r="2327" spans="1:4" x14ac:dyDescent="0.2">
      <c r="A2327">
        <v>2326</v>
      </c>
      <c r="B2327" s="626">
        <v>0</v>
      </c>
      <c r="C2327" s="626">
        <v>1000000</v>
      </c>
      <c r="D2327" s="626">
        <v>0</v>
      </c>
    </row>
    <row r="2328" spans="1:4" x14ac:dyDescent="0.2">
      <c r="A2328">
        <v>2327</v>
      </c>
      <c r="B2328" s="626">
        <v>0</v>
      </c>
      <c r="C2328" s="626">
        <v>1000000</v>
      </c>
      <c r="D2328" s="626">
        <v>0</v>
      </c>
    </row>
    <row r="2329" spans="1:4" x14ac:dyDescent="0.2">
      <c r="A2329">
        <v>2328</v>
      </c>
      <c r="B2329" s="626">
        <v>0</v>
      </c>
      <c r="C2329" s="626">
        <v>1000000</v>
      </c>
      <c r="D2329" s="626">
        <v>0</v>
      </c>
    </row>
    <row r="2330" spans="1:4" x14ac:dyDescent="0.2">
      <c r="A2330">
        <v>2329</v>
      </c>
      <c r="B2330" s="626">
        <v>0</v>
      </c>
      <c r="C2330" s="626">
        <v>1000000</v>
      </c>
      <c r="D2330" s="626">
        <v>0</v>
      </c>
    </row>
    <row r="2331" spans="1:4" x14ac:dyDescent="0.2">
      <c r="A2331">
        <v>2330</v>
      </c>
      <c r="B2331" s="626">
        <v>0</v>
      </c>
      <c r="C2331" s="626">
        <v>1000000</v>
      </c>
      <c r="D2331" s="626">
        <v>0</v>
      </c>
    </row>
    <row r="2332" spans="1:4" x14ac:dyDescent="0.2">
      <c r="A2332">
        <v>2331</v>
      </c>
      <c r="B2332" s="626">
        <v>0</v>
      </c>
      <c r="C2332" s="626">
        <v>1000000</v>
      </c>
      <c r="D2332" s="626">
        <v>0</v>
      </c>
    </row>
    <row r="2333" spans="1:4" x14ac:dyDescent="0.2">
      <c r="A2333">
        <v>2332</v>
      </c>
      <c r="B2333" s="626">
        <v>0</v>
      </c>
      <c r="C2333" s="626">
        <v>1000000</v>
      </c>
      <c r="D2333" s="626">
        <v>0</v>
      </c>
    </row>
    <row r="2334" spans="1:4" x14ac:dyDescent="0.2">
      <c r="A2334">
        <v>2333</v>
      </c>
      <c r="B2334" s="626">
        <v>0</v>
      </c>
      <c r="C2334" s="626">
        <v>1000000</v>
      </c>
      <c r="D2334" s="626">
        <v>0</v>
      </c>
    </row>
    <row r="2335" spans="1:4" x14ac:dyDescent="0.2">
      <c r="A2335">
        <v>2334</v>
      </c>
      <c r="B2335" s="626">
        <v>0</v>
      </c>
      <c r="C2335" s="626">
        <v>1000000</v>
      </c>
      <c r="D2335" s="626">
        <v>0</v>
      </c>
    </row>
    <row r="2336" spans="1:4" x14ac:dyDescent="0.2">
      <c r="A2336">
        <v>2335</v>
      </c>
      <c r="B2336" s="626">
        <v>0</v>
      </c>
      <c r="C2336" s="626">
        <v>1000000</v>
      </c>
      <c r="D2336" s="626">
        <v>0</v>
      </c>
    </row>
    <row r="2337" spans="1:4" x14ac:dyDescent="0.2">
      <c r="A2337">
        <v>2336</v>
      </c>
      <c r="B2337" s="626">
        <v>0</v>
      </c>
      <c r="C2337" s="626">
        <v>1000000</v>
      </c>
      <c r="D2337" s="626">
        <v>0</v>
      </c>
    </row>
    <row r="2338" spans="1:4" x14ac:dyDescent="0.2">
      <c r="A2338">
        <v>2337</v>
      </c>
      <c r="B2338" s="626">
        <v>0</v>
      </c>
      <c r="C2338" s="626">
        <v>1000000</v>
      </c>
      <c r="D2338" s="626">
        <v>0</v>
      </c>
    </row>
    <row r="2339" spans="1:4" x14ac:dyDescent="0.2">
      <c r="A2339">
        <v>2338</v>
      </c>
      <c r="B2339" s="626">
        <v>0</v>
      </c>
      <c r="C2339" s="626">
        <v>1000000</v>
      </c>
      <c r="D2339" s="626">
        <v>0</v>
      </c>
    </row>
    <row r="2340" spans="1:4" x14ac:dyDescent="0.2">
      <c r="A2340">
        <v>2339</v>
      </c>
      <c r="B2340" s="626">
        <v>0</v>
      </c>
      <c r="C2340" s="626">
        <v>1000000</v>
      </c>
      <c r="D2340" s="626">
        <v>0</v>
      </c>
    </row>
    <row r="2341" spans="1:4" x14ac:dyDescent="0.2">
      <c r="A2341">
        <v>2340</v>
      </c>
      <c r="B2341" s="626">
        <v>0</v>
      </c>
      <c r="C2341" s="626">
        <v>1000000</v>
      </c>
      <c r="D2341" s="626">
        <v>0</v>
      </c>
    </row>
    <row r="2342" spans="1:4" x14ac:dyDescent="0.2">
      <c r="A2342">
        <v>2341</v>
      </c>
      <c r="B2342" s="626">
        <v>0</v>
      </c>
      <c r="C2342" s="626">
        <v>1000000</v>
      </c>
      <c r="D2342" s="626">
        <v>0</v>
      </c>
    </row>
    <row r="2343" spans="1:4" x14ac:dyDescent="0.2">
      <c r="A2343">
        <v>2342</v>
      </c>
      <c r="B2343" s="626">
        <v>0</v>
      </c>
      <c r="C2343" s="626">
        <v>1000000</v>
      </c>
      <c r="D2343" s="626">
        <v>0</v>
      </c>
    </row>
    <row r="2344" spans="1:4" x14ac:dyDescent="0.2">
      <c r="A2344">
        <v>2343</v>
      </c>
      <c r="B2344" s="626">
        <v>0</v>
      </c>
      <c r="C2344" s="626">
        <v>1000000</v>
      </c>
      <c r="D2344" s="626">
        <v>0</v>
      </c>
    </row>
    <row r="2345" spans="1:4" x14ac:dyDescent="0.2">
      <c r="A2345">
        <v>2344</v>
      </c>
      <c r="B2345" s="626">
        <v>0</v>
      </c>
      <c r="C2345" s="626">
        <v>1000000</v>
      </c>
      <c r="D2345" s="626">
        <v>0</v>
      </c>
    </row>
    <row r="2346" spans="1:4" x14ac:dyDescent="0.2">
      <c r="A2346">
        <v>2345</v>
      </c>
      <c r="B2346" s="626">
        <v>0</v>
      </c>
      <c r="C2346" s="626">
        <v>1000000</v>
      </c>
      <c r="D2346" s="626">
        <v>0</v>
      </c>
    </row>
    <row r="2347" spans="1:4" x14ac:dyDescent="0.2">
      <c r="A2347">
        <v>2346</v>
      </c>
      <c r="B2347" s="626">
        <v>0</v>
      </c>
      <c r="C2347" s="626">
        <v>1000000</v>
      </c>
      <c r="D2347" s="626">
        <v>0</v>
      </c>
    </row>
    <row r="2348" spans="1:4" x14ac:dyDescent="0.2">
      <c r="A2348">
        <v>2347</v>
      </c>
      <c r="B2348" s="626">
        <v>0</v>
      </c>
      <c r="C2348" s="626">
        <v>1000000</v>
      </c>
      <c r="D2348" s="626">
        <v>0</v>
      </c>
    </row>
    <row r="2349" spans="1:4" x14ac:dyDescent="0.2">
      <c r="A2349">
        <v>2348</v>
      </c>
      <c r="B2349" s="626">
        <v>0</v>
      </c>
      <c r="C2349" s="626">
        <v>1000000</v>
      </c>
      <c r="D2349" s="626">
        <v>0</v>
      </c>
    </row>
    <row r="2350" spans="1:4" x14ac:dyDescent="0.2">
      <c r="A2350">
        <v>2349</v>
      </c>
      <c r="B2350" s="626">
        <v>0</v>
      </c>
      <c r="C2350" s="626">
        <v>1000000</v>
      </c>
      <c r="D2350" s="626">
        <v>0</v>
      </c>
    </row>
    <row r="2351" spans="1:4" x14ac:dyDescent="0.2">
      <c r="A2351">
        <v>2350</v>
      </c>
      <c r="B2351" s="626">
        <v>0</v>
      </c>
      <c r="C2351" s="626">
        <v>1000000</v>
      </c>
      <c r="D2351" s="626">
        <v>0</v>
      </c>
    </row>
    <row r="2352" spans="1:4" x14ac:dyDescent="0.2">
      <c r="A2352">
        <v>2351</v>
      </c>
      <c r="B2352" s="626">
        <v>0</v>
      </c>
      <c r="C2352" s="626">
        <v>1000000</v>
      </c>
      <c r="D2352" s="626">
        <v>0</v>
      </c>
    </row>
    <row r="2353" spans="1:4" x14ac:dyDescent="0.2">
      <c r="A2353">
        <v>2352</v>
      </c>
      <c r="B2353" s="626">
        <v>0</v>
      </c>
      <c r="C2353" s="626">
        <v>1000000</v>
      </c>
      <c r="D2353" s="626">
        <v>0</v>
      </c>
    </row>
    <row r="2354" spans="1:4" x14ac:dyDescent="0.2">
      <c r="A2354">
        <v>2353</v>
      </c>
      <c r="B2354" s="626">
        <v>0</v>
      </c>
      <c r="C2354" s="626">
        <v>1000000</v>
      </c>
      <c r="D2354" s="626">
        <v>0</v>
      </c>
    </row>
    <row r="2355" spans="1:4" x14ac:dyDescent="0.2">
      <c r="A2355">
        <v>2354</v>
      </c>
      <c r="B2355" s="626">
        <v>0</v>
      </c>
      <c r="C2355" s="626">
        <v>1000000</v>
      </c>
      <c r="D2355" s="626">
        <v>0</v>
      </c>
    </row>
    <row r="2356" spans="1:4" x14ac:dyDescent="0.2">
      <c r="A2356">
        <v>2355</v>
      </c>
      <c r="B2356" s="626">
        <v>0</v>
      </c>
      <c r="C2356" s="626">
        <v>1000000</v>
      </c>
      <c r="D2356" s="626">
        <v>0</v>
      </c>
    </row>
    <row r="2357" spans="1:4" x14ac:dyDescent="0.2">
      <c r="A2357">
        <v>2356</v>
      </c>
      <c r="B2357" s="626">
        <v>0</v>
      </c>
      <c r="C2357" s="626">
        <v>1000000</v>
      </c>
      <c r="D2357" s="626">
        <v>0</v>
      </c>
    </row>
    <row r="2358" spans="1:4" x14ac:dyDescent="0.2">
      <c r="A2358">
        <v>2357</v>
      </c>
      <c r="B2358" s="626">
        <v>0</v>
      </c>
      <c r="C2358" s="626">
        <v>1000000</v>
      </c>
      <c r="D2358" s="626">
        <v>0</v>
      </c>
    </row>
    <row r="2359" spans="1:4" x14ac:dyDescent="0.2">
      <c r="A2359">
        <v>2358</v>
      </c>
      <c r="B2359" s="626">
        <v>0</v>
      </c>
      <c r="C2359" s="626">
        <v>1000000</v>
      </c>
      <c r="D2359" s="626">
        <v>0</v>
      </c>
    </row>
    <row r="2360" spans="1:4" x14ac:dyDescent="0.2">
      <c r="A2360">
        <v>2359</v>
      </c>
      <c r="B2360" s="626">
        <v>0</v>
      </c>
      <c r="C2360" s="626">
        <v>1000000</v>
      </c>
      <c r="D2360" s="626">
        <v>0</v>
      </c>
    </row>
    <row r="2361" spans="1:4" x14ac:dyDescent="0.2">
      <c r="A2361">
        <v>2360</v>
      </c>
      <c r="B2361" s="626">
        <v>0</v>
      </c>
      <c r="C2361" s="626">
        <v>1000000</v>
      </c>
      <c r="D2361" s="626">
        <v>0</v>
      </c>
    </row>
    <row r="2362" spans="1:4" x14ac:dyDescent="0.2">
      <c r="A2362">
        <v>2361</v>
      </c>
      <c r="B2362" s="626">
        <v>0</v>
      </c>
      <c r="C2362" s="626">
        <v>1000000</v>
      </c>
      <c r="D2362" s="626">
        <v>0</v>
      </c>
    </row>
    <row r="2363" spans="1:4" x14ac:dyDescent="0.2">
      <c r="A2363">
        <v>2362</v>
      </c>
      <c r="B2363" s="626">
        <v>0</v>
      </c>
      <c r="C2363" s="626">
        <v>1000000</v>
      </c>
      <c r="D2363" s="626">
        <v>0</v>
      </c>
    </row>
    <row r="2364" spans="1:4" x14ac:dyDescent="0.2">
      <c r="A2364">
        <v>2363</v>
      </c>
      <c r="B2364" s="626">
        <v>0</v>
      </c>
      <c r="C2364" s="626">
        <v>1000000</v>
      </c>
      <c r="D2364" s="626">
        <v>0</v>
      </c>
    </row>
    <row r="2365" spans="1:4" x14ac:dyDescent="0.2">
      <c r="A2365">
        <v>2364</v>
      </c>
      <c r="B2365" s="626">
        <v>0</v>
      </c>
      <c r="C2365" s="626">
        <v>1000000</v>
      </c>
      <c r="D2365" s="626">
        <v>0</v>
      </c>
    </row>
    <row r="2366" spans="1:4" x14ac:dyDescent="0.2">
      <c r="A2366">
        <v>2365</v>
      </c>
      <c r="B2366" s="626">
        <v>0</v>
      </c>
      <c r="C2366" s="626">
        <v>1000000</v>
      </c>
      <c r="D2366" s="626">
        <v>0</v>
      </c>
    </row>
    <row r="2367" spans="1:4" x14ac:dyDescent="0.2">
      <c r="A2367">
        <v>2366</v>
      </c>
      <c r="B2367" s="626">
        <v>0</v>
      </c>
      <c r="C2367" s="626">
        <v>1000000</v>
      </c>
      <c r="D2367" s="626">
        <v>0</v>
      </c>
    </row>
    <row r="2368" spans="1:4" x14ac:dyDescent="0.2">
      <c r="A2368">
        <v>2367</v>
      </c>
      <c r="B2368" s="626">
        <v>0</v>
      </c>
      <c r="C2368" s="626">
        <v>1000000</v>
      </c>
      <c r="D2368" s="626">
        <v>0</v>
      </c>
    </row>
    <row r="2369" spans="1:4" x14ac:dyDescent="0.2">
      <c r="A2369">
        <v>2368</v>
      </c>
      <c r="B2369" s="626">
        <v>0</v>
      </c>
      <c r="C2369" s="626">
        <v>1000000</v>
      </c>
      <c r="D2369" s="626">
        <v>0</v>
      </c>
    </row>
    <row r="2370" spans="1:4" x14ac:dyDescent="0.2">
      <c r="A2370">
        <v>2369</v>
      </c>
      <c r="B2370" s="626">
        <v>0</v>
      </c>
      <c r="C2370" s="626">
        <v>1000000</v>
      </c>
      <c r="D2370" s="626">
        <v>0</v>
      </c>
    </row>
    <row r="2371" spans="1:4" x14ac:dyDescent="0.2">
      <c r="A2371">
        <v>2370</v>
      </c>
      <c r="B2371" s="626">
        <v>0</v>
      </c>
      <c r="C2371" s="626">
        <v>1000000</v>
      </c>
      <c r="D2371" s="626">
        <v>0</v>
      </c>
    </row>
    <row r="2372" spans="1:4" x14ac:dyDescent="0.2">
      <c r="A2372">
        <v>2371</v>
      </c>
      <c r="B2372" s="626">
        <v>0</v>
      </c>
      <c r="C2372" s="626">
        <v>1000000</v>
      </c>
      <c r="D2372" s="626">
        <v>0</v>
      </c>
    </row>
    <row r="2373" spans="1:4" x14ac:dyDescent="0.2">
      <c r="A2373">
        <v>2372</v>
      </c>
      <c r="B2373" s="626">
        <v>0</v>
      </c>
      <c r="C2373" s="626">
        <v>1000000</v>
      </c>
      <c r="D2373" s="626">
        <v>0</v>
      </c>
    </row>
    <row r="2374" spans="1:4" x14ac:dyDescent="0.2">
      <c r="A2374">
        <v>2373</v>
      </c>
      <c r="B2374" s="626">
        <v>0</v>
      </c>
      <c r="C2374" s="626">
        <v>1000000</v>
      </c>
      <c r="D2374" s="626">
        <v>0</v>
      </c>
    </row>
    <row r="2375" spans="1:4" x14ac:dyDescent="0.2">
      <c r="A2375">
        <v>2374</v>
      </c>
      <c r="B2375" s="626">
        <v>0</v>
      </c>
      <c r="C2375" s="626">
        <v>1000000</v>
      </c>
      <c r="D2375" s="626">
        <v>0</v>
      </c>
    </row>
    <row r="2376" spans="1:4" x14ac:dyDescent="0.2">
      <c r="A2376">
        <v>2375</v>
      </c>
      <c r="B2376" s="626">
        <v>0</v>
      </c>
      <c r="C2376" s="626">
        <v>1000000</v>
      </c>
      <c r="D2376" s="626">
        <v>0</v>
      </c>
    </row>
    <row r="2377" spans="1:4" x14ac:dyDescent="0.2">
      <c r="A2377">
        <v>2376</v>
      </c>
      <c r="B2377" s="626">
        <v>0</v>
      </c>
      <c r="C2377" s="626">
        <v>1000000</v>
      </c>
      <c r="D2377" s="626">
        <v>0</v>
      </c>
    </row>
    <row r="2378" spans="1:4" x14ac:dyDescent="0.2">
      <c r="A2378">
        <v>2377</v>
      </c>
      <c r="B2378" s="626">
        <v>0</v>
      </c>
      <c r="C2378" s="626">
        <v>1000000</v>
      </c>
      <c r="D2378" s="626">
        <v>0</v>
      </c>
    </row>
    <row r="2379" spans="1:4" x14ac:dyDescent="0.2">
      <c r="A2379">
        <v>2378</v>
      </c>
      <c r="B2379" s="626">
        <v>0</v>
      </c>
      <c r="C2379" s="626">
        <v>1000000</v>
      </c>
      <c r="D2379" s="626">
        <v>0</v>
      </c>
    </row>
    <row r="2380" spans="1:4" x14ac:dyDescent="0.2">
      <c r="A2380">
        <v>2379</v>
      </c>
      <c r="B2380" s="626">
        <v>0</v>
      </c>
      <c r="C2380" s="626">
        <v>1000000</v>
      </c>
      <c r="D2380" s="626">
        <v>0</v>
      </c>
    </row>
    <row r="2381" spans="1:4" x14ac:dyDescent="0.2">
      <c r="A2381">
        <v>2380</v>
      </c>
      <c r="B2381" s="626">
        <v>0</v>
      </c>
      <c r="C2381" s="626">
        <v>1000000</v>
      </c>
      <c r="D2381" s="626">
        <v>0</v>
      </c>
    </row>
    <row r="2382" spans="1:4" x14ac:dyDescent="0.2">
      <c r="A2382">
        <v>2381</v>
      </c>
      <c r="B2382" s="626">
        <v>0</v>
      </c>
      <c r="C2382" s="626">
        <v>1000000</v>
      </c>
      <c r="D2382" s="626">
        <v>0</v>
      </c>
    </row>
    <row r="2383" spans="1:4" x14ac:dyDescent="0.2">
      <c r="A2383">
        <v>2382</v>
      </c>
      <c r="B2383" s="626">
        <v>0</v>
      </c>
      <c r="C2383" s="626">
        <v>1000000</v>
      </c>
      <c r="D2383" s="626">
        <v>0</v>
      </c>
    </row>
    <row r="2384" spans="1:4" x14ac:dyDescent="0.2">
      <c r="A2384">
        <v>2383</v>
      </c>
      <c r="B2384" s="626">
        <v>0</v>
      </c>
      <c r="C2384" s="626">
        <v>1000000</v>
      </c>
      <c r="D2384" s="626">
        <v>0</v>
      </c>
    </row>
    <row r="2385" spans="1:4" x14ac:dyDescent="0.2">
      <c r="A2385">
        <v>2384</v>
      </c>
      <c r="B2385" s="626">
        <v>0</v>
      </c>
      <c r="C2385" s="626">
        <v>1000000</v>
      </c>
      <c r="D2385" s="626">
        <v>0</v>
      </c>
    </row>
    <row r="2386" spans="1:4" x14ac:dyDescent="0.2">
      <c r="A2386">
        <v>2385</v>
      </c>
      <c r="B2386" s="626">
        <v>0</v>
      </c>
      <c r="C2386" s="626">
        <v>1000000</v>
      </c>
      <c r="D2386" s="626">
        <v>0</v>
      </c>
    </row>
    <row r="2387" spans="1:4" x14ac:dyDescent="0.2">
      <c r="A2387">
        <v>2386</v>
      </c>
      <c r="B2387" s="626">
        <v>0</v>
      </c>
      <c r="C2387" s="626">
        <v>1000000</v>
      </c>
      <c r="D2387" s="626">
        <v>0</v>
      </c>
    </row>
    <row r="2388" spans="1:4" x14ac:dyDescent="0.2">
      <c r="A2388">
        <v>2387</v>
      </c>
      <c r="B2388" s="626">
        <v>0</v>
      </c>
      <c r="C2388" s="626">
        <v>1000000</v>
      </c>
      <c r="D2388" s="626">
        <v>0</v>
      </c>
    </row>
    <row r="2389" spans="1:4" x14ac:dyDescent="0.2">
      <c r="A2389">
        <v>2388</v>
      </c>
      <c r="B2389" s="626">
        <v>0</v>
      </c>
      <c r="C2389" s="626">
        <v>1000000</v>
      </c>
      <c r="D2389" s="626">
        <v>0</v>
      </c>
    </row>
    <row r="2390" spans="1:4" x14ac:dyDescent="0.2">
      <c r="A2390">
        <v>2389</v>
      </c>
      <c r="B2390" s="626">
        <v>0</v>
      </c>
      <c r="C2390" s="626">
        <v>1000000</v>
      </c>
      <c r="D2390" s="626">
        <v>0</v>
      </c>
    </row>
    <row r="2391" spans="1:4" x14ac:dyDescent="0.2">
      <c r="A2391">
        <v>2390</v>
      </c>
      <c r="B2391" s="626">
        <v>0</v>
      </c>
      <c r="C2391" s="626">
        <v>1000000</v>
      </c>
      <c r="D2391" s="626">
        <v>0</v>
      </c>
    </row>
    <row r="2392" spans="1:4" x14ac:dyDescent="0.2">
      <c r="A2392">
        <v>2391</v>
      </c>
      <c r="B2392" s="626">
        <v>0</v>
      </c>
      <c r="C2392" s="626">
        <v>1000000</v>
      </c>
      <c r="D2392" s="626">
        <v>0</v>
      </c>
    </row>
    <row r="2393" spans="1:4" x14ac:dyDescent="0.2">
      <c r="A2393">
        <v>2392</v>
      </c>
      <c r="B2393" s="626">
        <v>0</v>
      </c>
      <c r="C2393" s="626">
        <v>1000000</v>
      </c>
      <c r="D2393" s="626">
        <v>0</v>
      </c>
    </row>
    <row r="2394" spans="1:4" x14ac:dyDescent="0.2">
      <c r="A2394">
        <v>2393</v>
      </c>
      <c r="B2394" s="626">
        <v>0</v>
      </c>
      <c r="C2394" s="626">
        <v>1000000</v>
      </c>
      <c r="D2394" s="626">
        <v>0</v>
      </c>
    </row>
    <row r="2395" spans="1:4" x14ac:dyDescent="0.2">
      <c r="A2395">
        <v>2394</v>
      </c>
      <c r="B2395" s="626">
        <v>0</v>
      </c>
      <c r="C2395" s="626">
        <v>1000000</v>
      </c>
      <c r="D2395" s="626">
        <v>0</v>
      </c>
    </row>
    <row r="2396" spans="1:4" x14ac:dyDescent="0.2">
      <c r="A2396">
        <v>2395</v>
      </c>
      <c r="B2396" s="626">
        <v>0</v>
      </c>
      <c r="C2396" s="626">
        <v>1000000</v>
      </c>
      <c r="D2396" s="626">
        <v>0</v>
      </c>
    </row>
    <row r="2397" spans="1:4" x14ac:dyDescent="0.2">
      <c r="A2397">
        <v>2396</v>
      </c>
      <c r="B2397" s="626">
        <v>0</v>
      </c>
      <c r="C2397" s="626">
        <v>1000000</v>
      </c>
      <c r="D2397" s="626">
        <v>0</v>
      </c>
    </row>
    <row r="2398" spans="1:4" x14ac:dyDescent="0.2">
      <c r="A2398">
        <v>2397</v>
      </c>
      <c r="B2398" s="626">
        <v>0</v>
      </c>
      <c r="C2398" s="626">
        <v>1000000</v>
      </c>
      <c r="D2398" s="626">
        <v>0</v>
      </c>
    </row>
    <row r="2399" spans="1:4" x14ac:dyDescent="0.2">
      <c r="A2399">
        <v>2398</v>
      </c>
      <c r="B2399" s="626">
        <v>0</v>
      </c>
      <c r="C2399" s="626">
        <v>1000000</v>
      </c>
      <c r="D2399" s="626">
        <v>0</v>
      </c>
    </row>
    <row r="2400" spans="1:4" x14ac:dyDescent="0.2">
      <c r="A2400">
        <v>2399</v>
      </c>
      <c r="B2400" s="626">
        <v>0</v>
      </c>
      <c r="C2400" s="626">
        <v>1000000</v>
      </c>
      <c r="D2400" s="626">
        <v>0</v>
      </c>
    </row>
    <row r="2401" spans="1:4" x14ac:dyDescent="0.2">
      <c r="A2401">
        <v>2400</v>
      </c>
      <c r="B2401" s="626">
        <v>0</v>
      </c>
      <c r="C2401" s="626">
        <v>1000000</v>
      </c>
      <c r="D2401" s="626">
        <v>0</v>
      </c>
    </row>
    <row r="2402" spans="1:4" x14ac:dyDescent="0.2">
      <c r="A2402">
        <v>2401</v>
      </c>
      <c r="B2402" s="626">
        <v>0</v>
      </c>
      <c r="C2402" s="626">
        <v>1000000</v>
      </c>
      <c r="D2402" s="626">
        <v>0</v>
      </c>
    </row>
    <row r="2403" spans="1:4" x14ac:dyDescent="0.2">
      <c r="A2403">
        <v>2402</v>
      </c>
      <c r="B2403" s="626">
        <v>0</v>
      </c>
      <c r="C2403" s="626">
        <v>1000000</v>
      </c>
      <c r="D2403" s="626">
        <v>0</v>
      </c>
    </row>
    <row r="2404" spans="1:4" x14ac:dyDescent="0.2">
      <c r="A2404">
        <v>2403</v>
      </c>
      <c r="B2404" s="626">
        <v>0</v>
      </c>
      <c r="C2404" s="626">
        <v>1000000</v>
      </c>
      <c r="D2404" s="626">
        <v>0</v>
      </c>
    </row>
    <row r="2405" spans="1:4" x14ac:dyDescent="0.2">
      <c r="A2405">
        <v>2404</v>
      </c>
      <c r="B2405" s="626">
        <v>0</v>
      </c>
      <c r="C2405" s="626">
        <v>1000000</v>
      </c>
      <c r="D2405" s="626">
        <v>0</v>
      </c>
    </row>
    <row r="2406" spans="1:4" x14ac:dyDescent="0.2">
      <c r="A2406">
        <v>2405</v>
      </c>
      <c r="B2406" s="626">
        <v>0</v>
      </c>
      <c r="C2406" s="626">
        <v>1000000</v>
      </c>
      <c r="D2406" s="626">
        <v>0</v>
      </c>
    </row>
    <row r="2407" spans="1:4" x14ac:dyDescent="0.2">
      <c r="A2407">
        <v>2406</v>
      </c>
      <c r="B2407" s="626">
        <v>0</v>
      </c>
      <c r="C2407" s="626">
        <v>1000000</v>
      </c>
      <c r="D2407" s="626">
        <v>0</v>
      </c>
    </row>
    <row r="2408" spans="1:4" x14ac:dyDescent="0.2">
      <c r="A2408">
        <v>2407</v>
      </c>
      <c r="B2408" s="626">
        <v>0</v>
      </c>
      <c r="C2408" s="626">
        <v>1000000</v>
      </c>
      <c r="D2408" s="626">
        <v>0</v>
      </c>
    </row>
    <row r="2409" spans="1:4" x14ac:dyDescent="0.2">
      <c r="A2409">
        <v>2408</v>
      </c>
      <c r="B2409" s="626">
        <v>0</v>
      </c>
      <c r="C2409" s="626">
        <v>1000000</v>
      </c>
      <c r="D2409" s="626">
        <v>0</v>
      </c>
    </row>
    <row r="2410" spans="1:4" x14ac:dyDescent="0.2">
      <c r="A2410">
        <v>2409</v>
      </c>
      <c r="B2410" s="626">
        <v>0</v>
      </c>
      <c r="C2410" s="626">
        <v>1000000</v>
      </c>
      <c r="D2410" s="626">
        <v>0</v>
      </c>
    </row>
    <row r="2411" spans="1:4" x14ac:dyDescent="0.2">
      <c r="A2411">
        <v>2410</v>
      </c>
      <c r="B2411" s="626">
        <v>0</v>
      </c>
      <c r="C2411" s="626">
        <v>1000000</v>
      </c>
      <c r="D2411" s="626">
        <v>0</v>
      </c>
    </row>
    <row r="2412" spans="1:4" x14ac:dyDescent="0.2">
      <c r="A2412">
        <v>2411</v>
      </c>
      <c r="B2412" s="626">
        <v>0</v>
      </c>
      <c r="C2412" s="626">
        <v>1000000</v>
      </c>
      <c r="D2412" s="626">
        <v>0</v>
      </c>
    </row>
    <row r="2413" spans="1:4" x14ac:dyDescent="0.2">
      <c r="A2413">
        <v>2412</v>
      </c>
      <c r="B2413" s="626">
        <v>0</v>
      </c>
      <c r="C2413" s="626">
        <v>1000000</v>
      </c>
      <c r="D2413" s="626">
        <v>0</v>
      </c>
    </row>
    <row r="2414" spans="1:4" x14ac:dyDescent="0.2">
      <c r="A2414">
        <v>2413</v>
      </c>
      <c r="B2414" s="626">
        <v>0</v>
      </c>
      <c r="C2414" s="626">
        <v>1000000</v>
      </c>
      <c r="D2414" s="626">
        <v>0</v>
      </c>
    </row>
    <row r="2415" spans="1:4" x14ac:dyDescent="0.2">
      <c r="A2415">
        <v>2414</v>
      </c>
      <c r="B2415" s="626">
        <v>0</v>
      </c>
      <c r="C2415" s="626">
        <v>1000000</v>
      </c>
      <c r="D2415" s="626">
        <v>0</v>
      </c>
    </row>
    <row r="2416" spans="1:4" x14ac:dyDescent="0.2">
      <c r="A2416">
        <v>2415</v>
      </c>
      <c r="B2416" s="626">
        <v>0</v>
      </c>
      <c r="C2416" s="626">
        <v>1000000</v>
      </c>
      <c r="D2416" s="626">
        <v>0</v>
      </c>
    </row>
    <row r="2417" spans="1:4" x14ac:dyDescent="0.2">
      <c r="A2417">
        <v>2416</v>
      </c>
      <c r="B2417" s="626">
        <v>0</v>
      </c>
      <c r="C2417" s="626">
        <v>1000000</v>
      </c>
      <c r="D2417" s="626">
        <v>0</v>
      </c>
    </row>
    <row r="2418" spans="1:4" x14ac:dyDescent="0.2">
      <c r="A2418">
        <v>2417</v>
      </c>
      <c r="B2418" s="626">
        <v>0</v>
      </c>
      <c r="C2418" s="626">
        <v>1000000</v>
      </c>
      <c r="D2418" s="626">
        <v>0</v>
      </c>
    </row>
    <row r="2419" spans="1:4" x14ac:dyDescent="0.2">
      <c r="A2419">
        <v>2418</v>
      </c>
      <c r="B2419" s="626">
        <v>0</v>
      </c>
      <c r="C2419" s="626">
        <v>1000000</v>
      </c>
      <c r="D2419" s="626">
        <v>0</v>
      </c>
    </row>
    <row r="2420" spans="1:4" x14ac:dyDescent="0.2">
      <c r="A2420">
        <v>2419</v>
      </c>
      <c r="B2420" s="626">
        <v>0</v>
      </c>
      <c r="C2420" s="626">
        <v>1000000</v>
      </c>
      <c r="D2420" s="626">
        <v>0</v>
      </c>
    </row>
    <row r="2421" spans="1:4" x14ac:dyDescent="0.2">
      <c r="A2421">
        <v>2420</v>
      </c>
      <c r="B2421" s="626">
        <v>0</v>
      </c>
      <c r="C2421" s="626">
        <v>1000000</v>
      </c>
      <c r="D2421" s="626">
        <v>0</v>
      </c>
    </row>
    <row r="2422" spans="1:4" x14ac:dyDescent="0.2">
      <c r="A2422">
        <v>2421</v>
      </c>
      <c r="B2422" s="626">
        <v>0</v>
      </c>
      <c r="C2422" s="626">
        <v>1000000</v>
      </c>
      <c r="D2422" s="626">
        <v>0</v>
      </c>
    </row>
    <row r="2423" spans="1:4" x14ac:dyDescent="0.2">
      <c r="A2423">
        <v>2422</v>
      </c>
      <c r="B2423" s="626">
        <v>0</v>
      </c>
      <c r="C2423" s="626">
        <v>1000000</v>
      </c>
      <c r="D2423" s="626">
        <v>0</v>
      </c>
    </row>
    <row r="2424" spans="1:4" x14ac:dyDescent="0.2">
      <c r="A2424">
        <v>2423</v>
      </c>
      <c r="B2424" s="626">
        <v>0</v>
      </c>
      <c r="C2424" s="626">
        <v>1000000</v>
      </c>
      <c r="D2424" s="626">
        <v>0</v>
      </c>
    </row>
    <row r="2425" spans="1:4" x14ac:dyDescent="0.2">
      <c r="A2425">
        <v>2424</v>
      </c>
      <c r="B2425" s="626">
        <v>0</v>
      </c>
      <c r="C2425" s="626">
        <v>1000000</v>
      </c>
      <c r="D2425" s="626">
        <v>0</v>
      </c>
    </row>
    <row r="2426" spans="1:4" x14ac:dyDescent="0.2">
      <c r="A2426">
        <v>2425</v>
      </c>
      <c r="B2426" s="626">
        <v>0</v>
      </c>
      <c r="C2426" s="626">
        <v>1000000</v>
      </c>
      <c r="D2426" s="626">
        <v>0</v>
      </c>
    </row>
    <row r="2427" spans="1:4" x14ac:dyDescent="0.2">
      <c r="A2427">
        <v>2426</v>
      </c>
      <c r="B2427" s="626">
        <v>0</v>
      </c>
      <c r="C2427" s="626">
        <v>1000000</v>
      </c>
      <c r="D2427" s="626">
        <v>0</v>
      </c>
    </row>
    <row r="2428" spans="1:4" x14ac:dyDescent="0.2">
      <c r="A2428">
        <v>2427</v>
      </c>
      <c r="B2428" s="626">
        <v>0</v>
      </c>
      <c r="C2428" s="626">
        <v>1000000</v>
      </c>
      <c r="D2428" s="626">
        <v>0</v>
      </c>
    </row>
    <row r="2429" spans="1:4" x14ac:dyDescent="0.2">
      <c r="A2429">
        <v>2428</v>
      </c>
      <c r="B2429" s="626">
        <v>0</v>
      </c>
      <c r="C2429" s="626">
        <v>1000000</v>
      </c>
      <c r="D2429" s="626">
        <v>0</v>
      </c>
    </row>
    <row r="2430" spans="1:4" x14ac:dyDescent="0.2">
      <c r="A2430">
        <v>2429</v>
      </c>
      <c r="B2430" s="626">
        <v>0</v>
      </c>
      <c r="C2430" s="626">
        <v>1000000</v>
      </c>
      <c r="D2430" s="626">
        <v>0</v>
      </c>
    </row>
    <row r="2431" spans="1:4" x14ac:dyDescent="0.2">
      <c r="A2431">
        <v>2430</v>
      </c>
      <c r="B2431" s="626">
        <v>0</v>
      </c>
      <c r="C2431" s="626">
        <v>1000000</v>
      </c>
      <c r="D2431" s="626">
        <v>0</v>
      </c>
    </row>
    <row r="2432" spans="1:4" x14ac:dyDescent="0.2">
      <c r="A2432">
        <v>2431</v>
      </c>
      <c r="B2432" s="626">
        <v>0</v>
      </c>
      <c r="C2432" s="626">
        <v>1000000</v>
      </c>
      <c r="D2432" s="626">
        <v>0</v>
      </c>
    </row>
    <row r="2433" spans="1:4" x14ac:dyDescent="0.2">
      <c r="A2433">
        <v>2432</v>
      </c>
      <c r="B2433" s="626">
        <v>0</v>
      </c>
      <c r="C2433" s="626">
        <v>1000000</v>
      </c>
      <c r="D2433" s="626">
        <v>0</v>
      </c>
    </row>
    <row r="2434" spans="1:4" x14ac:dyDescent="0.2">
      <c r="A2434">
        <v>2433</v>
      </c>
      <c r="B2434" s="626">
        <v>0</v>
      </c>
      <c r="C2434" s="626">
        <v>1000000</v>
      </c>
      <c r="D2434" s="626">
        <v>0</v>
      </c>
    </row>
    <row r="2435" spans="1:4" x14ac:dyDescent="0.2">
      <c r="A2435">
        <v>2434</v>
      </c>
      <c r="B2435" s="626">
        <v>0</v>
      </c>
      <c r="C2435" s="626">
        <v>1000000</v>
      </c>
      <c r="D2435" s="626">
        <v>0</v>
      </c>
    </row>
    <row r="2436" spans="1:4" x14ac:dyDescent="0.2">
      <c r="A2436">
        <v>2435</v>
      </c>
      <c r="B2436" s="626">
        <v>0</v>
      </c>
      <c r="C2436" s="626">
        <v>1000000</v>
      </c>
      <c r="D2436" s="626">
        <v>0</v>
      </c>
    </row>
    <row r="2437" spans="1:4" x14ac:dyDescent="0.2">
      <c r="A2437">
        <v>2436</v>
      </c>
      <c r="B2437" s="626">
        <v>0</v>
      </c>
      <c r="C2437" s="626">
        <v>1000000</v>
      </c>
      <c r="D2437" s="626">
        <v>0</v>
      </c>
    </row>
    <row r="2438" spans="1:4" x14ac:dyDescent="0.2">
      <c r="A2438">
        <v>2437</v>
      </c>
      <c r="B2438" s="626">
        <v>0</v>
      </c>
      <c r="C2438" s="626">
        <v>1000000</v>
      </c>
      <c r="D2438" s="626">
        <v>0</v>
      </c>
    </row>
    <row r="2439" spans="1:4" x14ac:dyDescent="0.2">
      <c r="A2439">
        <v>2438</v>
      </c>
      <c r="B2439" s="626">
        <v>0</v>
      </c>
      <c r="C2439" s="626">
        <v>1000000</v>
      </c>
      <c r="D2439" s="626">
        <v>0</v>
      </c>
    </row>
    <row r="2440" spans="1:4" x14ac:dyDescent="0.2">
      <c r="A2440">
        <v>2439</v>
      </c>
      <c r="B2440" s="626">
        <v>0</v>
      </c>
      <c r="C2440" s="626">
        <v>1000000</v>
      </c>
      <c r="D2440" s="626">
        <v>0</v>
      </c>
    </row>
    <row r="2441" spans="1:4" x14ac:dyDescent="0.2">
      <c r="A2441">
        <v>2440</v>
      </c>
      <c r="B2441" s="626">
        <v>0</v>
      </c>
      <c r="C2441" s="626">
        <v>1000000</v>
      </c>
      <c r="D2441" s="626">
        <v>0</v>
      </c>
    </row>
    <row r="2442" spans="1:4" x14ac:dyDescent="0.2">
      <c r="A2442">
        <v>2441</v>
      </c>
      <c r="B2442" s="626">
        <v>0</v>
      </c>
      <c r="C2442" s="626">
        <v>1000000</v>
      </c>
      <c r="D2442" s="626">
        <v>0</v>
      </c>
    </row>
    <row r="2443" spans="1:4" x14ac:dyDescent="0.2">
      <c r="A2443">
        <v>2442</v>
      </c>
      <c r="B2443" s="626">
        <v>0</v>
      </c>
      <c r="C2443" s="626">
        <v>1000000</v>
      </c>
      <c r="D2443" s="626">
        <v>0</v>
      </c>
    </row>
    <row r="2444" spans="1:4" x14ac:dyDescent="0.2">
      <c r="A2444">
        <v>2443</v>
      </c>
      <c r="B2444" s="626">
        <v>0</v>
      </c>
      <c r="C2444" s="626">
        <v>1000000</v>
      </c>
      <c r="D2444" s="626">
        <v>0</v>
      </c>
    </row>
    <row r="2445" spans="1:4" x14ac:dyDescent="0.2">
      <c r="A2445">
        <v>2444</v>
      </c>
      <c r="B2445" s="626">
        <v>0</v>
      </c>
      <c r="C2445" s="626">
        <v>1000000</v>
      </c>
      <c r="D2445" s="626">
        <v>0</v>
      </c>
    </row>
    <row r="2446" spans="1:4" x14ac:dyDescent="0.2">
      <c r="A2446">
        <v>2445</v>
      </c>
      <c r="B2446" s="626">
        <v>0</v>
      </c>
      <c r="C2446" s="626">
        <v>1000000</v>
      </c>
      <c r="D2446" s="626">
        <v>0</v>
      </c>
    </row>
    <row r="2447" spans="1:4" x14ac:dyDescent="0.2">
      <c r="A2447">
        <v>2446</v>
      </c>
      <c r="B2447" s="626">
        <v>0</v>
      </c>
      <c r="C2447" s="626">
        <v>1000000</v>
      </c>
      <c r="D2447" s="626">
        <v>0</v>
      </c>
    </row>
    <row r="2448" spans="1:4" x14ac:dyDescent="0.2">
      <c r="A2448">
        <v>2447</v>
      </c>
      <c r="B2448" s="626">
        <v>0</v>
      </c>
      <c r="C2448" s="626">
        <v>1000000</v>
      </c>
      <c r="D2448" s="626">
        <v>0</v>
      </c>
    </row>
    <row r="2449" spans="1:4" x14ac:dyDescent="0.2">
      <c r="A2449">
        <v>2448</v>
      </c>
      <c r="B2449" s="626">
        <v>0</v>
      </c>
      <c r="C2449" s="626">
        <v>1000000</v>
      </c>
      <c r="D2449" s="626">
        <v>0</v>
      </c>
    </row>
    <row r="2450" spans="1:4" x14ac:dyDescent="0.2">
      <c r="A2450">
        <v>2449</v>
      </c>
      <c r="B2450" s="626">
        <v>0</v>
      </c>
      <c r="C2450" s="626">
        <v>1000000</v>
      </c>
      <c r="D2450" s="626">
        <v>0</v>
      </c>
    </row>
    <row r="2451" spans="1:4" x14ac:dyDescent="0.2">
      <c r="A2451">
        <v>2450</v>
      </c>
      <c r="B2451" s="626">
        <v>0</v>
      </c>
      <c r="C2451" s="626">
        <v>1000000</v>
      </c>
      <c r="D2451" s="626">
        <v>0</v>
      </c>
    </row>
    <row r="2452" spans="1:4" x14ac:dyDescent="0.2">
      <c r="A2452">
        <v>2451</v>
      </c>
      <c r="B2452" s="626">
        <v>0</v>
      </c>
      <c r="C2452" s="626">
        <v>1000000</v>
      </c>
      <c r="D2452" s="626">
        <v>0</v>
      </c>
    </row>
    <row r="2453" spans="1:4" x14ac:dyDescent="0.2">
      <c r="A2453">
        <v>2452</v>
      </c>
      <c r="B2453" s="626">
        <v>0</v>
      </c>
      <c r="C2453" s="626">
        <v>1000000</v>
      </c>
      <c r="D2453" s="626">
        <v>0</v>
      </c>
    </row>
    <row r="2454" spans="1:4" x14ac:dyDescent="0.2">
      <c r="A2454">
        <v>2453</v>
      </c>
      <c r="B2454" s="626">
        <v>0</v>
      </c>
      <c r="C2454" s="626">
        <v>1000000</v>
      </c>
      <c r="D2454" s="626">
        <v>0</v>
      </c>
    </row>
    <row r="2455" spans="1:4" x14ac:dyDescent="0.2">
      <c r="A2455">
        <v>2454</v>
      </c>
      <c r="B2455" s="626">
        <v>0</v>
      </c>
      <c r="C2455" s="626">
        <v>1000000</v>
      </c>
      <c r="D2455" s="626">
        <v>0</v>
      </c>
    </row>
    <row r="2456" spans="1:4" x14ac:dyDescent="0.2">
      <c r="A2456">
        <v>2455</v>
      </c>
      <c r="B2456" s="626">
        <v>0</v>
      </c>
      <c r="C2456" s="626">
        <v>1000000</v>
      </c>
      <c r="D2456" s="626">
        <v>0</v>
      </c>
    </row>
    <row r="2457" spans="1:4" x14ac:dyDescent="0.2">
      <c r="A2457">
        <v>2456</v>
      </c>
      <c r="B2457" s="626">
        <v>0</v>
      </c>
      <c r="C2457" s="626">
        <v>1000000</v>
      </c>
      <c r="D2457" s="626">
        <v>0</v>
      </c>
    </row>
    <row r="2458" spans="1:4" x14ac:dyDescent="0.2">
      <c r="A2458">
        <v>2457</v>
      </c>
      <c r="B2458" s="626">
        <v>0</v>
      </c>
      <c r="C2458" s="626">
        <v>1000000</v>
      </c>
      <c r="D2458" s="626">
        <v>0</v>
      </c>
    </row>
    <row r="2459" spans="1:4" x14ac:dyDescent="0.2">
      <c r="A2459">
        <v>2458</v>
      </c>
      <c r="B2459" s="626">
        <v>0</v>
      </c>
      <c r="C2459" s="626">
        <v>1000000</v>
      </c>
      <c r="D2459" s="626">
        <v>0</v>
      </c>
    </row>
    <row r="2460" spans="1:4" x14ac:dyDescent="0.2">
      <c r="A2460">
        <v>2459</v>
      </c>
      <c r="B2460" s="626">
        <v>0</v>
      </c>
      <c r="C2460" s="626">
        <v>1000000</v>
      </c>
      <c r="D2460" s="626">
        <v>0</v>
      </c>
    </row>
    <row r="2461" spans="1:4" x14ac:dyDescent="0.2">
      <c r="A2461">
        <v>2460</v>
      </c>
      <c r="B2461" s="626">
        <v>0</v>
      </c>
      <c r="C2461" s="626">
        <v>1000000</v>
      </c>
      <c r="D2461" s="626">
        <v>0</v>
      </c>
    </row>
    <row r="2462" spans="1:4" x14ac:dyDescent="0.2">
      <c r="A2462">
        <v>2461</v>
      </c>
      <c r="B2462" s="626">
        <v>0</v>
      </c>
      <c r="C2462" s="626">
        <v>1000000</v>
      </c>
      <c r="D2462" s="626">
        <v>0</v>
      </c>
    </row>
    <row r="2463" spans="1:4" x14ac:dyDescent="0.2">
      <c r="A2463">
        <v>2462</v>
      </c>
      <c r="B2463" s="626">
        <v>0</v>
      </c>
      <c r="C2463" s="626">
        <v>1000000</v>
      </c>
      <c r="D2463" s="626">
        <v>0</v>
      </c>
    </row>
    <row r="2464" spans="1:4" x14ac:dyDescent="0.2">
      <c r="A2464">
        <v>2463</v>
      </c>
      <c r="B2464" s="626">
        <v>0</v>
      </c>
      <c r="C2464" s="626">
        <v>1000000</v>
      </c>
      <c r="D2464" s="626">
        <v>0</v>
      </c>
    </row>
    <row r="2465" spans="1:4" x14ac:dyDescent="0.2">
      <c r="A2465">
        <v>2464</v>
      </c>
      <c r="B2465" s="626">
        <v>0</v>
      </c>
      <c r="C2465" s="626">
        <v>1000000</v>
      </c>
      <c r="D2465" s="626">
        <v>0</v>
      </c>
    </row>
    <row r="2466" spans="1:4" x14ac:dyDescent="0.2">
      <c r="A2466">
        <v>2465</v>
      </c>
      <c r="B2466" s="626">
        <v>0</v>
      </c>
      <c r="C2466" s="626">
        <v>1000000</v>
      </c>
      <c r="D2466" s="626">
        <v>0</v>
      </c>
    </row>
    <row r="2467" spans="1:4" x14ac:dyDescent="0.2">
      <c r="A2467">
        <v>2466</v>
      </c>
      <c r="B2467" s="626">
        <v>0</v>
      </c>
      <c r="C2467" s="626">
        <v>1000000</v>
      </c>
      <c r="D2467" s="626">
        <v>0</v>
      </c>
    </row>
    <row r="2468" spans="1:4" x14ac:dyDescent="0.2">
      <c r="A2468">
        <v>2467</v>
      </c>
      <c r="B2468" s="626">
        <v>0</v>
      </c>
      <c r="C2468" s="626">
        <v>1000000</v>
      </c>
      <c r="D2468" s="626">
        <v>0</v>
      </c>
    </row>
    <row r="2469" spans="1:4" x14ac:dyDescent="0.2">
      <c r="A2469">
        <v>2468</v>
      </c>
      <c r="B2469" s="626">
        <v>0</v>
      </c>
      <c r="C2469" s="626">
        <v>1000000</v>
      </c>
      <c r="D2469" s="626">
        <v>0</v>
      </c>
    </row>
    <row r="2470" spans="1:4" x14ac:dyDescent="0.2">
      <c r="A2470">
        <v>2469</v>
      </c>
      <c r="B2470" s="626">
        <v>0</v>
      </c>
      <c r="C2470" s="626">
        <v>1000000</v>
      </c>
      <c r="D2470" s="626">
        <v>0</v>
      </c>
    </row>
    <row r="2471" spans="1:4" x14ac:dyDescent="0.2">
      <c r="A2471">
        <v>2470</v>
      </c>
      <c r="B2471" s="626">
        <v>0</v>
      </c>
      <c r="C2471" s="626">
        <v>1000000</v>
      </c>
      <c r="D2471" s="626">
        <v>0</v>
      </c>
    </row>
    <row r="2472" spans="1:4" x14ac:dyDescent="0.2">
      <c r="A2472">
        <v>2471</v>
      </c>
      <c r="B2472" s="626">
        <v>0</v>
      </c>
      <c r="C2472" s="626">
        <v>1000000</v>
      </c>
      <c r="D2472" s="626">
        <v>0</v>
      </c>
    </row>
    <row r="2473" spans="1:4" x14ac:dyDescent="0.2">
      <c r="A2473">
        <v>2472</v>
      </c>
      <c r="B2473" s="626">
        <v>0</v>
      </c>
      <c r="C2473" s="626">
        <v>1000000</v>
      </c>
      <c r="D2473" s="626">
        <v>0</v>
      </c>
    </row>
    <row r="2474" spans="1:4" x14ac:dyDescent="0.2">
      <c r="A2474">
        <v>2473</v>
      </c>
      <c r="B2474" s="626">
        <v>0</v>
      </c>
      <c r="C2474" s="626">
        <v>1000000</v>
      </c>
      <c r="D2474" s="626">
        <v>0</v>
      </c>
    </row>
    <row r="2475" spans="1:4" x14ac:dyDescent="0.2">
      <c r="A2475">
        <v>2474</v>
      </c>
      <c r="B2475" s="626">
        <v>0</v>
      </c>
      <c r="C2475" s="626">
        <v>1000000</v>
      </c>
      <c r="D2475" s="626">
        <v>0</v>
      </c>
    </row>
    <row r="2476" spans="1:4" x14ac:dyDescent="0.2">
      <c r="A2476">
        <v>2475</v>
      </c>
      <c r="B2476" s="626">
        <v>0</v>
      </c>
      <c r="C2476" s="626">
        <v>1000000</v>
      </c>
      <c r="D2476" s="626">
        <v>0</v>
      </c>
    </row>
    <row r="2477" spans="1:4" x14ac:dyDescent="0.2">
      <c r="A2477">
        <v>2476</v>
      </c>
      <c r="B2477" s="626">
        <v>0</v>
      </c>
      <c r="C2477" s="626">
        <v>1000000</v>
      </c>
      <c r="D2477" s="626">
        <v>0</v>
      </c>
    </row>
    <row r="2478" spans="1:4" x14ac:dyDescent="0.2">
      <c r="A2478">
        <v>2477</v>
      </c>
      <c r="B2478" s="626">
        <v>0</v>
      </c>
      <c r="C2478" s="626">
        <v>1000000</v>
      </c>
      <c r="D2478" s="626">
        <v>0</v>
      </c>
    </row>
    <row r="2479" spans="1:4" x14ac:dyDescent="0.2">
      <c r="A2479">
        <v>2478</v>
      </c>
      <c r="B2479" s="626">
        <v>0</v>
      </c>
      <c r="C2479" s="626">
        <v>1000000</v>
      </c>
      <c r="D2479" s="626">
        <v>0</v>
      </c>
    </row>
    <row r="2480" spans="1:4" x14ac:dyDescent="0.2">
      <c r="A2480">
        <v>2479</v>
      </c>
      <c r="B2480" s="626">
        <v>0</v>
      </c>
      <c r="C2480" s="626">
        <v>1000000</v>
      </c>
      <c r="D2480" s="626">
        <v>0</v>
      </c>
    </row>
    <row r="2481" spans="1:4" x14ac:dyDescent="0.2">
      <c r="A2481">
        <v>2480</v>
      </c>
      <c r="B2481" s="626">
        <v>0</v>
      </c>
      <c r="C2481" s="626">
        <v>1000000</v>
      </c>
      <c r="D2481" s="626">
        <v>0</v>
      </c>
    </row>
    <row r="2482" spans="1:4" x14ac:dyDescent="0.2">
      <c r="A2482">
        <v>2481</v>
      </c>
      <c r="B2482" s="626">
        <v>0</v>
      </c>
      <c r="C2482" s="626">
        <v>1000000</v>
      </c>
      <c r="D2482" s="626">
        <v>0</v>
      </c>
    </row>
    <row r="2483" spans="1:4" x14ac:dyDescent="0.2">
      <c r="A2483">
        <v>2482</v>
      </c>
      <c r="B2483" s="626">
        <v>0</v>
      </c>
      <c r="C2483" s="626">
        <v>1000000</v>
      </c>
      <c r="D2483" s="626">
        <v>0</v>
      </c>
    </row>
    <row r="2484" spans="1:4" x14ac:dyDescent="0.2">
      <c r="A2484">
        <v>2483</v>
      </c>
      <c r="B2484" s="626">
        <v>0</v>
      </c>
      <c r="C2484" s="626">
        <v>1000000</v>
      </c>
      <c r="D2484" s="626">
        <v>0</v>
      </c>
    </row>
    <row r="2485" spans="1:4" x14ac:dyDescent="0.2">
      <c r="A2485">
        <v>2484</v>
      </c>
      <c r="B2485" s="626">
        <v>0</v>
      </c>
      <c r="C2485" s="626">
        <v>1000000</v>
      </c>
      <c r="D2485" s="626">
        <v>0</v>
      </c>
    </row>
    <row r="2486" spans="1:4" x14ac:dyDescent="0.2">
      <c r="A2486">
        <v>2485</v>
      </c>
      <c r="B2486" s="626">
        <v>0</v>
      </c>
      <c r="C2486" s="626">
        <v>1000000</v>
      </c>
      <c r="D2486" s="626">
        <v>0</v>
      </c>
    </row>
    <row r="2487" spans="1:4" x14ac:dyDescent="0.2">
      <c r="A2487">
        <v>2486</v>
      </c>
      <c r="B2487" s="626">
        <v>0</v>
      </c>
      <c r="C2487" s="626">
        <v>1000000</v>
      </c>
      <c r="D2487" s="626">
        <v>0</v>
      </c>
    </row>
    <row r="2488" spans="1:4" x14ac:dyDescent="0.2">
      <c r="A2488">
        <v>2487</v>
      </c>
      <c r="B2488" s="626">
        <v>0</v>
      </c>
      <c r="C2488" s="626">
        <v>1000000</v>
      </c>
      <c r="D2488" s="626">
        <v>0</v>
      </c>
    </row>
    <row r="2489" spans="1:4" x14ac:dyDescent="0.2">
      <c r="A2489">
        <v>2488</v>
      </c>
      <c r="B2489" s="626">
        <v>0</v>
      </c>
      <c r="C2489" s="626">
        <v>1000000</v>
      </c>
      <c r="D2489" s="626">
        <v>0</v>
      </c>
    </row>
    <row r="2490" spans="1:4" x14ac:dyDescent="0.2">
      <c r="A2490">
        <v>2489</v>
      </c>
      <c r="B2490" s="626">
        <v>0</v>
      </c>
      <c r="C2490" s="626">
        <v>1000000</v>
      </c>
      <c r="D2490" s="626">
        <v>0</v>
      </c>
    </row>
    <row r="2491" spans="1:4" x14ac:dyDescent="0.2">
      <c r="A2491">
        <v>2490</v>
      </c>
      <c r="B2491" s="626">
        <v>0</v>
      </c>
      <c r="C2491" s="626">
        <v>1000000</v>
      </c>
      <c r="D2491" s="626">
        <v>0</v>
      </c>
    </row>
    <row r="2492" spans="1:4" x14ac:dyDescent="0.2">
      <c r="A2492">
        <v>2491</v>
      </c>
      <c r="B2492" s="626">
        <v>0</v>
      </c>
      <c r="C2492" s="626">
        <v>1000000</v>
      </c>
      <c r="D2492" s="626">
        <v>0</v>
      </c>
    </row>
    <row r="2493" spans="1:4" x14ac:dyDescent="0.2">
      <c r="A2493">
        <v>2492</v>
      </c>
      <c r="B2493" s="626">
        <v>0</v>
      </c>
      <c r="C2493" s="626">
        <v>1000000</v>
      </c>
      <c r="D2493" s="626">
        <v>0</v>
      </c>
    </row>
    <row r="2494" spans="1:4" x14ac:dyDescent="0.2">
      <c r="A2494">
        <v>2493</v>
      </c>
      <c r="B2494" s="626">
        <v>0</v>
      </c>
      <c r="C2494" s="626">
        <v>1000000</v>
      </c>
      <c r="D2494" s="626">
        <v>0</v>
      </c>
    </row>
    <row r="2495" spans="1:4" x14ac:dyDescent="0.2">
      <c r="A2495">
        <v>2494</v>
      </c>
      <c r="B2495" s="626">
        <v>0</v>
      </c>
      <c r="C2495" s="626">
        <v>1000000</v>
      </c>
      <c r="D2495" s="626">
        <v>0</v>
      </c>
    </row>
    <row r="2496" spans="1:4" x14ac:dyDescent="0.2">
      <c r="A2496">
        <v>2495</v>
      </c>
      <c r="B2496" s="626">
        <v>0</v>
      </c>
      <c r="C2496" s="626">
        <v>1000000</v>
      </c>
      <c r="D2496" s="626">
        <v>0</v>
      </c>
    </row>
    <row r="2497" spans="1:4" x14ac:dyDescent="0.2">
      <c r="A2497">
        <v>2496</v>
      </c>
      <c r="B2497" s="626">
        <v>0</v>
      </c>
      <c r="C2497" s="626">
        <v>1000000</v>
      </c>
      <c r="D2497" s="626">
        <v>0</v>
      </c>
    </row>
    <row r="2498" spans="1:4" x14ac:dyDescent="0.2">
      <c r="A2498">
        <v>2497</v>
      </c>
      <c r="B2498" s="626">
        <v>0</v>
      </c>
      <c r="C2498" s="626">
        <v>1000000</v>
      </c>
      <c r="D2498" s="626">
        <v>0</v>
      </c>
    </row>
    <row r="2499" spans="1:4" x14ac:dyDescent="0.2">
      <c r="A2499">
        <v>2498</v>
      </c>
      <c r="B2499" s="626">
        <v>0</v>
      </c>
      <c r="C2499" s="626">
        <v>1000000</v>
      </c>
      <c r="D2499" s="626">
        <v>0</v>
      </c>
    </row>
    <row r="2500" spans="1:4" x14ac:dyDescent="0.2">
      <c r="A2500">
        <v>2499</v>
      </c>
      <c r="B2500" s="626">
        <v>0</v>
      </c>
      <c r="C2500" s="626">
        <v>1000000</v>
      </c>
      <c r="D2500" s="626">
        <v>0</v>
      </c>
    </row>
    <row r="2501" spans="1:4" x14ac:dyDescent="0.2">
      <c r="A2501">
        <v>2500</v>
      </c>
      <c r="B2501" s="626">
        <v>0</v>
      </c>
      <c r="C2501" s="626">
        <v>1000000</v>
      </c>
      <c r="D2501" s="626">
        <v>0</v>
      </c>
    </row>
    <row r="2502" spans="1:4" x14ac:dyDescent="0.2">
      <c r="A2502">
        <v>2501</v>
      </c>
      <c r="B2502" s="626">
        <v>0</v>
      </c>
      <c r="C2502" s="626">
        <v>1000000</v>
      </c>
      <c r="D2502" s="626">
        <v>0</v>
      </c>
    </row>
    <row r="2503" spans="1:4" x14ac:dyDescent="0.2">
      <c r="A2503">
        <v>2502</v>
      </c>
      <c r="B2503" s="626">
        <v>0</v>
      </c>
      <c r="C2503" s="626">
        <v>1000000</v>
      </c>
      <c r="D2503" s="626">
        <v>0</v>
      </c>
    </row>
    <row r="2504" spans="1:4" x14ac:dyDescent="0.2">
      <c r="A2504">
        <v>2503</v>
      </c>
      <c r="B2504" s="626">
        <v>0</v>
      </c>
      <c r="C2504" s="626">
        <v>1000000</v>
      </c>
      <c r="D2504" s="626">
        <v>0</v>
      </c>
    </row>
    <row r="2505" spans="1:4" x14ac:dyDescent="0.2">
      <c r="A2505">
        <v>2504</v>
      </c>
      <c r="B2505" s="626">
        <v>0</v>
      </c>
      <c r="C2505" s="626">
        <v>1000000</v>
      </c>
      <c r="D2505" s="626">
        <v>0</v>
      </c>
    </row>
    <row r="2506" spans="1:4" x14ac:dyDescent="0.2">
      <c r="A2506">
        <v>2505</v>
      </c>
      <c r="B2506" s="626">
        <v>0</v>
      </c>
      <c r="C2506" s="626">
        <v>1000000</v>
      </c>
      <c r="D2506" s="626">
        <v>0</v>
      </c>
    </row>
    <row r="2507" spans="1:4" x14ac:dyDescent="0.2">
      <c r="A2507">
        <v>2506</v>
      </c>
      <c r="B2507" s="626">
        <v>0</v>
      </c>
      <c r="C2507" s="626">
        <v>1000000</v>
      </c>
      <c r="D2507" s="626">
        <v>0</v>
      </c>
    </row>
    <row r="2508" spans="1:4" x14ac:dyDescent="0.2">
      <c r="A2508">
        <v>2507</v>
      </c>
      <c r="B2508" s="626">
        <v>0</v>
      </c>
      <c r="C2508" s="626">
        <v>1000000</v>
      </c>
      <c r="D2508" s="626">
        <v>0</v>
      </c>
    </row>
    <row r="2509" spans="1:4" x14ac:dyDescent="0.2">
      <c r="A2509">
        <v>2508</v>
      </c>
      <c r="B2509" s="626">
        <v>0</v>
      </c>
      <c r="C2509" s="626">
        <v>1000000</v>
      </c>
      <c r="D2509" s="626">
        <v>0</v>
      </c>
    </row>
    <row r="2510" spans="1:4" x14ac:dyDescent="0.2">
      <c r="A2510">
        <v>2509</v>
      </c>
      <c r="B2510" s="626">
        <v>0</v>
      </c>
      <c r="C2510" s="626">
        <v>1000000</v>
      </c>
      <c r="D2510" s="626">
        <v>0</v>
      </c>
    </row>
    <row r="2511" spans="1:4" x14ac:dyDescent="0.2">
      <c r="A2511">
        <v>2510</v>
      </c>
      <c r="B2511" s="626">
        <v>0</v>
      </c>
      <c r="C2511" s="626">
        <v>1000000</v>
      </c>
      <c r="D2511" s="626">
        <v>0</v>
      </c>
    </row>
    <row r="2512" spans="1:4" x14ac:dyDescent="0.2">
      <c r="A2512">
        <v>2511</v>
      </c>
      <c r="B2512" s="626">
        <v>0</v>
      </c>
      <c r="C2512" s="626">
        <v>1000000</v>
      </c>
      <c r="D2512" s="626">
        <v>0</v>
      </c>
    </row>
    <row r="2513" spans="1:4" x14ac:dyDescent="0.2">
      <c r="A2513">
        <v>2512</v>
      </c>
      <c r="B2513" s="626">
        <v>0</v>
      </c>
      <c r="C2513" s="626">
        <v>1000000</v>
      </c>
      <c r="D2513" s="626">
        <v>0</v>
      </c>
    </row>
    <row r="2514" spans="1:4" x14ac:dyDescent="0.2">
      <c r="A2514">
        <v>2513</v>
      </c>
      <c r="B2514" s="626">
        <v>0</v>
      </c>
      <c r="C2514" s="626">
        <v>1000000</v>
      </c>
      <c r="D2514" s="626">
        <v>0</v>
      </c>
    </row>
    <row r="2515" spans="1:4" x14ac:dyDescent="0.2">
      <c r="A2515">
        <v>2514</v>
      </c>
      <c r="B2515" s="626">
        <v>0</v>
      </c>
      <c r="C2515" s="626">
        <v>1000000</v>
      </c>
      <c r="D2515" s="626">
        <v>0</v>
      </c>
    </row>
    <row r="2516" spans="1:4" x14ac:dyDescent="0.2">
      <c r="A2516">
        <v>2515</v>
      </c>
      <c r="B2516" s="626">
        <v>0</v>
      </c>
      <c r="C2516" s="626">
        <v>1000000</v>
      </c>
      <c r="D2516" s="626">
        <v>0</v>
      </c>
    </row>
    <row r="2517" spans="1:4" x14ac:dyDescent="0.2">
      <c r="A2517">
        <v>2516</v>
      </c>
      <c r="B2517" s="626">
        <v>0</v>
      </c>
      <c r="C2517" s="626">
        <v>1000000</v>
      </c>
      <c r="D2517" s="626">
        <v>0</v>
      </c>
    </row>
    <row r="2518" spans="1:4" x14ac:dyDescent="0.2">
      <c r="A2518">
        <v>2517</v>
      </c>
      <c r="B2518" s="626">
        <v>0</v>
      </c>
      <c r="C2518" s="626">
        <v>1000000</v>
      </c>
      <c r="D2518" s="626">
        <v>0</v>
      </c>
    </row>
    <row r="2519" spans="1:4" x14ac:dyDescent="0.2">
      <c r="A2519">
        <v>2518</v>
      </c>
      <c r="B2519" s="626">
        <v>0</v>
      </c>
      <c r="C2519" s="626">
        <v>1000000</v>
      </c>
      <c r="D2519" s="626">
        <v>0</v>
      </c>
    </row>
    <row r="2520" spans="1:4" x14ac:dyDescent="0.2">
      <c r="A2520">
        <v>2519</v>
      </c>
      <c r="B2520" s="626">
        <v>0</v>
      </c>
      <c r="C2520" s="626">
        <v>1000000</v>
      </c>
      <c r="D2520" s="626">
        <v>0</v>
      </c>
    </row>
    <row r="2521" spans="1:4" x14ac:dyDescent="0.2">
      <c r="A2521">
        <v>2520</v>
      </c>
      <c r="B2521" s="626">
        <v>0</v>
      </c>
      <c r="C2521" s="626">
        <v>1000000</v>
      </c>
      <c r="D2521" s="626">
        <v>0</v>
      </c>
    </row>
    <row r="2522" spans="1:4" x14ac:dyDescent="0.2">
      <c r="A2522">
        <v>2521</v>
      </c>
      <c r="B2522" s="626">
        <v>0</v>
      </c>
      <c r="C2522" s="626">
        <v>1000000</v>
      </c>
      <c r="D2522" s="626">
        <v>0</v>
      </c>
    </row>
    <row r="2523" spans="1:4" x14ac:dyDescent="0.2">
      <c r="A2523">
        <v>2522</v>
      </c>
      <c r="B2523" s="626">
        <v>0</v>
      </c>
      <c r="C2523" s="626">
        <v>1000000</v>
      </c>
      <c r="D2523" s="626">
        <v>0</v>
      </c>
    </row>
    <row r="2524" spans="1:4" x14ac:dyDescent="0.2">
      <c r="A2524">
        <v>2523</v>
      </c>
      <c r="B2524" s="626">
        <v>0</v>
      </c>
      <c r="C2524" s="626">
        <v>1000000</v>
      </c>
      <c r="D2524" s="626">
        <v>0</v>
      </c>
    </row>
    <row r="2525" spans="1:4" x14ac:dyDescent="0.2">
      <c r="A2525">
        <v>2524</v>
      </c>
      <c r="B2525" s="626">
        <v>0</v>
      </c>
      <c r="C2525" s="626">
        <v>1000000</v>
      </c>
      <c r="D2525" s="626">
        <v>0</v>
      </c>
    </row>
    <row r="2526" spans="1:4" x14ac:dyDescent="0.2">
      <c r="A2526">
        <v>2525</v>
      </c>
      <c r="B2526" s="626">
        <v>0</v>
      </c>
      <c r="C2526" s="626">
        <v>1000000</v>
      </c>
      <c r="D2526" s="626">
        <v>0</v>
      </c>
    </row>
    <row r="2527" spans="1:4" x14ac:dyDescent="0.2">
      <c r="A2527">
        <v>2526</v>
      </c>
      <c r="B2527" s="626">
        <v>0</v>
      </c>
      <c r="C2527" s="626">
        <v>1000000</v>
      </c>
      <c r="D2527" s="626">
        <v>0</v>
      </c>
    </row>
    <row r="2528" spans="1:4" x14ac:dyDescent="0.2">
      <c r="A2528">
        <v>2527</v>
      </c>
      <c r="B2528" s="626">
        <v>0</v>
      </c>
      <c r="C2528" s="626">
        <v>1000000</v>
      </c>
      <c r="D2528" s="626">
        <v>0</v>
      </c>
    </row>
    <row r="2529" spans="1:4" x14ac:dyDescent="0.2">
      <c r="A2529">
        <v>2528</v>
      </c>
      <c r="B2529" s="626">
        <v>0</v>
      </c>
      <c r="C2529" s="626">
        <v>1000000</v>
      </c>
      <c r="D2529" s="626">
        <v>0</v>
      </c>
    </row>
    <row r="2530" spans="1:4" x14ac:dyDescent="0.2">
      <c r="A2530">
        <v>2529</v>
      </c>
      <c r="B2530" s="626">
        <v>0</v>
      </c>
      <c r="C2530" s="626">
        <v>1000000</v>
      </c>
      <c r="D2530" s="626">
        <v>0</v>
      </c>
    </row>
    <row r="2531" spans="1:4" x14ac:dyDescent="0.2">
      <c r="A2531">
        <v>2530</v>
      </c>
      <c r="B2531" s="626">
        <v>0</v>
      </c>
      <c r="C2531" s="626">
        <v>1000000</v>
      </c>
      <c r="D2531" s="626">
        <v>0</v>
      </c>
    </row>
    <row r="2532" spans="1:4" x14ac:dyDescent="0.2">
      <c r="A2532">
        <v>2531</v>
      </c>
      <c r="B2532" s="626">
        <v>0</v>
      </c>
      <c r="C2532" s="626">
        <v>1000000</v>
      </c>
      <c r="D2532" s="626">
        <v>0</v>
      </c>
    </row>
    <row r="2533" spans="1:4" x14ac:dyDescent="0.2">
      <c r="A2533">
        <v>2532</v>
      </c>
      <c r="B2533" s="626">
        <v>0</v>
      </c>
      <c r="C2533" s="626">
        <v>1000000</v>
      </c>
      <c r="D2533" s="626">
        <v>0</v>
      </c>
    </row>
    <row r="2534" spans="1:4" x14ac:dyDescent="0.2">
      <c r="A2534">
        <v>2533</v>
      </c>
      <c r="B2534" s="626">
        <v>0</v>
      </c>
      <c r="C2534" s="626">
        <v>1000000</v>
      </c>
      <c r="D2534" s="626">
        <v>0</v>
      </c>
    </row>
    <row r="2535" spans="1:4" x14ac:dyDescent="0.2">
      <c r="A2535">
        <v>2534</v>
      </c>
      <c r="B2535" s="626">
        <v>0</v>
      </c>
      <c r="C2535" s="626">
        <v>1000000</v>
      </c>
      <c r="D2535" s="626">
        <v>0</v>
      </c>
    </row>
    <row r="2536" spans="1:4" x14ac:dyDescent="0.2">
      <c r="A2536">
        <v>2535</v>
      </c>
      <c r="B2536" s="626">
        <v>0</v>
      </c>
      <c r="C2536" s="626">
        <v>1000000</v>
      </c>
      <c r="D2536" s="626">
        <v>0</v>
      </c>
    </row>
    <row r="2537" spans="1:4" x14ac:dyDescent="0.2">
      <c r="A2537">
        <v>2536</v>
      </c>
      <c r="B2537" s="626">
        <v>0</v>
      </c>
      <c r="C2537" s="626">
        <v>1000000</v>
      </c>
      <c r="D2537" s="626">
        <v>0</v>
      </c>
    </row>
    <row r="2538" spans="1:4" x14ac:dyDescent="0.2">
      <c r="A2538">
        <v>2537</v>
      </c>
      <c r="B2538" s="626">
        <v>0</v>
      </c>
      <c r="C2538" s="626">
        <v>1000000</v>
      </c>
      <c r="D2538" s="626">
        <v>0</v>
      </c>
    </row>
    <row r="2539" spans="1:4" x14ac:dyDescent="0.2">
      <c r="A2539">
        <v>2538</v>
      </c>
      <c r="B2539" s="626">
        <v>0</v>
      </c>
      <c r="C2539" s="626">
        <v>1000000</v>
      </c>
      <c r="D2539" s="626">
        <v>0</v>
      </c>
    </row>
    <row r="2540" spans="1:4" x14ac:dyDescent="0.2">
      <c r="A2540">
        <v>2539</v>
      </c>
      <c r="B2540" s="626">
        <v>0</v>
      </c>
      <c r="C2540" s="626">
        <v>1000000</v>
      </c>
      <c r="D2540" s="626">
        <v>0</v>
      </c>
    </row>
    <row r="2541" spans="1:4" x14ac:dyDescent="0.2">
      <c r="A2541">
        <v>2540</v>
      </c>
      <c r="B2541" s="626">
        <v>0</v>
      </c>
      <c r="C2541" s="626">
        <v>1000000</v>
      </c>
      <c r="D2541" s="626">
        <v>0</v>
      </c>
    </row>
    <row r="2542" spans="1:4" x14ac:dyDescent="0.2">
      <c r="A2542">
        <v>2541</v>
      </c>
      <c r="B2542" s="626">
        <v>0</v>
      </c>
      <c r="C2542" s="626">
        <v>1000000</v>
      </c>
      <c r="D2542" s="626">
        <v>0</v>
      </c>
    </row>
    <row r="2543" spans="1:4" x14ac:dyDescent="0.2">
      <c r="A2543">
        <v>2542</v>
      </c>
      <c r="B2543" s="626">
        <v>0</v>
      </c>
      <c r="C2543" s="626">
        <v>1000000</v>
      </c>
      <c r="D2543" s="626">
        <v>0</v>
      </c>
    </row>
    <row r="2544" spans="1:4" x14ac:dyDescent="0.2">
      <c r="A2544">
        <v>2543</v>
      </c>
      <c r="B2544" s="626">
        <v>0</v>
      </c>
      <c r="C2544" s="626">
        <v>1000000</v>
      </c>
      <c r="D2544" s="626">
        <v>0</v>
      </c>
    </row>
    <row r="2545" spans="1:4" x14ac:dyDescent="0.2">
      <c r="A2545">
        <v>2544</v>
      </c>
      <c r="B2545" s="626">
        <v>0</v>
      </c>
      <c r="C2545" s="626">
        <v>1000000</v>
      </c>
      <c r="D2545" s="626">
        <v>0</v>
      </c>
    </row>
    <row r="2546" spans="1:4" x14ac:dyDescent="0.2">
      <c r="A2546">
        <v>2545</v>
      </c>
      <c r="B2546" s="626">
        <v>0</v>
      </c>
      <c r="C2546" s="626">
        <v>1000000</v>
      </c>
      <c r="D2546" s="626">
        <v>0</v>
      </c>
    </row>
    <row r="2547" spans="1:4" x14ac:dyDescent="0.2">
      <c r="A2547">
        <v>2546</v>
      </c>
      <c r="B2547" s="626">
        <v>0</v>
      </c>
      <c r="C2547" s="626">
        <v>1000000</v>
      </c>
      <c r="D2547" s="626">
        <v>0</v>
      </c>
    </row>
    <row r="2548" spans="1:4" x14ac:dyDescent="0.2">
      <c r="A2548">
        <v>2547</v>
      </c>
      <c r="B2548" s="626">
        <v>0</v>
      </c>
      <c r="C2548" s="626">
        <v>1000000</v>
      </c>
      <c r="D2548" s="626">
        <v>0</v>
      </c>
    </row>
    <row r="2549" spans="1:4" x14ac:dyDescent="0.2">
      <c r="A2549">
        <v>2548</v>
      </c>
      <c r="B2549" s="626">
        <v>0</v>
      </c>
      <c r="C2549" s="626">
        <v>1000000</v>
      </c>
      <c r="D2549" s="626">
        <v>0</v>
      </c>
    </row>
    <row r="2550" spans="1:4" x14ac:dyDescent="0.2">
      <c r="A2550">
        <v>2549</v>
      </c>
      <c r="B2550" s="626">
        <v>0</v>
      </c>
      <c r="C2550" s="626">
        <v>1000000</v>
      </c>
      <c r="D2550" s="626">
        <v>0</v>
      </c>
    </row>
    <row r="2551" spans="1:4" x14ac:dyDescent="0.2">
      <c r="A2551">
        <v>2550</v>
      </c>
      <c r="B2551" s="626">
        <v>0</v>
      </c>
      <c r="C2551" s="626">
        <v>1000000</v>
      </c>
      <c r="D2551" s="626">
        <v>0</v>
      </c>
    </row>
    <row r="2552" spans="1:4" x14ac:dyDescent="0.2">
      <c r="A2552">
        <v>2551</v>
      </c>
      <c r="B2552" s="626">
        <v>0</v>
      </c>
      <c r="C2552" s="626">
        <v>1000000</v>
      </c>
      <c r="D2552" s="626">
        <v>0</v>
      </c>
    </row>
    <row r="2553" spans="1:4" x14ac:dyDescent="0.2">
      <c r="A2553">
        <v>2552</v>
      </c>
      <c r="B2553" s="626">
        <v>0</v>
      </c>
      <c r="C2553" s="626">
        <v>1000000</v>
      </c>
      <c r="D2553" s="626">
        <v>0</v>
      </c>
    </row>
    <row r="2554" spans="1:4" x14ac:dyDescent="0.2">
      <c r="A2554">
        <v>2553</v>
      </c>
      <c r="B2554" s="626">
        <v>0</v>
      </c>
      <c r="C2554" s="626">
        <v>1000000</v>
      </c>
      <c r="D2554" s="626">
        <v>0</v>
      </c>
    </row>
    <row r="2555" spans="1:4" x14ac:dyDescent="0.2">
      <c r="A2555">
        <v>2554</v>
      </c>
      <c r="B2555" s="626">
        <v>0</v>
      </c>
      <c r="C2555" s="626">
        <v>1000000</v>
      </c>
      <c r="D2555" s="626">
        <v>0</v>
      </c>
    </row>
    <row r="2556" spans="1:4" x14ac:dyDescent="0.2">
      <c r="A2556">
        <v>2555</v>
      </c>
      <c r="B2556" s="626">
        <v>0</v>
      </c>
      <c r="C2556" s="626">
        <v>1000000</v>
      </c>
      <c r="D2556" s="626">
        <v>0</v>
      </c>
    </row>
    <row r="2557" spans="1:4" x14ac:dyDescent="0.2">
      <c r="A2557">
        <v>2556</v>
      </c>
      <c r="B2557" s="626">
        <v>0</v>
      </c>
      <c r="C2557" s="626">
        <v>1000000</v>
      </c>
      <c r="D2557" s="626">
        <v>0</v>
      </c>
    </row>
    <row r="2558" spans="1:4" x14ac:dyDescent="0.2">
      <c r="A2558">
        <v>2557</v>
      </c>
      <c r="B2558" s="626">
        <v>0</v>
      </c>
      <c r="C2558" s="626">
        <v>1000000</v>
      </c>
      <c r="D2558" s="626">
        <v>0</v>
      </c>
    </row>
    <row r="2559" spans="1:4" x14ac:dyDescent="0.2">
      <c r="A2559">
        <v>2558</v>
      </c>
      <c r="B2559" s="626">
        <v>0</v>
      </c>
      <c r="C2559" s="626">
        <v>1000000</v>
      </c>
      <c r="D2559" s="626">
        <v>0</v>
      </c>
    </row>
    <row r="2560" spans="1:4" x14ac:dyDescent="0.2">
      <c r="A2560">
        <v>2559</v>
      </c>
      <c r="B2560" s="626">
        <v>0</v>
      </c>
      <c r="C2560" s="626">
        <v>1000000</v>
      </c>
      <c r="D2560" s="626">
        <v>0</v>
      </c>
    </row>
    <row r="2561" spans="1:4" x14ac:dyDescent="0.2">
      <c r="A2561">
        <v>2560</v>
      </c>
      <c r="B2561" s="626">
        <v>0</v>
      </c>
      <c r="C2561" s="626">
        <v>1000000</v>
      </c>
      <c r="D2561" s="626">
        <v>0</v>
      </c>
    </row>
    <row r="2562" spans="1:4" x14ac:dyDescent="0.2">
      <c r="A2562">
        <v>2561</v>
      </c>
      <c r="B2562" s="626">
        <v>0</v>
      </c>
      <c r="C2562" s="626">
        <v>1000000</v>
      </c>
      <c r="D2562" s="626">
        <v>0</v>
      </c>
    </row>
    <row r="2563" spans="1:4" x14ac:dyDescent="0.2">
      <c r="A2563">
        <v>2562</v>
      </c>
      <c r="B2563" s="626">
        <v>0</v>
      </c>
      <c r="C2563" s="626">
        <v>1000000</v>
      </c>
      <c r="D2563" s="626">
        <v>0</v>
      </c>
    </row>
    <row r="2564" spans="1:4" x14ac:dyDescent="0.2">
      <c r="A2564">
        <v>2563</v>
      </c>
      <c r="B2564" s="626">
        <v>0</v>
      </c>
      <c r="C2564" s="626">
        <v>1000000</v>
      </c>
      <c r="D2564" s="626">
        <v>0</v>
      </c>
    </row>
    <row r="2565" spans="1:4" x14ac:dyDescent="0.2">
      <c r="A2565">
        <v>2564</v>
      </c>
      <c r="B2565" s="626">
        <v>0</v>
      </c>
      <c r="C2565" s="626">
        <v>1000000</v>
      </c>
      <c r="D2565" s="626">
        <v>0</v>
      </c>
    </row>
    <row r="2566" spans="1:4" x14ac:dyDescent="0.2">
      <c r="A2566">
        <v>2565</v>
      </c>
      <c r="B2566" s="626">
        <v>0</v>
      </c>
      <c r="C2566" s="626">
        <v>1000000</v>
      </c>
      <c r="D2566" s="626">
        <v>0</v>
      </c>
    </row>
    <row r="2567" spans="1:4" x14ac:dyDescent="0.2">
      <c r="A2567">
        <v>2566</v>
      </c>
      <c r="B2567" s="626">
        <v>0</v>
      </c>
      <c r="C2567" s="626">
        <v>1000000</v>
      </c>
      <c r="D2567" s="626">
        <v>0</v>
      </c>
    </row>
    <row r="2568" spans="1:4" x14ac:dyDescent="0.2">
      <c r="A2568">
        <v>2567</v>
      </c>
      <c r="B2568" s="626">
        <v>0</v>
      </c>
      <c r="C2568" s="626">
        <v>1000000</v>
      </c>
      <c r="D2568" s="626">
        <v>0</v>
      </c>
    </row>
    <row r="2569" spans="1:4" x14ac:dyDescent="0.2">
      <c r="A2569">
        <v>2568</v>
      </c>
      <c r="B2569" s="626">
        <v>0</v>
      </c>
      <c r="C2569" s="626">
        <v>1000000</v>
      </c>
      <c r="D2569" s="626">
        <v>0</v>
      </c>
    </row>
    <row r="2570" spans="1:4" x14ac:dyDescent="0.2">
      <c r="A2570">
        <v>2569</v>
      </c>
      <c r="B2570" s="626">
        <v>0</v>
      </c>
      <c r="C2570" s="626">
        <v>1000000</v>
      </c>
      <c r="D2570" s="626">
        <v>0</v>
      </c>
    </row>
    <row r="2571" spans="1:4" x14ac:dyDescent="0.2">
      <c r="A2571">
        <v>2570</v>
      </c>
      <c r="B2571" s="626">
        <v>0</v>
      </c>
      <c r="C2571" s="626">
        <v>1000000</v>
      </c>
      <c r="D2571" s="626">
        <v>0</v>
      </c>
    </row>
    <row r="2572" spans="1:4" x14ac:dyDescent="0.2">
      <c r="A2572">
        <v>2571</v>
      </c>
      <c r="B2572" s="626">
        <v>0</v>
      </c>
      <c r="C2572" s="626">
        <v>1000000</v>
      </c>
      <c r="D2572" s="626">
        <v>0</v>
      </c>
    </row>
    <row r="2573" spans="1:4" x14ac:dyDescent="0.2">
      <c r="A2573">
        <v>2572</v>
      </c>
      <c r="B2573" s="626">
        <v>0</v>
      </c>
      <c r="C2573" s="626">
        <v>1000000</v>
      </c>
      <c r="D2573" s="626">
        <v>0</v>
      </c>
    </row>
    <row r="2574" spans="1:4" x14ac:dyDescent="0.2">
      <c r="A2574">
        <v>2573</v>
      </c>
      <c r="B2574" s="626">
        <v>0</v>
      </c>
      <c r="C2574" s="626">
        <v>1000000</v>
      </c>
      <c r="D2574" s="626">
        <v>0</v>
      </c>
    </row>
    <row r="2575" spans="1:4" x14ac:dyDescent="0.2">
      <c r="A2575">
        <v>2574</v>
      </c>
      <c r="B2575" s="626">
        <v>0</v>
      </c>
      <c r="C2575" s="626">
        <v>1000000</v>
      </c>
      <c r="D2575" s="626">
        <v>0</v>
      </c>
    </row>
    <row r="2576" spans="1:4" x14ac:dyDescent="0.2">
      <c r="A2576">
        <v>2575</v>
      </c>
      <c r="B2576" s="626">
        <v>0</v>
      </c>
      <c r="C2576" s="626">
        <v>1000000</v>
      </c>
      <c r="D2576" s="626">
        <v>0</v>
      </c>
    </row>
    <row r="2577" spans="1:4" x14ac:dyDescent="0.2">
      <c r="A2577">
        <v>2576</v>
      </c>
      <c r="B2577" s="626">
        <v>0</v>
      </c>
      <c r="C2577" s="626">
        <v>1000000</v>
      </c>
      <c r="D2577" s="626">
        <v>0</v>
      </c>
    </row>
    <row r="2578" spans="1:4" x14ac:dyDescent="0.2">
      <c r="A2578">
        <v>2577</v>
      </c>
      <c r="B2578" s="626">
        <v>0</v>
      </c>
      <c r="C2578" s="626">
        <v>1000000</v>
      </c>
      <c r="D2578" s="626">
        <v>0</v>
      </c>
    </row>
    <row r="2579" spans="1:4" x14ac:dyDescent="0.2">
      <c r="A2579">
        <v>2578</v>
      </c>
      <c r="B2579" s="626">
        <v>0</v>
      </c>
      <c r="C2579" s="626">
        <v>1000000</v>
      </c>
      <c r="D2579" s="626">
        <v>0</v>
      </c>
    </row>
    <row r="2580" spans="1:4" x14ac:dyDescent="0.2">
      <c r="A2580">
        <v>2579</v>
      </c>
      <c r="B2580" s="626">
        <v>0</v>
      </c>
      <c r="C2580" s="626">
        <v>1000000</v>
      </c>
      <c r="D2580" s="626">
        <v>0</v>
      </c>
    </row>
    <row r="2581" spans="1:4" x14ac:dyDescent="0.2">
      <c r="A2581">
        <v>2580</v>
      </c>
      <c r="B2581" s="626">
        <v>0</v>
      </c>
      <c r="C2581" s="626">
        <v>1000000</v>
      </c>
      <c r="D2581" s="626">
        <v>0</v>
      </c>
    </row>
    <row r="2582" spans="1:4" x14ac:dyDescent="0.2">
      <c r="A2582">
        <v>2581</v>
      </c>
      <c r="B2582" s="626">
        <v>0</v>
      </c>
      <c r="C2582" s="626">
        <v>1000000</v>
      </c>
      <c r="D2582" s="626">
        <v>0</v>
      </c>
    </row>
    <row r="2583" spans="1:4" x14ac:dyDescent="0.2">
      <c r="A2583">
        <v>2582</v>
      </c>
      <c r="B2583" s="626">
        <v>0</v>
      </c>
      <c r="C2583" s="626">
        <v>1000000</v>
      </c>
      <c r="D2583" s="626">
        <v>0</v>
      </c>
    </row>
    <row r="2584" spans="1:4" x14ac:dyDescent="0.2">
      <c r="A2584">
        <v>2583</v>
      </c>
      <c r="B2584" s="626">
        <v>0</v>
      </c>
      <c r="C2584" s="626">
        <v>1000000</v>
      </c>
      <c r="D2584" s="626">
        <v>0</v>
      </c>
    </row>
    <row r="2585" spans="1:4" x14ac:dyDescent="0.2">
      <c r="A2585">
        <v>2584</v>
      </c>
      <c r="B2585" s="626">
        <v>0</v>
      </c>
      <c r="C2585" s="626">
        <v>1000000</v>
      </c>
      <c r="D2585" s="626">
        <v>0</v>
      </c>
    </row>
    <row r="2586" spans="1:4" x14ac:dyDescent="0.2">
      <c r="A2586">
        <v>2585</v>
      </c>
      <c r="B2586" s="626">
        <v>0</v>
      </c>
      <c r="C2586" s="626">
        <v>1000000</v>
      </c>
      <c r="D2586" s="626">
        <v>0</v>
      </c>
    </row>
    <row r="2587" spans="1:4" x14ac:dyDescent="0.2">
      <c r="A2587">
        <v>2586</v>
      </c>
      <c r="B2587" s="626">
        <v>0</v>
      </c>
      <c r="C2587" s="626">
        <v>1000000</v>
      </c>
      <c r="D2587" s="626">
        <v>0</v>
      </c>
    </row>
    <row r="2588" spans="1:4" x14ac:dyDescent="0.2">
      <c r="A2588">
        <v>2587</v>
      </c>
      <c r="B2588" s="626">
        <v>0</v>
      </c>
      <c r="C2588" s="626">
        <v>1000000</v>
      </c>
      <c r="D2588" s="626">
        <v>0</v>
      </c>
    </row>
    <row r="2589" spans="1:4" x14ac:dyDescent="0.2">
      <c r="A2589">
        <v>2588</v>
      </c>
      <c r="B2589" s="626">
        <v>0</v>
      </c>
      <c r="C2589" s="626">
        <v>1000000</v>
      </c>
      <c r="D2589" s="626">
        <v>0</v>
      </c>
    </row>
    <row r="2590" spans="1:4" x14ac:dyDescent="0.2">
      <c r="A2590">
        <v>2589</v>
      </c>
      <c r="B2590" s="626">
        <v>0</v>
      </c>
      <c r="C2590" s="626">
        <v>1000000</v>
      </c>
      <c r="D2590" s="626">
        <v>0</v>
      </c>
    </row>
    <row r="2591" spans="1:4" x14ac:dyDescent="0.2">
      <c r="A2591">
        <v>2590</v>
      </c>
      <c r="B2591" s="626">
        <v>0</v>
      </c>
      <c r="C2591" s="626">
        <v>1000000</v>
      </c>
      <c r="D2591" s="626">
        <v>0</v>
      </c>
    </row>
    <row r="2592" spans="1:4" x14ac:dyDescent="0.2">
      <c r="A2592">
        <v>2591</v>
      </c>
      <c r="B2592" s="626">
        <v>0</v>
      </c>
      <c r="C2592" s="626">
        <v>1000000</v>
      </c>
      <c r="D2592" s="626">
        <v>0</v>
      </c>
    </row>
    <row r="2593" spans="1:4" x14ac:dyDescent="0.2">
      <c r="A2593">
        <v>2592</v>
      </c>
      <c r="B2593" s="626">
        <v>0</v>
      </c>
      <c r="C2593" s="626">
        <v>1000000</v>
      </c>
      <c r="D2593" s="626">
        <v>0</v>
      </c>
    </row>
    <row r="2594" spans="1:4" x14ac:dyDescent="0.2">
      <c r="A2594">
        <v>2593</v>
      </c>
      <c r="B2594" s="626">
        <v>0</v>
      </c>
      <c r="C2594" s="626">
        <v>1000000</v>
      </c>
      <c r="D2594" s="626">
        <v>0</v>
      </c>
    </row>
    <row r="2595" spans="1:4" x14ac:dyDescent="0.2">
      <c r="A2595">
        <v>2594</v>
      </c>
      <c r="B2595" s="626">
        <v>0</v>
      </c>
      <c r="C2595" s="626">
        <v>1000000</v>
      </c>
      <c r="D2595" s="626">
        <v>0</v>
      </c>
    </row>
    <row r="2596" spans="1:4" x14ac:dyDescent="0.2">
      <c r="A2596">
        <v>2595</v>
      </c>
      <c r="B2596" s="626">
        <v>0</v>
      </c>
      <c r="C2596" s="626">
        <v>1000000</v>
      </c>
      <c r="D2596" s="626">
        <v>0</v>
      </c>
    </row>
    <row r="2597" spans="1:4" x14ac:dyDescent="0.2">
      <c r="A2597">
        <v>2596</v>
      </c>
      <c r="B2597" s="626">
        <v>0</v>
      </c>
      <c r="C2597" s="626">
        <v>1000000</v>
      </c>
      <c r="D2597" s="626">
        <v>0</v>
      </c>
    </row>
    <row r="2598" spans="1:4" x14ac:dyDescent="0.2">
      <c r="A2598">
        <v>2597</v>
      </c>
      <c r="B2598" s="626">
        <v>0</v>
      </c>
      <c r="C2598" s="626">
        <v>1000000</v>
      </c>
      <c r="D2598" s="626">
        <v>0</v>
      </c>
    </row>
    <row r="2599" spans="1:4" x14ac:dyDescent="0.2">
      <c r="A2599">
        <v>2598</v>
      </c>
      <c r="B2599" s="626">
        <v>0</v>
      </c>
      <c r="C2599" s="626">
        <v>1000000</v>
      </c>
      <c r="D2599" s="626">
        <v>0</v>
      </c>
    </row>
    <row r="2600" spans="1:4" x14ac:dyDescent="0.2">
      <c r="A2600">
        <v>2599</v>
      </c>
      <c r="B2600" s="626">
        <v>0</v>
      </c>
      <c r="C2600" s="626">
        <v>1000000</v>
      </c>
      <c r="D2600" s="626">
        <v>0</v>
      </c>
    </row>
    <row r="2601" spans="1:4" x14ac:dyDescent="0.2">
      <c r="A2601">
        <v>2600</v>
      </c>
      <c r="B2601" s="626">
        <v>0</v>
      </c>
      <c r="C2601" s="626">
        <v>1000000</v>
      </c>
      <c r="D2601" s="626">
        <v>0</v>
      </c>
    </row>
    <row r="2602" spans="1:4" x14ac:dyDescent="0.2">
      <c r="A2602">
        <v>2601</v>
      </c>
      <c r="B2602" s="626">
        <v>0</v>
      </c>
      <c r="C2602" s="626">
        <v>1000000</v>
      </c>
      <c r="D2602" s="626">
        <v>0</v>
      </c>
    </row>
    <row r="2603" spans="1:4" x14ac:dyDescent="0.2">
      <c r="A2603">
        <v>2602</v>
      </c>
      <c r="B2603" s="626">
        <v>0</v>
      </c>
      <c r="C2603" s="626">
        <v>1000000</v>
      </c>
      <c r="D2603" s="626">
        <v>0</v>
      </c>
    </row>
    <row r="2604" spans="1:4" x14ac:dyDescent="0.2">
      <c r="A2604">
        <v>2603</v>
      </c>
      <c r="B2604" s="626">
        <v>0</v>
      </c>
      <c r="C2604" s="626">
        <v>1000000</v>
      </c>
      <c r="D2604" s="626">
        <v>0</v>
      </c>
    </row>
    <row r="2605" spans="1:4" x14ac:dyDescent="0.2">
      <c r="A2605">
        <v>2604</v>
      </c>
      <c r="B2605" s="626">
        <v>0</v>
      </c>
      <c r="C2605" s="626">
        <v>1000000</v>
      </c>
      <c r="D2605" s="626">
        <v>0</v>
      </c>
    </row>
    <row r="2606" spans="1:4" x14ac:dyDescent="0.2">
      <c r="A2606">
        <v>2605</v>
      </c>
      <c r="B2606" s="626">
        <v>0</v>
      </c>
      <c r="C2606" s="626">
        <v>1000000</v>
      </c>
      <c r="D2606" s="626">
        <v>0</v>
      </c>
    </row>
    <row r="2607" spans="1:4" x14ac:dyDescent="0.2">
      <c r="A2607">
        <v>2606</v>
      </c>
      <c r="B2607" s="626">
        <v>0</v>
      </c>
      <c r="C2607" s="626">
        <v>1000000</v>
      </c>
      <c r="D2607" s="626">
        <v>0</v>
      </c>
    </row>
    <row r="2608" spans="1:4" x14ac:dyDescent="0.2">
      <c r="A2608">
        <v>2607</v>
      </c>
      <c r="B2608" s="626">
        <v>0</v>
      </c>
      <c r="C2608" s="626">
        <v>1000000</v>
      </c>
      <c r="D2608" s="626">
        <v>0</v>
      </c>
    </row>
    <row r="2609" spans="1:4" x14ac:dyDescent="0.2">
      <c r="A2609">
        <v>2608</v>
      </c>
      <c r="B2609" s="626">
        <v>0</v>
      </c>
      <c r="C2609" s="626">
        <v>1000000</v>
      </c>
      <c r="D2609" s="626">
        <v>0</v>
      </c>
    </row>
    <row r="2610" spans="1:4" x14ac:dyDescent="0.2">
      <c r="A2610">
        <v>2609</v>
      </c>
      <c r="B2610" s="626">
        <v>0</v>
      </c>
      <c r="C2610" s="626">
        <v>1000000</v>
      </c>
      <c r="D2610" s="626">
        <v>0</v>
      </c>
    </row>
    <row r="2611" spans="1:4" x14ac:dyDescent="0.2">
      <c r="A2611">
        <v>2610</v>
      </c>
      <c r="B2611" s="626">
        <v>0</v>
      </c>
      <c r="C2611" s="626">
        <v>1000000</v>
      </c>
      <c r="D2611" s="626">
        <v>0</v>
      </c>
    </row>
    <row r="2612" spans="1:4" x14ac:dyDescent="0.2">
      <c r="A2612">
        <v>2611</v>
      </c>
      <c r="B2612" s="626">
        <v>0</v>
      </c>
      <c r="C2612" s="626">
        <v>1000000</v>
      </c>
      <c r="D2612" s="626">
        <v>0</v>
      </c>
    </row>
    <row r="2613" spans="1:4" x14ac:dyDescent="0.2">
      <c r="A2613">
        <v>2612</v>
      </c>
      <c r="B2613" s="626">
        <v>0</v>
      </c>
      <c r="C2613" s="626">
        <v>1000000</v>
      </c>
      <c r="D2613" s="626">
        <v>0</v>
      </c>
    </row>
    <row r="2614" spans="1:4" x14ac:dyDescent="0.2">
      <c r="A2614">
        <v>2613</v>
      </c>
      <c r="B2614" s="626">
        <v>0</v>
      </c>
      <c r="C2614" s="626">
        <v>1000000</v>
      </c>
      <c r="D2614" s="626">
        <v>0</v>
      </c>
    </row>
    <row r="2615" spans="1:4" x14ac:dyDescent="0.2">
      <c r="A2615">
        <v>2614</v>
      </c>
      <c r="B2615" s="626">
        <v>0</v>
      </c>
      <c r="C2615" s="626">
        <v>1000000</v>
      </c>
      <c r="D2615" s="626">
        <v>0</v>
      </c>
    </row>
    <row r="2616" spans="1:4" x14ac:dyDescent="0.2">
      <c r="A2616">
        <v>2615</v>
      </c>
      <c r="B2616" s="626">
        <v>0</v>
      </c>
      <c r="C2616" s="626">
        <v>1000000</v>
      </c>
      <c r="D2616" s="626">
        <v>0</v>
      </c>
    </row>
    <row r="2617" spans="1:4" x14ac:dyDescent="0.2">
      <c r="A2617">
        <v>2616</v>
      </c>
      <c r="B2617" s="626">
        <v>0</v>
      </c>
      <c r="C2617" s="626">
        <v>1000000</v>
      </c>
      <c r="D2617" s="626">
        <v>0</v>
      </c>
    </row>
    <row r="2618" spans="1:4" x14ac:dyDescent="0.2">
      <c r="A2618">
        <v>2617</v>
      </c>
      <c r="B2618" s="626">
        <v>0</v>
      </c>
      <c r="C2618" s="626">
        <v>1000000</v>
      </c>
      <c r="D2618" s="626">
        <v>0</v>
      </c>
    </row>
    <row r="2619" spans="1:4" x14ac:dyDescent="0.2">
      <c r="A2619">
        <v>2618</v>
      </c>
      <c r="B2619" s="626">
        <v>0</v>
      </c>
      <c r="C2619" s="626">
        <v>1000000</v>
      </c>
      <c r="D2619" s="626">
        <v>0</v>
      </c>
    </row>
    <row r="2620" spans="1:4" x14ac:dyDescent="0.2">
      <c r="A2620">
        <v>2619</v>
      </c>
      <c r="B2620" s="626">
        <v>0</v>
      </c>
      <c r="C2620" s="626">
        <v>1000000</v>
      </c>
      <c r="D2620" s="626">
        <v>0</v>
      </c>
    </row>
    <row r="2621" spans="1:4" x14ac:dyDescent="0.2">
      <c r="A2621">
        <v>2620</v>
      </c>
      <c r="B2621" s="626">
        <v>0</v>
      </c>
      <c r="C2621" s="626">
        <v>1000000</v>
      </c>
      <c r="D2621" s="626">
        <v>0</v>
      </c>
    </row>
    <row r="2622" spans="1:4" x14ac:dyDescent="0.2">
      <c r="A2622">
        <v>2621</v>
      </c>
      <c r="B2622" s="626">
        <v>0</v>
      </c>
      <c r="C2622" s="626">
        <v>1000000</v>
      </c>
      <c r="D2622" s="626">
        <v>0</v>
      </c>
    </row>
    <row r="2623" spans="1:4" x14ac:dyDescent="0.2">
      <c r="A2623">
        <v>2622</v>
      </c>
      <c r="B2623" s="626">
        <v>0</v>
      </c>
      <c r="C2623" s="626">
        <v>1000000</v>
      </c>
      <c r="D2623" s="626">
        <v>0</v>
      </c>
    </row>
    <row r="2624" spans="1:4" x14ac:dyDescent="0.2">
      <c r="A2624">
        <v>2623</v>
      </c>
      <c r="B2624" s="626">
        <v>0</v>
      </c>
      <c r="C2624" s="626">
        <v>1000000</v>
      </c>
      <c r="D2624" s="626">
        <v>0</v>
      </c>
    </row>
    <row r="2625" spans="1:4" x14ac:dyDescent="0.2">
      <c r="A2625">
        <v>2624</v>
      </c>
      <c r="B2625" s="626">
        <v>0</v>
      </c>
      <c r="C2625" s="626">
        <v>1000000</v>
      </c>
      <c r="D2625" s="626">
        <v>0</v>
      </c>
    </row>
    <row r="2626" spans="1:4" x14ac:dyDescent="0.2">
      <c r="A2626">
        <v>2625</v>
      </c>
      <c r="B2626" s="626">
        <v>0</v>
      </c>
      <c r="C2626" s="626">
        <v>1000000</v>
      </c>
      <c r="D2626" s="626">
        <v>0</v>
      </c>
    </row>
    <row r="2627" spans="1:4" x14ac:dyDescent="0.2">
      <c r="A2627">
        <v>2626</v>
      </c>
      <c r="B2627" s="626">
        <v>0</v>
      </c>
      <c r="C2627" s="626">
        <v>1000000</v>
      </c>
      <c r="D2627" s="626">
        <v>0</v>
      </c>
    </row>
    <row r="2628" spans="1:4" x14ac:dyDescent="0.2">
      <c r="A2628">
        <v>2627</v>
      </c>
      <c r="B2628" s="626">
        <v>0</v>
      </c>
      <c r="C2628" s="626">
        <v>1000000</v>
      </c>
      <c r="D2628" s="626">
        <v>0</v>
      </c>
    </row>
    <row r="2629" spans="1:4" x14ac:dyDescent="0.2">
      <c r="A2629">
        <v>2628</v>
      </c>
      <c r="B2629" s="626">
        <v>0</v>
      </c>
      <c r="C2629" s="626">
        <v>1000000</v>
      </c>
      <c r="D2629" s="626">
        <v>0</v>
      </c>
    </row>
    <row r="2630" spans="1:4" x14ac:dyDescent="0.2">
      <c r="A2630">
        <v>2629</v>
      </c>
      <c r="B2630" s="626">
        <v>0</v>
      </c>
      <c r="C2630" s="626">
        <v>1000000</v>
      </c>
      <c r="D2630" s="626">
        <v>0</v>
      </c>
    </row>
    <row r="2631" spans="1:4" x14ac:dyDescent="0.2">
      <c r="A2631">
        <v>2630</v>
      </c>
      <c r="B2631" s="626">
        <v>0</v>
      </c>
      <c r="C2631" s="626">
        <v>1000000</v>
      </c>
      <c r="D2631" s="626">
        <v>0</v>
      </c>
    </row>
    <row r="2632" spans="1:4" x14ac:dyDescent="0.2">
      <c r="A2632">
        <v>2631</v>
      </c>
      <c r="B2632" s="626">
        <v>0</v>
      </c>
      <c r="C2632" s="626">
        <v>1000000</v>
      </c>
      <c r="D2632" s="626">
        <v>0</v>
      </c>
    </row>
    <row r="2633" spans="1:4" x14ac:dyDescent="0.2">
      <c r="A2633">
        <v>2632</v>
      </c>
      <c r="B2633" s="626">
        <v>0</v>
      </c>
      <c r="C2633" s="626">
        <v>1000000</v>
      </c>
      <c r="D2633" s="626">
        <v>0</v>
      </c>
    </row>
    <row r="2634" spans="1:4" x14ac:dyDescent="0.2">
      <c r="A2634">
        <v>2633</v>
      </c>
      <c r="B2634" s="626">
        <v>0</v>
      </c>
      <c r="C2634" s="626">
        <v>1000000</v>
      </c>
      <c r="D2634" s="626">
        <v>0</v>
      </c>
    </row>
    <row r="2635" spans="1:4" x14ac:dyDescent="0.2">
      <c r="A2635">
        <v>2634</v>
      </c>
      <c r="B2635" s="626">
        <v>0</v>
      </c>
      <c r="C2635" s="626">
        <v>1000000</v>
      </c>
      <c r="D2635" s="626">
        <v>0</v>
      </c>
    </row>
    <row r="2636" spans="1:4" x14ac:dyDescent="0.2">
      <c r="A2636">
        <v>2635</v>
      </c>
      <c r="B2636" s="626">
        <v>0</v>
      </c>
      <c r="C2636" s="626">
        <v>1000000</v>
      </c>
      <c r="D2636" s="626">
        <v>0</v>
      </c>
    </row>
    <row r="2637" spans="1:4" x14ac:dyDescent="0.2">
      <c r="A2637">
        <v>2636</v>
      </c>
      <c r="B2637" s="626">
        <v>0</v>
      </c>
      <c r="C2637" s="626">
        <v>1000000</v>
      </c>
      <c r="D2637" s="626">
        <v>0</v>
      </c>
    </row>
    <row r="2638" spans="1:4" x14ac:dyDescent="0.2">
      <c r="A2638">
        <v>2637</v>
      </c>
      <c r="B2638" s="626">
        <v>0</v>
      </c>
      <c r="C2638" s="626">
        <v>1000000</v>
      </c>
      <c r="D2638" s="626">
        <v>0</v>
      </c>
    </row>
    <row r="2639" spans="1:4" x14ac:dyDescent="0.2">
      <c r="A2639">
        <v>2638</v>
      </c>
      <c r="B2639" s="626">
        <v>0</v>
      </c>
      <c r="C2639" s="626">
        <v>1000000</v>
      </c>
      <c r="D2639" s="626">
        <v>0</v>
      </c>
    </row>
    <row r="2640" spans="1:4" x14ac:dyDescent="0.2">
      <c r="A2640">
        <v>2639</v>
      </c>
      <c r="B2640" s="626">
        <v>0</v>
      </c>
      <c r="C2640" s="626">
        <v>1000000</v>
      </c>
      <c r="D2640" s="626">
        <v>0</v>
      </c>
    </row>
    <row r="2641" spans="1:4" x14ac:dyDescent="0.2">
      <c r="A2641">
        <v>2640</v>
      </c>
      <c r="B2641" s="626">
        <v>0</v>
      </c>
      <c r="C2641" s="626">
        <v>1000000</v>
      </c>
      <c r="D2641" s="626">
        <v>0</v>
      </c>
    </row>
    <row r="2642" spans="1:4" x14ac:dyDescent="0.2">
      <c r="A2642">
        <v>2641</v>
      </c>
      <c r="B2642" s="626">
        <v>0</v>
      </c>
      <c r="C2642" s="626">
        <v>1000000</v>
      </c>
      <c r="D2642" s="626">
        <v>0</v>
      </c>
    </row>
    <row r="2643" spans="1:4" x14ac:dyDescent="0.2">
      <c r="A2643">
        <v>2642</v>
      </c>
      <c r="B2643" s="626">
        <v>0</v>
      </c>
      <c r="C2643" s="626">
        <v>1000000</v>
      </c>
      <c r="D2643" s="626">
        <v>0</v>
      </c>
    </row>
    <row r="2644" spans="1:4" x14ac:dyDescent="0.2">
      <c r="A2644">
        <v>2643</v>
      </c>
      <c r="B2644" s="626">
        <v>0</v>
      </c>
      <c r="C2644" s="626">
        <v>1000000</v>
      </c>
      <c r="D2644" s="626">
        <v>0</v>
      </c>
    </row>
    <row r="2645" spans="1:4" x14ac:dyDescent="0.2">
      <c r="A2645">
        <v>2644</v>
      </c>
      <c r="B2645" s="626">
        <v>0</v>
      </c>
      <c r="C2645" s="626">
        <v>1000000</v>
      </c>
      <c r="D2645" s="626">
        <v>0</v>
      </c>
    </row>
    <row r="2646" spans="1:4" x14ac:dyDescent="0.2">
      <c r="A2646">
        <v>2645</v>
      </c>
      <c r="B2646" s="626">
        <v>0</v>
      </c>
      <c r="C2646" s="626">
        <v>1000000</v>
      </c>
      <c r="D2646" s="626">
        <v>0</v>
      </c>
    </row>
    <row r="2647" spans="1:4" x14ac:dyDescent="0.2">
      <c r="A2647">
        <v>2646</v>
      </c>
      <c r="B2647" s="626">
        <v>0</v>
      </c>
      <c r="C2647" s="626">
        <v>1000000</v>
      </c>
      <c r="D2647" s="626">
        <v>0</v>
      </c>
    </row>
    <row r="2648" spans="1:4" x14ac:dyDescent="0.2">
      <c r="A2648">
        <v>2647</v>
      </c>
      <c r="B2648" s="626">
        <v>0</v>
      </c>
      <c r="C2648" s="626">
        <v>1000000</v>
      </c>
      <c r="D2648" s="626">
        <v>0</v>
      </c>
    </row>
    <row r="2649" spans="1:4" x14ac:dyDescent="0.2">
      <c r="A2649">
        <v>2648</v>
      </c>
      <c r="B2649" s="626">
        <v>0</v>
      </c>
      <c r="C2649" s="626">
        <v>1000000</v>
      </c>
      <c r="D2649" s="626">
        <v>0</v>
      </c>
    </row>
    <row r="2650" spans="1:4" x14ac:dyDescent="0.2">
      <c r="A2650">
        <v>2649</v>
      </c>
      <c r="B2650" s="626">
        <v>0</v>
      </c>
      <c r="C2650" s="626">
        <v>1000000</v>
      </c>
      <c r="D2650" s="626">
        <v>0</v>
      </c>
    </row>
    <row r="2651" spans="1:4" x14ac:dyDescent="0.2">
      <c r="A2651">
        <v>2650</v>
      </c>
      <c r="B2651" s="626">
        <v>0</v>
      </c>
      <c r="C2651" s="626">
        <v>1000000</v>
      </c>
      <c r="D2651" s="626">
        <v>0</v>
      </c>
    </row>
    <row r="2652" spans="1:4" x14ac:dyDescent="0.2">
      <c r="A2652">
        <v>2651</v>
      </c>
      <c r="B2652" s="626">
        <v>0</v>
      </c>
      <c r="C2652" s="626">
        <v>1000000</v>
      </c>
      <c r="D2652" s="626">
        <v>0</v>
      </c>
    </row>
    <row r="2653" spans="1:4" x14ac:dyDescent="0.2">
      <c r="A2653">
        <v>2652</v>
      </c>
      <c r="B2653" s="626">
        <v>0</v>
      </c>
      <c r="C2653" s="626">
        <v>1000000</v>
      </c>
      <c r="D2653" s="626">
        <v>0</v>
      </c>
    </row>
    <row r="2654" spans="1:4" x14ac:dyDescent="0.2">
      <c r="A2654">
        <v>2653</v>
      </c>
      <c r="B2654" s="626">
        <v>0</v>
      </c>
      <c r="C2654" s="626">
        <v>1000000</v>
      </c>
      <c r="D2654" s="626">
        <v>0</v>
      </c>
    </row>
    <row r="2655" spans="1:4" x14ac:dyDescent="0.2">
      <c r="A2655">
        <v>2654</v>
      </c>
      <c r="B2655" s="626">
        <v>0</v>
      </c>
      <c r="C2655" s="626">
        <v>1000000</v>
      </c>
      <c r="D2655" s="626">
        <v>0</v>
      </c>
    </row>
    <row r="2656" spans="1:4" x14ac:dyDescent="0.2">
      <c r="A2656">
        <v>2655</v>
      </c>
      <c r="B2656" s="626">
        <v>0</v>
      </c>
      <c r="C2656" s="626">
        <v>1000000</v>
      </c>
      <c r="D2656" s="626">
        <v>0</v>
      </c>
    </row>
    <row r="2657" spans="1:4" x14ac:dyDescent="0.2">
      <c r="A2657">
        <v>2656</v>
      </c>
      <c r="B2657" s="626">
        <v>0</v>
      </c>
      <c r="C2657" s="626">
        <v>1000000</v>
      </c>
      <c r="D2657" s="626">
        <v>0</v>
      </c>
    </row>
    <row r="2658" spans="1:4" x14ac:dyDescent="0.2">
      <c r="A2658">
        <v>2657</v>
      </c>
      <c r="B2658" s="626">
        <v>0</v>
      </c>
      <c r="C2658" s="626">
        <v>1000000</v>
      </c>
      <c r="D2658" s="626">
        <v>0</v>
      </c>
    </row>
    <row r="2659" spans="1:4" x14ac:dyDescent="0.2">
      <c r="A2659">
        <v>2658</v>
      </c>
      <c r="B2659" s="626">
        <v>0</v>
      </c>
      <c r="C2659" s="626">
        <v>1000000</v>
      </c>
      <c r="D2659" s="626">
        <v>0</v>
      </c>
    </row>
    <row r="2660" spans="1:4" x14ac:dyDescent="0.2">
      <c r="A2660">
        <v>2659</v>
      </c>
      <c r="B2660" s="626">
        <v>0</v>
      </c>
      <c r="C2660" s="626">
        <v>1000000</v>
      </c>
      <c r="D2660" s="626">
        <v>0</v>
      </c>
    </row>
    <row r="2661" spans="1:4" x14ac:dyDescent="0.2">
      <c r="A2661">
        <v>2660</v>
      </c>
      <c r="B2661" s="626">
        <v>0</v>
      </c>
      <c r="C2661" s="626">
        <v>1000000</v>
      </c>
      <c r="D2661" s="626">
        <v>0</v>
      </c>
    </row>
    <row r="2662" spans="1:4" x14ac:dyDescent="0.2">
      <c r="A2662">
        <v>2661</v>
      </c>
      <c r="B2662" s="626">
        <v>0</v>
      </c>
      <c r="C2662" s="626">
        <v>1000000</v>
      </c>
      <c r="D2662" s="626">
        <v>0</v>
      </c>
    </row>
    <row r="2663" spans="1:4" x14ac:dyDescent="0.2">
      <c r="A2663">
        <v>2662</v>
      </c>
      <c r="B2663" s="626">
        <v>0</v>
      </c>
      <c r="C2663" s="626">
        <v>1000000</v>
      </c>
      <c r="D2663" s="626">
        <v>0</v>
      </c>
    </row>
    <row r="2664" spans="1:4" x14ac:dyDescent="0.2">
      <c r="A2664">
        <v>2663</v>
      </c>
      <c r="B2664" s="626">
        <v>0</v>
      </c>
      <c r="C2664" s="626">
        <v>1000000</v>
      </c>
      <c r="D2664" s="626">
        <v>0</v>
      </c>
    </row>
    <row r="2665" spans="1:4" x14ac:dyDescent="0.2">
      <c r="A2665">
        <v>2664</v>
      </c>
      <c r="B2665" s="626">
        <v>0</v>
      </c>
      <c r="C2665" s="626">
        <v>1000000</v>
      </c>
      <c r="D2665" s="626">
        <v>0</v>
      </c>
    </row>
    <row r="2666" spans="1:4" x14ac:dyDescent="0.2">
      <c r="A2666">
        <v>2665</v>
      </c>
      <c r="B2666" s="626">
        <v>0</v>
      </c>
      <c r="C2666" s="626">
        <v>1000000</v>
      </c>
      <c r="D2666" s="626">
        <v>0</v>
      </c>
    </row>
    <row r="2667" spans="1:4" x14ac:dyDescent="0.2">
      <c r="A2667">
        <v>2666</v>
      </c>
      <c r="B2667" s="626">
        <v>0</v>
      </c>
      <c r="C2667" s="626">
        <v>1000000</v>
      </c>
      <c r="D2667" s="626">
        <v>0</v>
      </c>
    </row>
    <row r="2668" spans="1:4" x14ac:dyDescent="0.2">
      <c r="A2668">
        <v>2667</v>
      </c>
      <c r="B2668" s="626">
        <v>0</v>
      </c>
      <c r="C2668" s="626">
        <v>1000000</v>
      </c>
      <c r="D2668" s="626">
        <v>0</v>
      </c>
    </row>
    <row r="2669" spans="1:4" x14ac:dyDescent="0.2">
      <c r="A2669">
        <v>2668</v>
      </c>
      <c r="B2669" s="626">
        <v>0</v>
      </c>
      <c r="C2669" s="626">
        <v>1000000</v>
      </c>
      <c r="D2669" s="626">
        <v>0</v>
      </c>
    </row>
    <row r="2670" spans="1:4" x14ac:dyDescent="0.2">
      <c r="A2670">
        <v>2669</v>
      </c>
      <c r="B2670" s="626">
        <v>0</v>
      </c>
      <c r="C2670" s="626">
        <v>1000000</v>
      </c>
      <c r="D2670" s="626">
        <v>0</v>
      </c>
    </row>
    <row r="2671" spans="1:4" x14ac:dyDescent="0.2">
      <c r="A2671">
        <v>2670</v>
      </c>
      <c r="B2671" s="626">
        <v>0</v>
      </c>
      <c r="C2671" s="626">
        <v>1000000</v>
      </c>
      <c r="D2671" s="626">
        <v>0</v>
      </c>
    </row>
    <row r="2672" spans="1:4" x14ac:dyDescent="0.2">
      <c r="A2672">
        <v>2671</v>
      </c>
      <c r="B2672" s="626">
        <v>0</v>
      </c>
      <c r="C2672" s="626">
        <v>1000000</v>
      </c>
      <c r="D2672" s="626">
        <v>0</v>
      </c>
    </row>
    <row r="2673" spans="1:4" x14ac:dyDescent="0.2">
      <c r="A2673">
        <v>2672</v>
      </c>
      <c r="B2673" s="626">
        <v>0</v>
      </c>
      <c r="C2673" s="626">
        <v>1000000</v>
      </c>
      <c r="D2673" s="626">
        <v>0</v>
      </c>
    </row>
    <row r="2674" spans="1:4" x14ac:dyDescent="0.2">
      <c r="A2674">
        <v>2673</v>
      </c>
      <c r="B2674" s="626">
        <v>0</v>
      </c>
      <c r="C2674" s="626">
        <v>1000000</v>
      </c>
      <c r="D2674" s="626">
        <v>0</v>
      </c>
    </row>
    <row r="2675" spans="1:4" x14ac:dyDescent="0.2">
      <c r="A2675">
        <v>2674</v>
      </c>
      <c r="B2675" s="626">
        <v>0</v>
      </c>
      <c r="C2675" s="626">
        <v>1000000</v>
      </c>
      <c r="D2675" s="626">
        <v>0</v>
      </c>
    </row>
    <row r="2676" spans="1:4" x14ac:dyDescent="0.2">
      <c r="A2676">
        <v>2675</v>
      </c>
      <c r="B2676" s="626">
        <v>0</v>
      </c>
      <c r="C2676" s="626">
        <v>1000000</v>
      </c>
      <c r="D2676" s="626">
        <v>0</v>
      </c>
    </row>
    <row r="2677" spans="1:4" x14ac:dyDescent="0.2">
      <c r="A2677">
        <v>2676</v>
      </c>
      <c r="B2677" s="626">
        <v>0</v>
      </c>
      <c r="C2677" s="626">
        <v>1000000</v>
      </c>
      <c r="D2677" s="626">
        <v>0</v>
      </c>
    </row>
    <row r="2678" spans="1:4" x14ac:dyDescent="0.2">
      <c r="A2678">
        <v>2677</v>
      </c>
      <c r="B2678" s="626">
        <v>0</v>
      </c>
      <c r="C2678" s="626">
        <v>1000000</v>
      </c>
      <c r="D2678" s="626">
        <v>0</v>
      </c>
    </row>
    <row r="2679" spans="1:4" x14ac:dyDescent="0.2">
      <c r="A2679">
        <v>2678</v>
      </c>
      <c r="B2679" s="626">
        <v>0</v>
      </c>
      <c r="C2679" s="626">
        <v>1000000</v>
      </c>
      <c r="D2679" s="626">
        <v>0</v>
      </c>
    </row>
    <row r="2680" spans="1:4" x14ac:dyDescent="0.2">
      <c r="A2680">
        <v>2679</v>
      </c>
      <c r="B2680" s="626">
        <v>0</v>
      </c>
      <c r="C2680" s="626">
        <v>1000000</v>
      </c>
      <c r="D2680" s="626">
        <v>0</v>
      </c>
    </row>
    <row r="2681" spans="1:4" x14ac:dyDescent="0.2">
      <c r="A2681">
        <v>2680</v>
      </c>
      <c r="B2681" s="626">
        <v>0</v>
      </c>
      <c r="C2681" s="626">
        <v>1000000</v>
      </c>
      <c r="D2681" s="626">
        <v>0</v>
      </c>
    </row>
    <row r="2682" spans="1:4" x14ac:dyDescent="0.2">
      <c r="A2682">
        <v>2681</v>
      </c>
      <c r="B2682" s="626">
        <v>0</v>
      </c>
      <c r="C2682" s="626">
        <v>1000000</v>
      </c>
      <c r="D2682" s="626">
        <v>0</v>
      </c>
    </row>
    <row r="2683" spans="1:4" x14ac:dyDescent="0.2">
      <c r="A2683">
        <v>2682</v>
      </c>
      <c r="B2683" s="626">
        <v>0</v>
      </c>
      <c r="C2683" s="626">
        <v>1000000</v>
      </c>
      <c r="D2683" s="626">
        <v>0</v>
      </c>
    </row>
    <row r="2684" spans="1:4" x14ac:dyDescent="0.2">
      <c r="A2684">
        <v>2683</v>
      </c>
      <c r="B2684" s="626">
        <v>0</v>
      </c>
      <c r="C2684" s="626">
        <v>1000000</v>
      </c>
      <c r="D2684" s="626">
        <v>0</v>
      </c>
    </row>
    <row r="2685" spans="1:4" x14ac:dyDescent="0.2">
      <c r="A2685">
        <v>2684</v>
      </c>
      <c r="B2685" s="626">
        <v>0</v>
      </c>
      <c r="C2685" s="626">
        <v>1000000</v>
      </c>
      <c r="D2685" s="626">
        <v>0</v>
      </c>
    </row>
    <row r="2686" spans="1:4" x14ac:dyDescent="0.2">
      <c r="A2686">
        <v>2685</v>
      </c>
      <c r="B2686" s="626">
        <v>0</v>
      </c>
      <c r="C2686" s="626">
        <v>1000000</v>
      </c>
      <c r="D2686" s="626">
        <v>0</v>
      </c>
    </row>
    <row r="2687" spans="1:4" x14ac:dyDescent="0.2">
      <c r="A2687">
        <v>2686</v>
      </c>
      <c r="B2687" s="626">
        <v>0</v>
      </c>
      <c r="C2687" s="626">
        <v>1000000</v>
      </c>
      <c r="D2687" s="626">
        <v>0</v>
      </c>
    </row>
    <row r="2688" spans="1:4" x14ac:dyDescent="0.2">
      <c r="A2688">
        <v>2687</v>
      </c>
      <c r="B2688" s="626">
        <v>0</v>
      </c>
      <c r="C2688" s="626">
        <v>1000000</v>
      </c>
      <c r="D2688" s="626">
        <v>0</v>
      </c>
    </row>
    <row r="2689" spans="1:4" x14ac:dyDescent="0.2">
      <c r="A2689">
        <v>2688</v>
      </c>
      <c r="B2689" s="626">
        <v>0</v>
      </c>
      <c r="C2689" s="626">
        <v>1000000</v>
      </c>
      <c r="D2689" s="626">
        <v>0</v>
      </c>
    </row>
    <row r="2690" spans="1:4" x14ac:dyDescent="0.2">
      <c r="A2690">
        <v>2689</v>
      </c>
      <c r="B2690" s="626">
        <v>0</v>
      </c>
      <c r="C2690" s="626">
        <v>1000000</v>
      </c>
      <c r="D2690" s="626">
        <v>0</v>
      </c>
    </row>
    <row r="2691" spans="1:4" x14ac:dyDescent="0.2">
      <c r="A2691">
        <v>2690</v>
      </c>
      <c r="B2691" s="626">
        <v>0</v>
      </c>
      <c r="C2691" s="626">
        <v>1000000</v>
      </c>
      <c r="D2691" s="626">
        <v>0</v>
      </c>
    </row>
    <row r="2692" spans="1:4" x14ac:dyDescent="0.2">
      <c r="A2692">
        <v>2691</v>
      </c>
      <c r="B2692" s="626">
        <v>0</v>
      </c>
      <c r="C2692" s="626">
        <v>1000000</v>
      </c>
      <c r="D2692" s="626">
        <v>0</v>
      </c>
    </row>
    <row r="2693" spans="1:4" x14ac:dyDescent="0.2">
      <c r="A2693">
        <v>2692</v>
      </c>
      <c r="B2693" s="626">
        <v>0</v>
      </c>
      <c r="C2693" s="626">
        <v>1000000</v>
      </c>
      <c r="D2693" s="626">
        <v>0</v>
      </c>
    </row>
    <row r="2694" spans="1:4" x14ac:dyDescent="0.2">
      <c r="A2694">
        <v>2693</v>
      </c>
      <c r="B2694" s="626">
        <v>0</v>
      </c>
      <c r="C2694" s="626">
        <v>1000000</v>
      </c>
      <c r="D2694" s="626">
        <v>0</v>
      </c>
    </row>
    <row r="2695" spans="1:4" x14ac:dyDescent="0.2">
      <c r="A2695">
        <v>2694</v>
      </c>
      <c r="B2695" s="626">
        <v>0</v>
      </c>
      <c r="C2695" s="626">
        <v>1000000</v>
      </c>
      <c r="D2695" s="626">
        <v>0</v>
      </c>
    </row>
    <row r="2696" spans="1:4" x14ac:dyDescent="0.2">
      <c r="A2696">
        <v>2695</v>
      </c>
      <c r="B2696" s="626">
        <v>0</v>
      </c>
      <c r="C2696" s="626">
        <v>1000000</v>
      </c>
      <c r="D2696" s="626">
        <v>0</v>
      </c>
    </row>
    <row r="2697" spans="1:4" x14ac:dyDescent="0.2">
      <c r="A2697">
        <v>2696</v>
      </c>
      <c r="B2697" s="626">
        <v>0</v>
      </c>
      <c r="C2697" s="626">
        <v>1000000</v>
      </c>
      <c r="D2697" s="626">
        <v>0</v>
      </c>
    </row>
    <row r="2698" spans="1:4" x14ac:dyDescent="0.2">
      <c r="A2698">
        <v>2697</v>
      </c>
      <c r="B2698" s="626">
        <v>0</v>
      </c>
      <c r="C2698" s="626">
        <v>1000000</v>
      </c>
      <c r="D2698" s="626">
        <v>0</v>
      </c>
    </row>
    <row r="2699" spans="1:4" x14ac:dyDescent="0.2">
      <c r="A2699">
        <v>2698</v>
      </c>
      <c r="B2699" s="626">
        <v>0</v>
      </c>
      <c r="C2699" s="626">
        <v>1000000</v>
      </c>
      <c r="D2699" s="626">
        <v>0</v>
      </c>
    </row>
    <row r="2700" spans="1:4" x14ac:dyDescent="0.2">
      <c r="A2700">
        <v>2699</v>
      </c>
      <c r="B2700" s="626">
        <v>0</v>
      </c>
      <c r="C2700" s="626">
        <v>1000000</v>
      </c>
      <c r="D2700" s="626">
        <v>0</v>
      </c>
    </row>
    <row r="2701" spans="1:4" x14ac:dyDescent="0.2">
      <c r="A2701">
        <v>2700</v>
      </c>
      <c r="B2701" s="626">
        <v>0</v>
      </c>
      <c r="C2701" s="626">
        <v>1000000</v>
      </c>
      <c r="D2701" s="626">
        <v>0</v>
      </c>
    </row>
    <row r="2702" spans="1:4" x14ac:dyDescent="0.2">
      <c r="A2702">
        <v>2701</v>
      </c>
      <c r="B2702" s="626">
        <v>0</v>
      </c>
      <c r="C2702" s="626">
        <v>1000000</v>
      </c>
      <c r="D2702" s="626">
        <v>0</v>
      </c>
    </row>
    <row r="2703" spans="1:4" x14ac:dyDescent="0.2">
      <c r="A2703">
        <v>2702</v>
      </c>
      <c r="B2703" s="626">
        <v>0</v>
      </c>
      <c r="C2703" s="626">
        <v>1000000</v>
      </c>
      <c r="D2703" s="626">
        <v>0</v>
      </c>
    </row>
    <row r="2704" spans="1:4" x14ac:dyDescent="0.2">
      <c r="A2704">
        <v>2703</v>
      </c>
      <c r="B2704" s="626">
        <v>0</v>
      </c>
      <c r="C2704" s="626">
        <v>1000000</v>
      </c>
      <c r="D2704" s="626">
        <v>0</v>
      </c>
    </row>
    <row r="2705" spans="1:4" x14ac:dyDescent="0.2">
      <c r="A2705">
        <v>2704</v>
      </c>
      <c r="B2705" s="626">
        <v>0</v>
      </c>
      <c r="C2705" s="626">
        <v>1000000</v>
      </c>
      <c r="D2705" s="626">
        <v>0</v>
      </c>
    </row>
    <row r="2706" spans="1:4" x14ac:dyDescent="0.2">
      <c r="A2706">
        <v>2705</v>
      </c>
      <c r="B2706" s="626">
        <v>0</v>
      </c>
      <c r="C2706" s="626">
        <v>1000000</v>
      </c>
      <c r="D2706" s="626">
        <v>0</v>
      </c>
    </row>
    <row r="2707" spans="1:4" x14ac:dyDescent="0.2">
      <c r="A2707">
        <v>2706</v>
      </c>
      <c r="B2707" s="626">
        <v>0</v>
      </c>
      <c r="C2707" s="626">
        <v>1000000</v>
      </c>
      <c r="D2707" s="626">
        <v>0</v>
      </c>
    </row>
    <row r="2708" spans="1:4" x14ac:dyDescent="0.2">
      <c r="A2708">
        <v>2707</v>
      </c>
      <c r="B2708" s="626">
        <v>0</v>
      </c>
      <c r="C2708" s="626">
        <v>1000000</v>
      </c>
      <c r="D2708" s="626">
        <v>0</v>
      </c>
    </row>
    <row r="2709" spans="1:4" x14ac:dyDescent="0.2">
      <c r="A2709">
        <v>2708</v>
      </c>
      <c r="B2709" s="626">
        <v>0</v>
      </c>
      <c r="C2709" s="626">
        <v>1000000</v>
      </c>
      <c r="D2709" s="626">
        <v>0</v>
      </c>
    </row>
    <row r="2710" spans="1:4" x14ac:dyDescent="0.2">
      <c r="A2710">
        <v>2709</v>
      </c>
      <c r="B2710" s="626">
        <v>0</v>
      </c>
      <c r="C2710" s="626">
        <v>1000000</v>
      </c>
      <c r="D2710" s="626">
        <v>0</v>
      </c>
    </row>
    <row r="2711" spans="1:4" x14ac:dyDescent="0.2">
      <c r="A2711">
        <v>2710</v>
      </c>
      <c r="B2711" s="626">
        <v>0</v>
      </c>
      <c r="C2711" s="626">
        <v>1000000</v>
      </c>
      <c r="D2711" s="626">
        <v>0</v>
      </c>
    </row>
    <row r="2712" spans="1:4" x14ac:dyDescent="0.2">
      <c r="A2712">
        <v>2711</v>
      </c>
      <c r="B2712" s="626">
        <v>0</v>
      </c>
      <c r="C2712" s="626">
        <v>1000000</v>
      </c>
      <c r="D2712" s="626">
        <v>0</v>
      </c>
    </row>
    <row r="2713" spans="1:4" x14ac:dyDescent="0.2">
      <c r="A2713">
        <v>2712</v>
      </c>
      <c r="B2713" s="626">
        <v>0</v>
      </c>
      <c r="C2713" s="626">
        <v>1000000</v>
      </c>
      <c r="D2713" s="626">
        <v>0</v>
      </c>
    </row>
    <row r="2714" spans="1:4" x14ac:dyDescent="0.2">
      <c r="A2714">
        <v>2713</v>
      </c>
      <c r="B2714" s="626">
        <v>0</v>
      </c>
      <c r="C2714" s="626">
        <v>1000000</v>
      </c>
      <c r="D2714" s="626">
        <v>0</v>
      </c>
    </row>
    <row r="2715" spans="1:4" x14ac:dyDescent="0.2">
      <c r="A2715">
        <v>2714</v>
      </c>
      <c r="B2715" s="626">
        <v>0</v>
      </c>
      <c r="C2715" s="626">
        <v>1000000</v>
      </c>
      <c r="D2715" s="626">
        <v>0</v>
      </c>
    </row>
    <row r="2716" spans="1:4" x14ac:dyDescent="0.2">
      <c r="A2716">
        <v>2715</v>
      </c>
      <c r="B2716" s="626">
        <v>0</v>
      </c>
      <c r="C2716" s="626">
        <v>1000000</v>
      </c>
      <c r="D2716" s="626">
        <v>0</v>
      </c>
    </row>
    <row r="2717" spans="1:4" x14ac:dyDescent="0.2">
      <c r="A2717">
        <v>2716</v>
      </c>
      <c r="B2717" s="626">
        <v>0</v>
      </c>
      <c r="C2717" s="626">
        <v>1000000</v>
      </c>
      <c r="D2717" s="626">
        <v>0</v>
      </c>
    </row>
    <row r="2718" spans="1:4" x14ac:dyDescent="0.2">
      <c r="A2718">
        <v>2717</v>
      </c>
      <c r="B2718" s="626">
        <v>0</v>
      </c>
      <c r="C2718" s="626">
        <v>1000000</v>
      </c>
      <c r="D2718" s="626">
        <v>0</v>
      </c>
    </row>
    <row r="2719" spans="1:4" x14ac:dyDescent="0.2">
      <c r="A2719">
        <v>2718</v>
      </c>
      <c r="B2719" s="626">
        <v>0</v>
      </c>
      <c r="C2719" s="626">
        <v>1000000</v>
      </c>
      <c r="D2719" s="626">
        <v>0</v>
      </c>
    </row>
    <row r="2720" spans="1:4" x14ac:dyDescent="0.2">
      <c r="A2720">
        <v>2719</v>
      </c>
      <c r="B2720" s="626">
        <v>0</v>
      </c>
      <c r="C2720" s="626">
        <v>1000000</v>
      </c>
      <c r="D2720" s="626">
        <v>0</v>
      </c>
    </row>
    <row r="2721" spans="1:4" x14ac:dyDescent="0.2">
      <c r="A2721">
        <v>2720</v>
      </c>
      <c r="B2721" s="626">
        <v>0</v>
      </c>
      <c r="C2721" s="626">
        <v>1000000</v>
      </c>
      <c r="D2721" s="626">
        <v>0</v>
      </c>
    </row>
    <row r="2722" spans="1:4" x14ac:dyDescent="0.2">
      <c r="A2722">
        <v>2721</v>
      </c>
      <c r="B2722" s="626">
        <v>0</v>
      </c>
      <c r="C2722" s="626">
        <v>1000000</v>
      </c>
      <c r="D2722" s="626">
        <v>0</v>
      </c>
    </row>
    <row r="2723" spans="1:4" x14ac:dyDescent="0.2">
      <c r="A2723">
        <v>2722</v>
      </c>
      <c r="B2723" s="626">
        <v>0</v>
      </c>
      <c r="C2723" s="626">
        <v>1000000</v>
      </c>
      <c r="D2723" s="626">
        <v>0</v>
      </c>
    </row>
    <row r="2724" spans="1:4" x14ac:dyDescent="0.2">
      <c r="A2724">
        <v>2723</v>
      </c>
      <c r="B2724" s="626">
        <v>0</v>
      </c>
      <c r="C2724" s="626">
        <v>1000000</v>
      </c>
      <c r="D2724" s="626">
        <v>0</v>
      </c>
    </row>
    <row r="2725" spans="1:4" x14ac:dyDescent="0.2">
      <c r="A2725">
        <v>2724</v>
      </c>
      <c r="B2725" s="626">
        <v>0</v>
      </c>
      <c r="C2725" s="626">
        <v>1000000</v>
      </c>
      <c r="D2725" s="626">
        <v>0</v>
      </c>
    </row>
    <row r="2726" spans="1:4" x14ac:dyDescent="0.2">
      <c r="A2726">
        <v>2725</v>
      </c>
      <c r="B2726" s="626">
        <v>0</v>
      </c>
      <c r="C2726" s="626">
        <v>1000000</v>
      </c>
      <c r="D2726" s="626">
        <v>0</v>
      </c>
    </row>
    <row r="2727" spans="1:4" x14ac:dyDescent="0.2">
      <c r="A2727">
        <v>2726</v>
      </c>
      <c r="B2727" s="626">
        <v>0</v>
      </c>
      <c r="C2727" s="626">
        <v>1000000</v>
      </c>
      <c r="D2727" s="626">
        <v>0</v>
      </c>
    </row>
    <row r="2728" spans="1:4" x14ac:dyDescent="0.2">
      <c r="A2728">
        <v>2727</v>
      </c>
      <c r="B2728" s="626">
        <v>0</v>
      </c>
      <c r="C2728" s="626">
        <v>1000000</v>
      </c>
      <c r="D2728" s="626">
        <v>0</v>
      </c>
    </row>
    <row r="2729" spans="1:4" x14ac:dyDescent="0.2">
      <c r="A2729">
        <v>2728</v>
      </c>
      <c r="B2729" s="626">
        <v>0</v>
      </c>
      <c r="C2729" s="626">
        <v>1000000</v>
      </c>
      <c r="D2729" s="626">
        <v>0</v>
      </c>
    </row>
    <row r="2730" spans="1:4" x14ac:dyDescent="0.2">
      <c r="A2730">
        <v>2729</v>
      </c>
      <c r="B2730" s="626">
        <v>0</v>
      </c>
      <c r="C2730" s="626">
        <v>1000000</v>
      </c>
      <c r="D2730" s="626">
        <v>0</v>
      </c>
    </row>
    <row r="2731" spans="1:4" x14ac:dyDescent="0.2">
      <c r="A2731">
        <v>2730</v>
      </c>
      <c r="B2731" s="626">
        <v>0</v>
      </c>
      <c r="C2731" s="626">
        <v>1000000</v>
      </c>
      <c r="D2731" s="626">
        <v>0</v>
      </c>
    </row>
    <row r="2732" spans="1:4" x14ac:dyDescent="0.2">
      <c r="A2732">
        <v>2731</v>
      </c>
      <c r="B2732" s="626">
        <v>0</v>
      </c>
      <c r="C2732" s="626">
        <v>1000000</v>
      </c>
      <c r="D2732" s="626">
        <v>0</v>
      </c>
    </row>
    <row r="2733" spans="1:4" x14ac:dyDescent="0.2">
      <c r="A2733">
        <v>2732</v>
      </c>
      <c r="B2733" s="626">
        <v>0</v>
      </c>
      <c r="C2733" s="626">
        <v>1000000</v>
      </c>
      <c r="D2733" s="626">
        <v>0</v>
      </c>
    </row>
    <row r="2734" spans="1:4" x14ac:dyDescent="0.2">
      <c r="A2734">
        <v>2733</v>
      </c>
      <c r="B2734" s="626">
        <v>0</v>
      </c>
      <c r="C2734" s="626">
        <v>1000000</v>
      </c>
      <c r="D2734" s="626">
        <v>0</v>
      </c>
    </row>
    <row r="2735" spans="1:4" x14ac:dyDescent="0.2">
      <c r="A2735">
        <v>2734</v>
      </c>
      <c r="B2735" s="626">
        <v>0</v>
      </c>
      <c r="C2735" s="626">
        <v>1000000</v>
      </c>
      <c r="D2735" s="626">
        <v>0</v>
      </c>
    </row>
    <row r="2736" spans="1:4" x14ac:dyDescent="0.2">
      <c r="A2736">
        <v>2735</v>
      </c>
      <c r="B2736" s="626">
        <v>0</v>
      </c>
      <c r="C2736" s="626">
        <v>1000000</v>
      </c>
      <c r="D2736" s="626">
        <v>0</v>
      </c>
    </row>
    <row r="2737" spans="1:4" x14ac:dyDescent="0.2">
      <c r="A2737">
        <v>2736</v>
      </c>
      <c r="B2737" s="626">
        <v>0</v>
      </c>
      <c r="C2737" s="626">
        <v>1000000</v>
      </c>
      <c r="D2737" s="626">
        <v>0</v>
      </c>
    </row>
    <row r="2738" spans="1:4" x14ac:dyDescent="0.2">
      <c r="A2738">
        <v>2737</v>
      </c>
      <c r="B2738" s="626">
        <v>0</v>
      </c>
      <c r="C2738" s="626">
        <v>1000000</v>
      </c>
      <c r="D2738" s="626">
        <v>0</v>
      </c>
    </row>
    <row r="2739" spans="1:4" x14ac:dyDescent="0.2">
      <c r="A2739">
        <v>2738</v>
      </c>
      <c r="B2739" s="626">
        <v>0</v>
      </c>
      <c r="C2739" s="626">
        <v>1000000</v>
      </c>
      <c r="D2739" s="626">
        <v>0</v>
      </c>
    </row>
    <row r="2740" spans="1:4" x14ac:dyDescent="0.2">
      <c r="A2740">
        <v>2739</v>
      </c>
      <c r="B2740" s="626">
        <v>0</v>
      </c>
      <c r="C2740" s="626">
        <v>1000000</v>
      </c>
      <c r="D2740" s="626">
        <v>0</v>
      </c>
    </row>
    <row r="2741" spans="1:4" x14ac:dyDescent="0.2">
      <c r="A2741">
        <v>2740</v>
      </c>
      <c r="B2741" s="626">
        <v>0</v>
      </c>
      <c r="C2741" s="626">
        <v>1000000</v>
      </c>
      <c r="D2741" s="626">
        <v>0</v>
      </c>
    </row>
    <row r="2742" spans="1:4" x14ac:dyDescent="0.2">
      <c r="A2742">
        <v>2741</v>
      </c>
      <c r="B2742" s="626">
        <v>0</v>
      </c>
      <c r="C2742" s="626">
        <v>1000000</v>
      </c>
      <c r="D2742" s="626">
        <v>0</v>
      </c>
    </row>
    <row r="2743" spans="1:4" x14ac:dyDescent="0.2">
      <c r="A2743">
        <v>2742</v>
      </c>
      <c r="B2743" s="626">
        <v>0</v>
      </c>
      <c r="C2743" s="626">
        <v>1000000</v>
      </c>
      <c r="D2743" s="626">
        <v>0</v>
      </c>
    </row>
    <row r="2744" spans="1:4" x14ac:dyDescent="0.2">
      <c r="A2744">
        <v>2743</v>
      </c>
      <c r="B2744" s="626">
        <v>0</v>
      </c>
      <c r="C2744" s="626">
        <v>1000000</v>
      </c>
      <c r="D2744" s="626">
        <v>0</v>
      </c>
    </row>
    <row r="2745" spans="1:4" x14ac:dyDescent="0.2">
      <c r="A2745">
        <v>2744</v>
      </c>
      <c r="B2745" s="626">
        <v>0</v>
      </c>
      <c r="C2745" s="626">
        <v>1000000</v>
      </c>
      <c r="D2745" s="626">
        <v>0</v>
      </c>
    </row>
    <row r="2746" spans="1:4" x14ac:dyDescent="0.2">
      <c r="A2746">
        <v>2745</v>
      </c>
      <c r="B2746" s="626">
        <v>0</v>
      </c>
      <c r="C2746" s="626">
        <v>1000000</v>
      </c>
      <c r="D2746" s="626">
        <v>0</v>
      </c>
    </row>
    <row r="2747" spans="1:4" x14ac:dyDescent="0.2">
      <c r="A2747">
        <v>2746</v>
      </c>
      <c r="B2747" s="626">
        <v>0</v>
      </c>
      <c r="C2747" s="626">
        <v>1000000</v>
      </c>
      <c r="D2747" s="626">
        <v>0</v>
      </c>
    </row>
    <row r="2748" spans="1:4" x14ac:dyDescent="0.2">
      <c r="A2748">
        <v>2747</v>
      </c>
      <c r="B2748" s="626">
        <v>0</v>
      </c>
      <c r="C2748" s="626">
        <v>1000000</v>
      </c>
      <c r="D2748" s="626">
        <v>0</v>
      </c>
    </row>
    <row r="2749" spans="1:4" x14ac:dyDescent="0.2">
      <c r="A2749">
        <v>2748</v>
      </c>
      <c r="B2749" s="626">
        <v>0</v>
      </c>
      <c r="C2749" s="626">
        <v>1000000</v>
      </c>
      <c r="D2749" s="626">
        <v>0</v>
      </c>
    </row>
    <row r="2750" spans="1:4" x14ac:dyDescent="0.2">
      <c r="A2750">
        <v>2749</v>
      </c>
      <c r="B2750" s="626">
        <v>0</v>
      </c>
      <c r="C2750" s="626">
        <v>1000000</v>
      </c>
      <c r="D2750" s="626">
        <v>0</v>
      </c>
    </row>
    <row r="2751" spans="1:4" x14ac:dyDescent="0.2">
      <c r="A2751">
        <v>2750</v>
      </c>
      <c r="B2751" s="626">
        <v>0</v>
      </c>
      <c r="C2751" s="626">
        <v>1000000</v>
      </c>
      <c r="D2751" s="626">
        <v>0</v>
      </c>
    </row>
    <row r="2752" spans="1:4" x14ac:dyDescent="0.2">
      <c r="A2752">
        <v>2751</v>
      </c>
      <c r="B2752" s="626">
        <v>0</v>
      </c>
      <c r="C2752" s="626">
        <v>1000000</v>
      </c>
      <c r="D2752" s="626">
        <v>0</v>
      </c>
    </row>
    <row r="2753" spans="1:4" x14ac:dyDescent="0.2">
      <c r="A2753">
        <v>2752</v>
      </c>
      <c r="B2753" s="626">
        <v>0</v>
      </c>
      <c r="C2753" s="626">
        <v>1000000</v>
      </c>
      <c r="D2753" s="626">
        <v>0</v>
      </c>
    </row>
    <row r="2754" spans="1:4" x14ac:dyDescent="0.2">
      <c r="A2754">
        <v>2753</v>
      </c>
      <c r="B2754" s="626">
        <v>0</v>
      </c>
      <c r="C2754" s="626">
        <v>1000000</v>
      </c>
      <c r="D2754" s="626">
        <v>0</v>
      </c>
    </row>
    <row r="2755" spans="1:4" x14ac:dyDescent="0.2">
      <c r="A2755">
        <v>2754</v>
      </c>
      <c r="B2755" s="626">
        <v>0</v>
      </c>
      <c r="C2755" s="626">
        <v>1000000</v>
      </c>
      <c r="D2755" s="626">
        <v>0</v>
      </c>
    </row>
    <row r="2756" spans="1:4" x14ac:dyDescent="0.2">
      <c r="A2756">
        <v>2755</v>
      </c>
      <c r="B2756" s="626">
        <v>0</v>
      </c>
      <c r="C2756" s="626">
        <v>1000000</v>
      </c>
      <c r="D2756" s="626">
        <v>0</v>
      </c>
    </row>
    <row r="2757" spans="1:4" x14ac:dyDescent="0.2">
      <c r="A2757">
        <v>2756</v>
      </c>
      <c r="B2757" s="626">
        <v>0</v>
      </c>
      <c r="C2757" s="626">
        <v>1000000</v>
      </c>
      <c r="D2757" s="626">
        <v>0</v>
      </c>
    </row>
    <row r="2758" spans="1:4" x14ac:dyDescent="0.2">
      <c r="A2758">
        <v>2757</v>
      </c>
      <c r="B2758" s="626">
        <v>0</v>
      </c>
      <c r="C2758" s="626">
        <v>1000000</v>
      </c>
      <c r="D2758" s="626">
        <v>0</v>
      </c>
    </row>
    <row r="2759" spans="1:4" x14ac:dyDescent="0.2">
      <c r="A2759">
        <v>2758</v>
      </c>
      <c r="B2759" s="626">
        <v>0</v>
      </c>
      <c r="C2759" s="626">
        <v>1000000</v>
      </c>
      <c r="D2759" s="626">
        <v>0</v>
      </c>
    </row>
    <row r="2760" spans="1:4" x14ac:dyDescent="0.2">
      <c r="A2760">
        <v>2759</v>
      </c>
      <c r="B2760" s="626">
        <v>0</v>
      </c>
      <c r="C2760" s="626">
        <v>1000000</v>
      </c>
      <c r="D2760" s="626">
        <v>0</v>
      </c>
    </row>
    <row r="2761" spans="1:4" x14ac:dyDescent="0.2">
      <c r="A2761">
        <v>2760</v>
      </c>
      <c r="B2761" s="626">
        <v>0</v>
      </c>
      <c r="C2761" s="626">
        <v>1000000</v>
      </c>
      <c r="D2761" s="626">
        <v>0</v>
      </c>
    </row>
    <row r="2762" spans="1:4" x14ac:dyDescent="0.2">
      <c r="A2762">
        <v>2761</v>
      </c>
      <c r="B2762" s="626">
        <v>0</v>
      </c>
      <c r="C2762" s="626">
        <v>1000000</v>
      </c>
      <c r="D2762" s="626">
        <v>0</v>
      </c>
    </row>
    <row r="2763" spans="1:4" x14ac:dyDescent="0.2">
      <c r="A2763">
        <v>2762</v>
      </c>
      <c r="B2763" s="626">
        <v>0</v>
      </c>
      <c r="C2763" s="626">
        <v>1000000</v>
      </c>
      <c r="D2763" s="626">
        <v>0</v>
      </c>
    </row>
    <row r="2764" spans="1:4" x14ac:dyDescent="0.2">
      <c r="A2764">
        <v>2763</v>
      </c>
      <c r="B2764" s="626">
        <v>0</v>
      </c>
      <c r="C2764" s="626">
        <v>1000000</v>
      </c>
      <c r="D2764" s="626">
        <v>0</v>
      </c>
    </row>
    <row r="2765" spans="1:4" x14ac:dyDescent="0.2">
      <c r="A2765">
        <v>2764</v>
      </c>
      <c r="B2765" s="626">
        <v>0</v>
      </c>
      <c r="C2765" s="626">
        <v>1000000</v>
      </c>
      <c r="D2765" s="626">
        <v>0</v>
      </c>
    </row>
    <row r="2766" spans="1:4" x14ac:dyDescent="0.2">
      <c r="A2766">
        <v>2765</v>
      </c>
      <c r="B2766" s="626">
        <v>0</v>
      </c>
      <c r="C2766" s="626">
        <v>1000000</v>
      </c>
      <c r="D2766" s="626">
        <v>0</v>
      </c>
    </row>
    <row r="2767" spans="1:4" x14ac:dyDescent="0.2">
      <c r="A2767">
        <v>2766</v>
      </c>
      <c r="B2767" s="626">
        <v>0</v>
      </c>
      <c r="C2767" s="626">
        <v>1000000</v>
      </c>
      <c r="D2767" s="626">
        <v>0</v>
      </c>
    </row>
    <row r="2768" spans="1:4" x14ac:dyDescent="0.2">
      <c r="A2768">
        <v>2767</v>
      </c>
      <c r="B2768" s="626">
        <v>0</v>
      </c>
      <c r="C2768" s="626">
        <v>1000000</v>
      </c>
      <c r="D2768" s="626">
        <v>0</v>
      </c>
    </row>
    <row r="2769" spans="1:4" x14ac:dyDescent="0.2">
      <c r="A2769">
        <v>2768</v>
      </c>
      <c r="B2769" s="626">
        <v>0</v>
      </c>
      <c r="C2769" s="626">
        <v>1000000</v>
      </c>
      <c r="D2769" s="626">
        <v>0</v>
      </c>
    </row>
    <row r="2770" spans="1:4" x14ac:dyDescent="0.2">
      <c r="A2770">
        <v>2769</v>
      </c>
      <c r="B2770" s="626">
        <v>0</v>
      </c>
      <c r="C2770" s="626">
        <v>1000000</v>
      </c>
      <c r="D2770" s="626">
        <v>0</v>
      </c>
    </row>
    <row r="2771" spans="1:4" x14ac:dyDescent="0.2">
      <c r="A2771">
        <v>2770</v>
      </c>
      <c r="B2771" s="626">
        <v>0</v>
      </c>
      <c r="C2771" s="626">
        <v>1000000</v>
      </c>
      <c r="D2771" s="626">
        <v>0</v>
      </c>
    </row>
    <row r="2772" spans="1:4" x14ac:dyDescent="0.2">
      <c r="A2772">
        <v>2771</v>
      </c>
      <c r="B2772" s="626">
        <v>0</v>
      </c>
      <c r="C2772" s="626">
        <v>1000000</v>
      </c>
      <c r="D2772" s="626">
        <v>0</v>
      </c>
    </row>
    <row r="2773" spans="1:4" x14ac:dyDescent="0.2">
      <c r="A2773">
        <v>2772</v>
      </c>
      <c r="B2773" s="626">
        <v>0</v>
      </c>
      <c r="C2773" s="626">
        <v>1000000</v>
      </c>
      <c r="D2773" s="626">
        <v>0</v>
      </c>
    </row>
    <row r="2774" spans="1:4" x14ac:dyDescent="0.2">
      <c r="A2774">
        <v>2773</v>
      </c>
      <c r="B2774" s="626">
        <v>0</v>
      </c>
      <c r="C2774" s="626">
        <v>1000000</v>
      </c>
      <c r="D2774" s="626">
        <v>0</v>
      </c>
    </row>
    <row r="2775" spans="1:4" x14ac:dyDescent="0.2">
      <c r="A2775">
        <v>2774</v>
      </c>
      <c r="B2775" s="626">
        <v>0</v>
      </c>
      <c r="C2775" s="626">
        <v>1000000</v>
      </c>
      <c r="D2775" s="626">
        <v>0</v>
      </c>
    </row>
    <row r="2776" spans="1:4" x14ac:dyDescent="0.2">
      <c r="A2776">
        <v>2775</v>
      </c>
      <c r="B2776" s="626">
        <v>0</v>
      </c>
      <c r="C2776" s="626">
        <v>1000000</v>
      </c>
      <c r="D2776" s="626">
        <v>0</v>
      </c>
    </row>
    <row r="2777" spans="1:4" x14ac:dyDescent="0.2">
      <c r="A2777">
        <v>2776</v>
      </c>
      <c r="B2777" s="626">
        <v>0</v>
      </c>
      <c r="C2777" s="626">
        <v>1000000</v>
      </c>
      <c r="D2777" s="626">
        <v>0</v>
      </c>
    </row>
    <row r="2778" spans="1:4" x14ac:dyDescent="0.2">
      <c r="A2778">
        <v>2777</v>
      </c>
      <c r="B2778" s="626">
        <v>0</v>
      </c>
      <c r="C2778" s="626">
        <v>1000000</v>
      </c>
      <c r="D2778" s="626">
        <v>0</v>
      </c>
    </row>
    <row r="2779" spans="1:4" x14ac:dyDescent="0.2">
      <c r="A2779">
        <v>2778</v>
      </c>
      <c r="B2779" s="626">
        <v>0</v>
      </c>
      <c r="C2779" s="626">
        <v>1000000</v>
      </c>
      <c r="D2779" s="626">
        <v>0</v>
      </c>
    </row>
    <row r="2780" spans="1:4" x14ac:dyDescent="0.2">
      <c r="A2780">
        <v>2779</v>
      </c>
      <c r="B2780" s="626">
        <v>0</v>
      </c>
      <c r="C2780" s="626">
        <v>1000000</v>
      </c>
      <c r="D2780" s="626">
        <v>0</v>
      </c>
    </row>
    <row r="2781" spans="1:4" x14ac:dyDescent="0.2">
      <c r="A2781">
        <v>2780</v>
      </c>
      <c r="B2781" s="626">
        <v>0</v>
      </c>
      <c r="C2781" s="626">
        <v>1000000</v>
      </c>
      <c r="D2781" s="626">
        <v>0</v>
      </c>
    </row>
    <row r="2782" spans="1:4" x14ac:dyDescent="0.2">
      <c r="A2782">
        <v>2781</v>
      </c>
      <c r="B2782" s="626">
        <v>0</v>
      </c>
      <c r="C2782" s="626">
        <v>1000000</v>
      </c>
      <c r="D2782" s="626">
        <v>0</v>
      </c>
    </row>
    <row r="2783" spans="1:4" x14ac:dyDescent="0.2">
      <c r="A2783">
        <v>2782</v>
      </c>
      <c r="B2783" s="626">
        <v>0</v>
      </c>
      <c r="C2783" s="626">
        <v>1000000</v>
      </c>
      <c r="D2783" s="626">
        <v>0</v>
      </c>
    </row>
    <row r="2784" spans="1:4" x14ac:dyDescent="0.2">
      <c r="A2784">
        <v>2783</v>
      </c>
      <c r="B2784" s="626">
        <v>0</v>
      </c>
      <c r="C2784" s="626">
        <v>1000000</v>
      </c>
      <c r="D2784" s="626">
        <v>0</v>
      </c>
    </row>
    <row r="2785" spans="1:4" x14ac:dyDescent="0.2">
      <c r="A2785">
        <v>2784</v>
      </c>
      <c r="B2785" s="626">
        <v>0</v>
      </c>
      <c r="C2785" s="626">
        <v>1000000</v>
      </c>
      <c r="D2785" s="626">
        <v>0</v>
      </c>
    </row>
    <row r="2786" spans="1:4" x14ac:dyDescent="0.2">
      <c r="A2786">
        <v>2785</v>
      </c>
      <c r="B2786" s="626">
        <v>0</v>
      </c>
      <c r="C2786" s="626">
        <v>1000000</v>
      </c>
      <c r="D2786" s="626">
        <v>0</v>
      </c>
    </row>
    <row r="2787" spans="1:4" x14ac:dyDescent="0.2">
      <c r="A2787">
        <v>2786</v>
      </c>
      <c r="B2787" s="626">
        <v>0</v>
      </c>
      <c r="C2787" s="626">
        <v>1000000</v>
      </c>
      <c r="D2787" s="626">
        <v>0</v>
      </c>
    </row>
    <row r="2788" spans="1:4" x14ac:dyDescent="0.2">
      <c r="A2788">
        <v>2787</v>
      </c>
      <c r="B2788" s="626">
        <v>0</v>
      </c>
      <c r="C2788" s="626">
        <v>1000000</v>
      </c>
      <c r="D2788" s="626">
        <v>0</v>
      </c>
    </row>
    <row r="2789" spans="1:4" x14ac:dyDescent="0.2">
      <c r="A2789">
        <v>2788</v>
      </c>
      <c r="B2789" s="626">
        <v>0</v>
      </c>
      <c r="C2789" s="626">
        <v>1000000</v>
      </c>
      <c r="D2789" s="626">
        <v>0</v>
      </c>
    </row>
    <row r="2790" spans="1:4" x14ac:dyDescent="0.2">
      <c r="A2790">
        <v>2789</v>
      </c>
      <c r="B2790" s="626">
        <v>0</v>
      </c>
      <c r="C2790" s="626">
        <v>1000000</v>
      </c>
      <c r="D2790" s="626">
        <v>0</v>
      </c>
    </row>
    <row r="2791" spans="1:4" x14ac:dyDescent="0.2">
      <c r="A2791">
        <v>2790</v>
      </c>
      <c r="B2791" s="626">
        <v>0</v>
      </c>
      <c r="C2791" s="626">
        <v>1000000</v>
      </c>
      <c r="D2791" s="626">
        <v>0</v>
      </c>
    </row>
    <row r="2792" spans="1:4" x14ac:dyDescent="0.2">
      <c r="A2792">
        <v>2791</v>
      </c>
      <c r="B2792" s="626">
        <v>0</v>
      </c>
      <c r="C2792" s="626">
        <v>1000000</v>
      </c>
      <c r="D2792" s="626">
        <v>0</v>
      </c>
    </row>
    <row r="2793" spans="1:4" x14ac:dyDescent="0.2">
      <c r="A2793">
        <v>2792</v>
      </c>
      <c r="B2793" s="626">
        <v>0</v>
      </c>
      <c r="C2793" s="626">
        <v>1000000</v>
      </c>
      <c r="D2793" s="626">
        <v>0</v>
      </c>
    </row>
    <row r="2794" spans="1:4" x14ac:dyDescent="0.2">
      <c r="A2794">
        <v>2793</v>
      </c>
      <c r="B2794" s="626">
        <v>0</v>
      </c>
      <c r="C2794" s="626">
        <v>1000000</v>
      </c>
      <c r="D2794" s="626">
        <v>0</v>
      </c>
    </row>
    <row r="2795" spans="1:4" x14ac:dyDescent="0.2">
      <c r="A2795">
        <v>2794</v>
      </c>
      <c r="B2795" s="626">
        <v>0</v>
      </c>
      <c r="C2795" s="626">
        <v>1000000</v>
      </c>
      <c r="D2795" s="626">
        <v>0</v>
      </c>
    </row>
    <row r="2796" spans="1:4" x14ac:dyDescent="0.2">
      <c r="A2796">
        <v>2795</v>
      </c>
      <c r="B2796" s="626">
        <v>0</v>
      </c>
      <c r="C2796" s="626">
        <v>1000000</v>
      </c>
      <c r="D2796" s="626">
        <v>0</v>
      </c>
    </row>
    <row r="2797" spans="1:4" x14ac:dyDescent="0.2">
      <c r="A2797">
        <v>2796</v>
      </c>
      <c r="B2797" s="626">
        <v>0</v>
      </c>
      <c r="C2797" s="626">
        <v>1000000</v>
      </c>
      <c r="D2797" s="626">
        <v>0</v>
      </c>
    </row>
    <row r="2798" spans="1:4" x14ac:dyDescent="0.2">
      <c r="A2798">
        <v>2797</v>
      </c>
      <c r="B2798" s="626">
        <v>0</v>
      </c>
      <c r="C2798" s="626">
        <v>1000000</v>
      </c>
      <c r="D2798" s="626">
        <v>0</v>
      </c>
    </row>
    <row r="2799" spans="1:4" x14ac:dyDescent="0.2">
      <c r="A2799">
        <v>2798</v>
      </c>
      <c r="B2799" s="626">
        <v>0</v>
      </c>
      <c r="C2799" s="626">
        <v>1000000</v>
      </c>
      <c r="D2799" s="626">
        <v>0</v>
      </c>
    </row>
    <row r="2800" spans="1:4" x14ac:dyDescent="0.2">
      <c r="A2800">
        <v>2799</v>
      </c>
      <c r="B2800" s="626">
        <v>0</v>
      </c>
      <c r="C2800" s="626">
        <v>1000000</v>
      </c>
      <c r="D2800" s="626">
        <v>0</v>
      </c>
    </row>
    <row r="2801" spans="1:4" x14ac:dyDescent="0.2">
      <c r="A2801">
        <v>2800</v>
      </c>
      <c r="B2801" s="626">
        <v>0</v>
      </c>
      <c r="C2801" s="626">
        <v>1000000</v>
      </c>
      <c r="D2801" s="626">
        <v>0</v>
      </c>
    </row>
    <row r="2802" spans="1:4" x14ac:dyDescent="0.2">
      <c r="A2802">
        <v>2801</v>
      </c>
      <c r="B2802" s="626">
        <v>0</v>
      </c>
      <c r="C2802" s="626">
        <v>1000000</v>
      </c>
      <c r="D2802" s="626">
        <v>0</v>
      </c>
    </row>
    <row r="2803" spans="1:4" x14ac:dyDescent="0.2">
      <c r="A2803">
        <v>2802</v>
      </c>
      <c r="B2803" s="626">
        <v>0</v>
      </c>
      <c r="C2803" s="626">
        <v>1000000</v>
      </c>
      <c r="D2803" s="626">
        <v>0</v>
      </c>
    </row>
    <row r="2804" spans="1:4" x14ac:dyDescent="0.2">
      <c r="A2804">
        <v>2803</v>
      </c>
      <c r="B2804" s="626">
        <v>0</v>
      </c>
      <c r="C2804" s="626">
        <v>1000000</v>
      </c>
      <c r="D2804" s="626">
        <v>0</v>
      </c>
    </row>
    <row r="2805" spans="1:4" x14ac:dyDescent="0.2">
      <c r="A2805">
        <v>2804</v>
      </c>
      <c r="B2805" s="626">
        <v>0</v>
      </c>
      <c r="C2805" s="626">
        <v>1000000</v>
      </c>
      <c r="D2805" s="626">
        <v>0</v>
      </c>
    </row>
    <row r="2806" spans="1:4" x14ac:dyDescent="0.2">
      <c r="A2806">
        <v>2805</v>
      </c>
      <c r="B2806" s="626">
        <v>0</v>
      </c>
      <c r="C2806" s="626">
        <v>1000000</v>
      </c>
      <c r="D2806" s="626">
        <v>0</v>
      </c>
    </row>
    <row r="2807" spans="1:4" x14ac:dyDescent="0.2">
      <c r="A2807">
        <v>2806</v>
      </c>
      <c r="B2807" s="626">
        <v>0</v>
      </c>
      <c r="C2807" s="626">
        <v>1000000</v>
      </c>
      <c r="D2807" s="626">
        <v>0</v>
      </c>
    </row>
    <row r="2808" spans="1:4" x14ac:dyDescent="0.2">
      <c r="A2808">
        <v>2807</v>
      </c>
      <c r="B2808" s="626">
        <v>0</v>
      </c>
      <c r="C2808" s="626">
        <v>1000000</v>
      </c>
      <c r="D2808" s="626">
        <v>0</v>
      </c>
    </row>
    <row r="2809" spans="1:4" x14ac:dyDescent="0.2">
      <c r="A2809">
        <v>2808</v>
      </c>
      <c r="B2809" s="626">
        <v>0</v>
      </c>
      <c r="C2809" s="626">
        <v>1000000</v>
      </c>
      <c r="D2809" s="626">
        <v>0</v>
      </c>
    </row>
    <row r="2810" spans="1:4" x14ac:dyDescent="0.2">
      <c r="A2810">
        <v>2809</v>
      </c>
      <c r="B2810" s="626">
        <v>0</v>
      </c>
      <c r="C2810" s="626">
        <v>1000000</v>
      </c>
      <c r="D2810" s="626">
        <v>0</v>
      </c>
    </row>
    <row r="2811" spans="1:4" x14ac:dyDescent="0.2">
      <c r="A2811">
        <v>2810</v>
      </c>
      <c r="B2811" s="626">
        <v>0</v>
      </c>
      <c r="C2811" s="626">
        <v>1000000</v>
      </c>
      <c r="D2811" s="626">
        <v>0</v>
      </c>
    </row>
    <row r="2812" spans="1:4" x14ac:dyDescent="0.2">
      <c r="A2812">
        <v>2811</v>
      </c>
      <c r="B2812" s="626">
        <v>0</v>
      </c>
      <c r="C2812" s="626">
        <v>1000000</v>
      </c>
      <c r="D2812" s="626">
        <v>0</v>
      </c>
    </row>
    <row r="2813" spans="1:4" x14ac:dyDescent="0.2">
      <c r="A2813">
        <v>2812</v>
      </c>
      <c r="B2813" s="626">
        <v>0</v>
      </c>
      <c r="C2813" s="626">
        <v>1000000</v>
      </c>
      <c r="D2813" s="626">
        <v>0</v>
      </c>
    </row>
    <row r="2814" spans="1:4" x14ac:dyDescent="0.2">
      <c r="A2814">
        <v>2813</v>
      </c>
      <c r="B2814" s="626">
        <v>0</v>
      </c>
      <c r="C2814" s="626">
        <v>1000000</v>
      </c>
      <c r="D2814" s="626">
        <v>0</v>
      </c>
    </row>
    <row r="2815" spans="1:4" x14ac:dyDescent="0.2">
      <c r="A2815">
        <v>2814</v>
      </c>
      <c r="B2815" s="626">
        <v>0</v>
      </c>
      <c r="C2815" s="626">
        <v>1000000</v>
      </c>
      <c r="D2815" s="626">
        <v>0</v>
      </c>
    </row>
    <row r="2816" spans="1:4" x14ac:dyDescent="0.2">
      <c r="A2816">
        <v>2815</v>
      </c>
      <c r="B2816" s="626">
        <v>0</v>
      </c>
      <c r="C2816" s="626">
        <v>1000000</v>
      </c>
      <c r="D2816" s="626">
        <v>0</v>
      </c>
    </row>
    <row r="2817" spans="1:4" x14ac:dyDescent="0.2">
      <c r="A2817">
        <v>2816</v>
      </c>
      <c r="B2817" s="626">
        <v>0</v>
      </c>
      <c r="C2817" s="626">
        <v>1000000</v>
      </c>
      <c r="D2817" s="626">
        <v>0</v>
      </c>
    </row>
    <row r="2818" spans="1:4" x14ac:dyDescent="0.2">
      <c r="A2818">
        <v>2817</v>
      </c>
      <c r="B2818" s="626">
        <v>0</v>
      </c>
      <c r="C2818" s="626">
        <v>1000000</v>
      </c>
      <c r="D2818" s="626">
        <v>0</v>
      </c>
    </row>
    <row r="2819" spans="1:4" x14ac:dyDescent="0.2">
      <c r="A2819">
        <v>2818</v>
      </c>
      <c r="B2819" s="626">
        <v>0</v>
      </c>
      <c r="C2819" s="626">
        <v>1000000</v>
      </c>
      <c r="D2819" s="626">
        <v>0</v>
      </c>
    </row>
    <row r="2820" spans="1:4" x14ac:dyDescent="0.2">
      <c r="A2820">
        <v>2819</v>
      </c>
      <c r="B2820" s="626">
        <v>0</v>
      </c>
      <c r="C2820" s="626">
        <v>1000000</v>
      </c>
      <c r="D2820" s="626">
        <v>0</v>
      </c>
    </row>
    <row r="2821" spans="1:4" x14ac:dyDescent="0.2">
      <c r="A2821">
        <v>2820</v>
      </c>
      <c r="B2821" s="626">
        <v>0</v>
      </c>
      <c r="C2821" s="626">
        <v>1000000</v>
      </c>
      <c r="D2821" s="626">
        <v>0</v>
      </c>
    </row>
    <row r="2822" spans="1:4" x14ac:dyDescent="0.2">
      <c r="A2822">
        <v>2821</v>
      </c>
      <c r="B2822" s="626">
        <v>0</v>
      </c>
      <c r="C2822" s="626">
        <v>1000000</v>
      </c>
      <c r="D2822" s="626">
        <v>0</v>
      </c>
    </row>
    <row r="2823" spans="1:4" x14ac:dyDescent="0.2">
      <c r="A2823">
        <v>2822</v>
      </c>
      <c r="B2823" s="626">
        <v>0</v>
      </c>
      <c r="C2823" s="626">
        <v>1000000</v>
      </c>
      <c r="D2823" s="626">
        <v>0</v>
      </c>
    </row>
    <row r="2824" spans="1:4" x14ac:dyDescent="0.2">
      <c r="A2824">
        <v>2823</v>
      </c>
      <c r="B2824" s="626">
        <v>0</v>
      </c>
      <c r="C2824" s="626">
        <v>1000000</v>
      </c>
      <c r="D2824" s="626">
        <v>0</v>
      </c>
    </row>
    <row r="2825" spans="1:4" x14ac:dyDescent="0.2">
      <c r="A2825">
        <v>2824</v>
      </c>
      <c r="B2825" s="626">
        <v>0</v>
      </c>
      <c r="C2825" s="626">
        <v>1000000</v>
      </c>
      <c r="D2825" s="626">
        <v>0</v>
      </c>
    </row>
    <row r="2826" spans="1:4" x14ac:dyDescent="0.2">
      <c r="A2826">
        <v>2825</v>
      </c>
      <c r="B2826" s="626">
        <v>0</v>
      </c>
      <c r="C2826" s="626">
        <v>1000000</v>
      </c>
      <c r="D2826" s="626">
        <v>0</v>
      </c>
    </row>
    <row r="2827" spans="1:4" x14ac:dyDescent="0.2">
      <c r="A2827">
        <v>2826</v>
      </c>
      <c r="B2827" s="626">
        <v>0</v>
      </c>
      <c r="C2827" s="626">
        <v>1000000</v>
      </c>
      <c r="D2827" s="626">
        <v>0</v>
      </c>
    </row>
    <row r="2828" spans="1:4" x14ac:dyDescent="0.2">
      <c r="A2828">
        <v>2827</v>
      </c>
      <c r="B2828" s="626">
        <v>0</v>
      </c>
      <c r="C2828" s="626">
        <v>1000000</v>
      </c>
      <c r="D2828" s="626">
        <v>0</v>
      </c>
    </row>
    <row r="2829" spans="1:4" x14ac:dyDescent="0.2">
      <c r="A2829">
        <v>2828</v>
      </c>
      <c r="B2829" s="626">
        <v>0</v>
      </c>
      <c r="C2829" s="626">
        <v>1000000</v>
      </c>
      <c r="D2829" s="626">
        <v>0</v>
      </c>
    </row>
    <row r="2830" spans="1:4" x14ac:dyDescent="0.2">
      <c r="A2830">
        <v>2829</v>
      </c>
      <c r="B2830" s="626">
        <v>0</v>
      </c>
      <c r="C2830" s="626">
        <v>1000000</v>
      </c>
      <c r="D2830" s="626">
        <v>0</v>
      </c>
    </row>
    <row r="2831" spans="1:4" x14ac:dyDescent="0.2">
      <c r="A2831">
        <v>2830</v>
      </c>
      <c r="B2831" s="626">
        <v>0</v>
      </c>
      <c r="C2831" s="626">
        <v>1000000</v>
      </c>
      <c r="D2831" s="626">
        <v>0</v>
      </c>
    </row>
    <row r="2832" spans="1:4" x14ac:dyDescent="0.2">
      <c r="A2832">
        <v>2831</v>
      </c>
      <c r="B2832" s="626">
        <v>0</v>
      </c>
      <c r="C2832" s="626">
        <v>1000000</v>
      </c>
      <c r="D2832" s="626">
        <v>0</v>
      </c>
    </row>
    <row r="2833" spans="1:4" x14ac:dyDescent="0.2">
      <c r="A2833">
        <v>2832</v>
      </c>
      <c r="B2833" s="626">
        <v>0</v>
      </c>
      <c r="C2833" s="626">
        <v>1000000</v>
      </c>
      <c r="D2833" s="626">
        <v>0</v>
      </c>
    </row>
    <row r="2834" spans="1:4" x14ac:dyDescent="0.2">
      <c r="A2834">
        <v>2833</v>
      </c>
      <c r="B2834" s="626">
        <v>0</v>
      </c>
      <c r="C2834" s="626">
        <v>1000000</v>
      </c>
      <c r="D2834" s="626">
        <v>0</v>
      </c>
    </row>
    <row r="2835" spans="1:4" x14ac:dyDescent="0.2">
      <c r="A2835">
        <v>2834</v>
      </c>
      <c r="B2835" s="626">
        <v>0</v>
      </c>
      <c r="C2835" s="626">
        <v>1000000</v>
      </c>
      <c r="D2835" s="626">
        <v>0</v>
      </c>
    </row>
    <row r="2836" spans="1:4" x14ac:dyDescent="0.2">
      <c r="A2836">
        <v>2835</v>
      </c>
      <c r="B2836" s="626">
        <v>0</v>
      </c>
      <c r="C2836" s="626">
        <v>1000000</v>
      </c>
      <c r="D2836" s="626">
        <v>0</v>
      </c>
    </row>
    <row r="2837" spans="1:4" x14ac:dyDescent="0.2">
      <c r="A2837">
        <v>2836</v>
      </c>
      <c r="B2837" s="626">
        <v>0</v>
      </c>
      <c r="C2837" s="626">
        <v>1000000</v>
      </c>
      <c r="D2837" s="626">
        <v>0</v>
      </c>
    </row>
    <row r="2838" spans="1:4" x14ac:dyDescent="0.2">
      <c r="A2838">
        <v>2837</v>
      </c>
      <c r="B2838" s="626">
        <v>0</v>
      </c>
      <c r="C2838" s="626">
        <v>1000000</v>
      </c>
      <c r="D2838" s="626">
        <v>0</v>
      </c>
    </row>
    <row r="2839" spans="1:4" x14ac:dyDescent="0.2">
      <c r="A2839">
        <v>2838</v>
      </c>
      <c r="B2839" s="626">
        <v>0</v>
      </c>
      <c r="C2839" s="626">
        <v>1000000</v>
      </c>
      <c r="D2839" s="626">
        <v>0</v>
      </c>
    </row>
    <row r="2840" spans="1:4" x14ac:dyDescent="0.2">
      <c r="A2840">
        <v>2839</v>
      </c>
      <c r="B2840" s="626">
        <v>0</v>
      </c>
      <c r="C2840" s="626">
        <v>1000000</v>
      </c>
      <c r="D2840" s="626">
        <v>0</v>
      </c>
    </row>
    <row r="2841" spans="1:4" x14ac:dyDescent="0.2">
      <c r="A2841">
        <v>2840</v>
      </c>
      <c r="B2841" s="626">
        <v>0</v>
      </c>
      <c r="C2841" s="626">
        <v>1000000</v>
      </c>
      <c r="D2841" s="626">
        <v>0</v>
      </c>
    </row>
    <row r="2842" spans="1:4" x14ac:dyDescent="0.2">
      <c r="A2842">
        <v>2841</v>
      </c>
      <c r="B2842" s="626">
        <v>0</v>
      </c>
      <c r="C2842" s="626">
        <v>1000000</v>
      </c>
      <c r="D2842" s="626">
        <v>0</v>
      </c>
    </row>
    <row r="2843" spans="1:4" x14ac:dyDescent="0.2">
      <c r="A2843">
        <v>2842</v>
      </c>
      <c r="B2843" s="626">
        <v>0</v>
      </c>
      <c r="C2843" s="626">
        <v>1000000</v>
      </c>
      <c r="D2843" s="626">
        <v>0</v>
      </c>
    </row>
    <row r="2844" spans="1:4" x14ac:dyDescent="0.2">
      <c r="A2844">
        <v>2843</v>
      </c>
      <c r="B2844" s="626">
        <v>0</v>
      </c>
      <c r="C2844" s="626">
        <v>1000000</v>
      </c>
      <c r="D2844" s="626">
        <v>0</v>
      </c>
    </row>
    <row r="2845" spans="1:4" x14ac:dyDescent="0.2">
      <c r="A2845">
        <v>2844</v>
      </c>
      <c r="B2845" s="626">
        <v>0</v>
      </c>
      <c r="C2845" s="626">
        <v>1000000</v>
      </c>
      <c r="D2845" s="626">
        <v>0</v>
      </c>
    </row>
    <row r="2846" spans="1:4" x14ac:dyDescent="0.2">
      <c r="A2846">
        <v>2845</v>
      </c>
      <c r="B2846" s="626">
        <v>0</v>
      </c>
      <c r="C2846" s="626">
        <v>1000000</v>
      </c>
      <c r="D2846" s="626">
        <v>0</v>
      </c>
    </row>
    <row r="2847" spans="1:4" x14ac:dyDescent="0.2">
      <c r="A2847">
        <v>2846</v>
      </c>
      <c r="B2847" s="626">
        <v>0</v>
      </c>
      <c r="C2847" s="626">
        <v>1000000</v>
      </c>
      <c r="D2847" s="626">
        <v>0</v>
      </c>
    </row>
    <row r="2848" spans="1:4" x14ac:dyDescent="0.2">
      <c r="A2848">
        <v>2847</v>
      </c>
      <c r="B2848" s="626">
        <v>0</v>
      </c>
      <c r="C2848" s="626">
        <v>1000000</v>
      </c>
      <c r="D2848" s="626">
        <v>0</v>
      </c>
    </row>
    <row r="2849" spans="1:4" x14ac:dyDescent="0.2">
      <c r="A2849">
        <v>2848</v>
      </c>
      <c r="B2849" s="626">
        <v>0</v>
      </c>
      <c r="C2849" s="626">
        <v>1000000</v>
      </c>
      <c r="D2849" s="626">
        <v>0</v>
      </c>
    </row>
    <row r="2850" spans="1:4" x14ac:dyDescent="0.2">
      <c r="A2850">
        <v>2849</v>
      </c>
      <c r="B2850" s="626">
        <v>0</v>
      </c>
      <c r="C2850" s="626">
        <v>1000000</v>
      </c>
      <c r="D2850" s="626">
        <v>0</v>
      </c>
    </row>
    <row r="2851" spans="1:4" x14ac:dyDescent="0.2">
      <c r="A2851">
        <v>2850</v>
      </c>
      <c r="B2851" s="626">
        <v>0</v>
      </c>
      <c r="C2851" s="626">
        <v>1000000</v>
      </c>
      <c r="D2851" s="626">
        <v>0</v>
      </c>
    </row>
    <row r="2852" spans="1:4" x14ac:dyDescent="0.2">
      <c r="A2852">
        <v>2851</v>
      </c>
      <c r="B2852" s="626">
        <v>0</v>
      </c>
      <c r="C2852" s="626">
        <v>1000000</v>
      </c>
      <c r="D2852" s="626">
        <v>0</v>
      </c>
    </row>
    <row r="2853" spans="1:4" x14ac:dyDescent="0.2">
      <c r="A2853">
        <v>2852</v>
      </c>
      <c r="B2853" s="626">
        <v>0</v>
      </c>
      <c r="C2853" s="626">
        <v>1000000</v>
      </c>
      <c r="D2853" s="626">
        <v>0</v>
      </c>
    </row>
    <row r="2854" spans="1:4" x14ac:dyDescent="0.2">
      <c r="A2854">
        <v>2853</v>
      </c>
      <c r="B2854" s="626">
        <v>0</v>
      </c>
      <c r="C2854" s="626">
        <v>1000000</v>
      </c>
      <c r="D2854" s="626">
        <v>0</v>
      </c>
    </row>
    <row r="2855" spans="1:4" x14ac:dyDescent="0.2">
      <c r="A2855">
        <v>2854</v>
      </c>
      <c r="B2855" s="626">
        <v>0</v>
      </c>
      <c r="C2855" s="626">
        <v>1000000</v>
      </c>
      <c r="D2855" s="626">
        <v>0</v>
      </c>
    </row>
    <row r="2856" spans="1:4" x14ac:dyDescent="0.2">
      <c r="A2856">
        <v>2855</v>
      </c>
      <c r="B2856" s="626">
        <v>0</v>
      </c>
      <c r="C2856" s="626">
        <v>1000000</v>
      </c>
      <c r="D2856" s="626">
        <v>0</v>
      </c>
    </row>
    <row r="2857" spans="1:4" x14ac:dyDescent="0.2">
      <c r="A2857">
        <v>2856</v>
      </c>
      <c r="B2857" s="626">
        <v>0</v>
      </c>
      <c r="C2857" s="626">
        <v>1000000</v>
      </c>
      <c r="D2857" s="626">
        <v>0</v>
      </c>
    </row>
    <row r="2858" spans="1:4" x14ac:dyDescent="0.2">
      <c r="A2858">
        <v>2857</v>
      </c>
      <c r="B2858" s="626">
        <v>0</v>
      </c>
      <c r="C2858" s="626">
        <v>1000000</v>
      </c>
      <c r="D2858" s="626">
        <v>0</v>
      </c>
    </row>
    <row r="2859" spans="1:4" x14ac:dyDescent="0.2">
      <c r="A2859">
        <v>2858</v>
      </c>
      <c r="B2859" s="626">
        <v>0</v>
      </c>
      <c r="C2859" s="626">
        <v>1000000</v>
      </c>
      <c r="D2859" s="626">
        <v>0</v>
      </c>
    </row>
    <row r="2860" spans="1:4" x14ac:dyDescent="0.2">
      <c r="A2860">
        <v>2859</v>
      </c>
      <c r="B2860" s="626">
        <v>0</v>
      </c>
      <c r="C2860" s="626">
        <v>1000000</v>
      </c>
      <c r="D2860" s="626">
        <v>0</v>
      </c>
    </row>
    <row r="2861" spans="1:4" x14ac:dyDescent="0.2">
      <c r="A2861">
        <v>2860</v>
      </c>
      <c r="B2861" s="626">
        <v>0</v>
      </c>
      <c r="C2861" s="626">
        <v>1000000</v>
      </c>
      <c r="D2861" s="626">
        <v>0</v>
      </c>
    </row>
    <row r="2862" spans="1:4" x14ac:dyDescent="0.2">
      <c r="A2862">
        <v>2861</v>
      </c>
      <c r="B2862" s="626">
        <v>0</v>
      </c>
      <c r="C2862" s="626">
        <v>1000000</v>
      </c>
      <c r="D2862" s="626">
        <v>0</v>
      </c>
    </row>
    <row r="2863" spans="1:4" x14ac:dyDescent="0.2">
      <c r="A2863">
        <v>2862</v>
      </c>
      <c r="B2863" s="626">
        <v>0</v>
      </c>
      <c r="C2863" s="626">
        <v>1000000</v>
      </c>
      <c r="D2863" s="626">
        <v>0</v>
      </c>
    </row>
    <row r="2864" spans="1:4" x14ac:dyDescent="0.2">
      <c r="A2864">
        <v>2863</v>
      </c>
      <c r="B2864" s="626">
        <v>0</v>
      </c>
      <c r="C2864" s="626">
        <v>1000000</v>
      </c>
      <c r="D2864" s="626">
        <v>0</v>
      </c>
    </row>
    <row r="2865" spans="1:4" x14ac:dyDescent="0.2">
      <c r="A2865">
        <v>2864</v>
      </c>
      <c r="B2865" s="626">
        <v>0</v>
      </c>
      <c r="C2865" s="626">
        <v>1000000</v>
      </c>
      <c r="D2865" s="626">
        <v>0</v>
      </c>
    </row>
    <row r="2866" spans="1:4" x14ac:dyDescent="0.2">
      <c r="A2866">
        <v>2865</v>
      </c>
      <c r="B2866" s="626">
        <v>0</v>
      </c>
      <c r="C2866" s="626">
        <v>1000000</v>
      </c>
      <c r="D2866" s="626">
        <v>0</v>
      </c>
    </row>
    <row r="2867" spans="1:4" x14ac:dyDescent="0.2">
      <c r="A2867">
        <v>2866</v>
      </c>
      <c r="B2867" s="626">
        <v>0</v>
      </c>
      <c r="C2867" s="626">
        <v>1000000</v>
      </c>
      <c r="D2867" s="626">
        <v>0</v>
      </c>
    </row>
    <row r="2868" spans="1:4" x14ac:dyDescent="0.2">
      <c r="A2868">
        <v>2867</v>
      </c>
      <c r="B2868" s="626">
        <v>0</v>
      </c>
      <c r="C2868" s="626">
        <v>1000000</v>
      </c>
      <c r="D2868" s="626">
        <v>0</v>
      </c>
    </row>
    <row r="2869" spans="1:4" x14ac:dyDescent="0.2">
      <c r="A2869">
        <v>2868</v>
      </c>
      <c r="B2869" s="626">
        <v>0</v>
      </c>
      <c r="C2869" s="626">
        <v>1000000</v>
      </c>
      <c r="D2869" s="626">
        <v>0</v>
      </c>
    </row>
    <row r="2870" spans="1:4" x14ac:dyDescent="0.2">
      <c r="A2870">
        <v>2869</v>
      </c>
      <c r="B2870" s="626">
        <v>0</v>
      </c>
      <c r="C2870" s="626">
        <v>1000000</v>
      </c>
      <c r="D2870" s="626">
        <v>0</v>
      </c>
    </row>
    <row r="2871" spans="1:4" x14ac:dyDescent="0.2">
      <c r="A2871">
        <v>2870</v>
      </c>
      <c r="B2871" s="626">
        <v>0</v>
      </c>
      <c r="C2871" s="626">
        <v>1000000</v>
      </c>
      <c r="D2871" s="626">
        <v>0</v>
      </c>
    </row>
    <row r="2872" spans="1:4" x14ac:dyDescent="0.2">
      <c r="A2872">
        <v>2871</v>
      </c>
      <c r="B2872" s="626">
        <v>0</v>
      </c>
      <c r="C2872" s="626">
        <v>1000000</v>
      </c>
      <c r="D2872" s="626">
        <v>0</v>
      </c>
    </row>
    <row r="2873" spans="1:4" x14ac:dyDescent="0.2">
      <c r="A2873">
        <v>2872</v>
      </c>
      <c r="B2873" s="626">
        <v>0</v>
      </c>
      <c r="C2873" s="626">
        <v>1000000</v>
      </c>
      <c r="D2873" s="626">
        <v>0</v>
      </c>
    </row>
    <row r="2874" spans="1:4" x14ac:dyDescent="0.2">
      <c r="A2874">
        <v>2873</v>
      </c>
      <c r="B2874" s="626">
        <v>0</v>
      </c>
      <c r="C2874" s="626">
        <v>1000000</v>
      </c>
      <c r="D2874" s="626">
        <v>0</v>
      </c>
    </row>
    <row r="2875" spans="1:4" x14ac:dyDescent="0.2">
      <c r="A2875">
        <v>2874</v>
      </c>
      <c r="B2875" s="626">
        <v>0</v>
      </c>
      <c r="C2875" s="626">
        <v>1000000</v>
      </c>
      <c r="D2875" s="626">
        <v>0</v>
      </c>
    </row>
    <row r="2876" spans="1:4" x14ac:dyDescent="0.2">
      <c r="A2876">
        <v>2875</v>
      </c>
      <c r="B2876" s="626">
        <v>0</v>
      </c>
      <c r="C2876" s="626">
        <v>1000000</v>
      </c>
      <c r="D2876" s="626">
        <v>0</v>
      </c>
    </row>
    <row r="2877" spans="1:4" x14ac:dyDescent="0.2">
      <c r="A2877">
        <v>2876</v>
      </c>
      <c r="B2877" s="626">
        <v>0</v>
      </c>
      <c r="C2877" s="626">
        <v>1000000</v>
      </c>
      <c r="D2877" s="626">
        <v>0</v>
      </c>
    </row>
    <row r="2878" spans="1:4" x14ac:dyDescent="0.2">
      <c r="A2878">
        <v>2877</v>
      </c>
      <c r="B2878" s="626">
        <v>0</v>
      </c>
      <c r="C2878" s="626">
        <v>1000000</v>
      </c>
      <c r="D2878" s="626">
        <v>0</v>
      </c>
    </row>
    <row r="2879" spans="1:4" x14ac:dyDescent="0.2">
      <c r="A2879">
        <v>2878</v>
      </c>
      <c r="B2879" s="626">
        <v>0</v>
      </c>
      <c r="C2879" s="626">
        <v>1000000</v>
      </c>
      <c r="D2879" s="626">
        <v>0</v>
      </c>
    </row>
    <row r="2880" spans="1:4" x14ac:dyDescent="0.2">
      <c r="A2880">
        <v>2879</v>
      </c>
      <c r="B2880" s="626">
        <v>0</v>
      </c>
      <c r="C2880" s="626">
        <v>1000000</v>
      </c>
      <c r="D2880" s="626">
        <v>0</v>
      </c>
    </row>
    <row r="2881" spans="1:4" x14ac:dyDescent="0.2">
      <c r="A2881">
        <v>2880</v>
      </c>
      <c r="B2881" s="626">
        <v>0</v>
      </c>
      <c r="C2881" s="626">
        <v>1000000</v>
      </c>
      <c r="D2881" s="626">
        <v>0</v>
      </c>
    </row>
    <row r="2882" spans="1:4" x14ac:dyDescent="0.2">
      <c r="A2882">
        <v>2881</v>
      </c>
      <c r="B2882" s="626">
        <v>0</v>
      </c>
      <c r="C2882" s="626">
        <v>1000000</v>
      </c>
      <c r="D2882" s="626">
        <v>0</v>
      </c>
    </row>
    <row r="2883" spans="1:4" x14ac:dyDescent="0.2">
      <c r="A2883">
        <v>2882</v>
      </c>
      <c r="B2883" s="626">
        <v>0</v>
      </c>
      <c r="C2883" s="626">
        <v>1000000</v>
      </c>
      <c r="D2883" s="626">
        <v>0</v>
      </c>
    </row>
    <row r="2884" spans="1:4" x14ac:dyDescent="0.2">
      <c r="A2884">
        <v>2883</v>
      </c>
      <c r="B2884" s="626">
        <v>0</v>
      </c>
      <c r="C2884" s="626">
        <v>1000000</v>
      </c>
      <c r="D2884" s="626">
        <v>0</v>
      </c>
    </row>
    <row r="2885" spans="1:4" x14ac:dyDescent="0.2">
      <c r="A2885">
        <v>2884</v>
      </c>
      <c r="B2885" s="626">
        <v>0</v>
      </c>
      <c r="C2885" s="626">
        <v>1000000</v>
      </c>
      <c r="D2885" s="626">
        <v>0</v>
      </c>
    </row>
    <row r="2886" spans="1:4" x14ac:dyDescent="0.2">
      <c r="A2886">
        <v>2885</v>
      </c>
      <c r="B2886" s="626">
        <v>0</v>
      </c>
      <c r="C2886" s="626">
        <v>1000000</v>
      </c>
      <c r="D2886" s="626">
        <v>0</v>
      </c>
    </row>
    <row r="2887" spans="1:4" x14ac:dyDescent="0.2">
      <c r="A2887">
        <v>2886</v>
      </c>
      <c r="B2887" s="626">
        <v>0</v>
      </c>
      <c r="C2887" s="626">
        <v>1000000</v>
      </c>
      <c r="D2887" s="626">
        <v>0</v>
      </c>
    </row>
    <row r="2888" spans="1:4" x14ac:dyDescent="0.2">
      <c r="A2888">
        <v>2887</v>
      </c>
      <c r="B2888" s="626">
        <v>0</v>
      </c>
      <c r="C2888" s="626">
        <v>1000000</v>
      </c>
      <c r="D2888" s="626">
        <v>0</v>
      </c>
    </row>
    <row r="2889" spans="1:4" x14ac:dyDescent="0.2">
      <c r="A2889">
        <v>2888</v>
      </c>
      <c r="B2889" s="626">
        <v>0</v>
      </c>
      <c r="C2889" s="626">
        <v>1000000</v>
      </c>
      <c r="D2889" s="626">
        <v>0</v>
      </c>
    </row>
    <row r="2890" spans="1:4" x14ac:dyDescent="0.2">
      <c r="A2890">
        <v>2889</v>
      </c>
      <c r="B2890" s="626">
        <v>0</v>
      </c>
      <c r="C2890" s="626">
        <v>1000000</v>
      </c>
      <c r="D2890" s="626">
        <v>0</v>
      </c>
    </row>
    <row r="2891" spans="1:4" x14ac:dyDescent="0.2">
      <c r="A2891">
        <v>2890</v>
      </c>
      <c r="B2891" s="626">
        <v>0</v>
      </c>
      <c r="C2891" s="626">
        <v>1000000</v>
      </c>
      <c r="D2891" s="626">
        <v>0</v>
      </c>
    </row>
    <row r="2892" spans="1:4" x14ac:dyDescent="0.2">
      <c r="A2892">
        <v>2891</v>
      </c>
      <c r="B2892" s="626">
        <v>0</v>
      </c>
      <c r="C2892" s="626">
        <v>1000000</v>
      </c>
      <c r="D2892" s="626">
        <v>0</v>
      </c>
    </row>
    <row r="2893" spans="1:4" x14ac:dyDescent="0.2">
      <c r="A2893">
        <v>2892</v>
      </c>
      <c r="B2893" s="626">
        <v>0</v>
      </c>
      <c r="C2893" s="626">
        <v>1000000</v>
      </c>
      <c r="D2893" s="626">
        <v>0</v>
      </c>
    </row>
    <row r="2894" spans="1:4" x14ac:dyDescent="0.2">
      <c r="A2894">
        <v>2893</v>
      </c>
      <c r="B2894" s="626">
        <v>0</v>
      </c>
      <c r="C2894" s="626">
        <v>1000000</v>
      </c>
      <c r="D2894" s="626">
        <v>0</v>
      </c>
    </row>
    <row r="2895" spans="1:4" x14ac:dyDescent="0.2">
      <c r="A2895">
        <v>2894</v>
      </c>
      <c r="B2895" s="626">
        <v>0</v>
      </c>
      <c r="C2895" s="626">
        <v>1000000</v>
      </c>
      <c r="D2895" s="626">
        <v>0</v>
      </c>
    </row>
    <row r="2896" spans="1:4" x14ac:dyDescent="0.2">
      <c r="A2896">
        <v>2895</v>
      </c>
      <c r="B2896" s="626">
        <v>0</v>
      </c>
      <c r="C2896" s="626">
        <v>1000000</v>
      </c>
      <c r="D2896" s="626">
        <v>0</v>
      </c>
    </row>
    <row r="2897" spans="1:4" x14ac:dyDescent="0.2">
      <c r="A2897">
        <v>2896</v>
      </c>
      <c r="B2897" s="626">
        <v>0</v>
      </c>
      <c r="C2897" s="626">
        <v>1000000</v>
      </c>
      <c r="D2897" s="626">
        <v>0</v>
      </c>
    </row>
    <row r="2898" spans="1:4" x14ac:dyDescent="0.2">
      <c r="A2898">
        <v>2897</v>
      </c>
      <c r="B2898" s="626">
        <v>0</v>
      </c>
      <c r="C2898" s="626">
        <v>1000000</v>
      </c>
      <c r="D2898" s="626">
        <v>0</v>
      </c>
    </row>
    <row r="2899" spans="1:4" x14ac:dyDescent="0.2">
      <c r="A2899">
        <v>2898</v>
      </c>
      <c r="B2899" s="626">
        <v>0</v>
      </c>
      <c r="C2899" s="626">
        <v>1000000</v>
      </c>
      <c r="D2899" s="626">
        <v>0</v>
      </c>
    </row>
    <row r="2900" spans="1:4" x14ac:dyDescent="0.2">
      <c r="A2900">
        <v>2899</v>
      </c>
      <c r="B2900" s="626">
        <v>0</v>
      </c>
      <c r="C2900" s="626">
        <v>1000000</v>
      </c>
      <c r="D2900" s="626">
        <v>0</v>
      </c>
    </row>
    <row r="2901" spans="1:4" x14ac:dyDescent="0.2">
      <c r="A2901">
        <v>2900</v>
      </c>
      <c r="B2901" s="626">
        <v>0</v>
      </c>
      <c r="C2901" s="626">
        <v>1000000</v>
      </c>
      <c r="D2901" s="626">
        <v>0</v>
      </c>
    </row>
    <row r="2902" spans="1:4" x14ac:dyDescent="0.2">
      <c r="A2902">
        <v>2901</v>
      </c>
      <c r="B2902" s="626">
        <v>0</v>
      </c>
      <c r="C2902" s="626">
        <v>1000000</v>
      </c>
      <c r="D2902" s="626">
        <v>0</v>
      </c>
    </row>
    <row r="2903" spans="1:4" x14ac:dyDescent="0.2">
      <c r="A2903">
        <v>2902</v>
      </c>
      <c r="B2903" s="626">
        <v>0</v>
      </c>
      <c r="C2903" s="626">
        <v>1000000</v>
      </c>
      <c r="D2903" s="626">
        <v>0</v>
      </c>
    </row>
    <row r="2904" spans="1:4" x14ac:dyDescent="0.2">
      <c r="A2904">
        <v>2903</v>
      </c>
      <c r="B2904" s="626">
        <v>0</v>
      </c>
      <c r="C2904" s="626">
        <v>1000000</v>
      </c>
      <c r="D2904" s="626">
        <v>0</v>
      </c>
    </row>
    <row r="2905" spans="1:4" x14ac:dyDescent="0.2">
      <c r="A2905">
        <v>2904</v>
      </c>
      <c r="B2905" s="626">
        <v>0</v>
      </c>
      <c r="C2905" s="626">
        <v>1000000</v>
      </c>
      <c r="D2905" s="626">
        <v>0</v>
      </c>
    </row>
    <row r="2906" spans="1:4" x14ac:dyDescent="0.2">
      <c r="A2906">
        <v>2905</v>
      </c>
      <c r="B2906" s="626">
        <v>0</v>
      </c>
      <c r="C2906" s="626">
        <v>1000000</v>
      </c>
      <c r="D2906" s="626">
        <v>0</v>
      </c>
    </row>
    <row r="2907" spans="1:4" x14ac:dyDescent="0.2">
      <c r="A2907">
        <v>2906</v>
      </c>
      <c r="B2907" s="626">
        <v>0</v>
      </c>
      <c r="C2907" s="626">
        <v>1000000</v>
      </c>
      <c r="D2907" s="626">
        <v>0</v>
      </c>
    </row>
    <row r="2908" spans="1:4" x14ac:dyDescent="0.2">
      <c r="A2908">
        <v>2907</v>
      </c>
      <c r="B2908" s="626">
        <v>0</v>
      </c>
      <c r="C2908" s="626">
        <v>1000000</v>
      </c>
      <c r="D2908" s="626">
        <v>0</v>
      </c>
    </row>
    <row r="2909" spans="1:4" x14ac:dyDescent="0.2">
      <c r="A2909">
        <v>2908</v>
      </c>
      <c r="B2909" s="626">
        <v>0</v>
      </c>
      <c r="C2909" s="626">
        <v>1000000</v>
      </c>
      <c r="D2909" s="626">
        <v>0</v>
      </c>
    </row>
    <row r="2910" spans="1:4" x14ac:dyDescent="0.2">
      <c r="A2910">
        <v>2909</v>
      </c>
      <c r="B2910" s="626">
        <v>0</v>
      </c>
      <c r="C2910" s="626">
        <v>1000000</v>
      </c>
      <c r="D2910" s="626">
        <v>0</v>
      </c>
    </row>
    <row r="2911" spans="1:4" x14ac:dyDescent="0.2">
      <c r="A2911">
        <v>2910</v>
      </c>
      <c r="B2911" s="626">
        <v>0</v>
      </c>
      <c r="C2911" s="626">
        <v>1000000</v>
      </c>
      <c r="D2911" s="626">
        <v>0</v>
      </c>
    </row>
    <row r="2912" spans="1:4" x14ac:dyDescent="0.2">
      <c r="A2912">
        <v>2911</v>
      </c>
      <c r="B2912" s="626">
        <v>0</v>
      </c>
      <c r="C2912" s="626">
        <v>1000000</v>
      </c>
      <c r="D2912" s="626">
        <v>0</v>
      </c>
    </row>
    <row r="2913" spans="1:4" x14ac:dyDescent="0.2">
      <c r="A2913">
        <v>2912</v>
      </c>
      <c r="B2913" s="626">
        <v>0</v>
      </c>
      <c r="C2913" s="626">
        <v>1000000</v>
      </c>
      <c r="D2913" s="626">
        <v>0</v>
      </c>
    </row>
    <row r="2914" spans="1:4" x14ac:dyDescent="0.2">
      <c r="A2914">
        <v>2913</v>
      </c>
      <c r="B2914" s="626">
        <v>0</v>
      </c>
      <c r="C2914" s="626">
        <v>1000000</v>
      </c>
      <c r="D2914" s="626">
        <v>0</v>
      </c>
    </row>
    <row r="2915" spans="1:4" x14ac:dyDescent="0.2">
      <c r="A2915">
        <v>2914</v>
      </c>
      <c r="B2915" s="626">
        <v>0</v>
      </c>
      <c r="C2915" s="626">
        <v>1000000</v>
      </c>
      <c r="D2915" s="626">
        <v>0</v>
      </c>
    </row>
    <row r="2916" spans="1:4" x14ac:dyDescent="0.2">
      <c r="A2916">
        <v>2915</v>
      </c>
      <c r="B2916" s="626">
        <v>0</v>
      </c>
      <c r="C2916" s="626">
        <v>1000000</v>
      </c>
      <c r="D2916" s="626">
        <v>0</v>
      </c>
    </row>
    <row r="2917" spans="1:4" x14ac:dyDescent="0.2">
      <c r="A2917">
        <v>2916</v>
      </c>
      <c r="B2917" s="626">
        <v>0</v>
      </c>
      <c r="C2917" s="626">
        <v>1000000</v>
      </c>
      <c r="D2917" s="626">
        <v>0</v>
      </c>
    </row>
    <row r="2918" spans="1:4" x14ac:dyDescent="0.2">
      <c r="A2918">
        <v>2917</v>
      </c>
      <c r="B2918" s="626">
        <v>0</v>
      </c>
      <c r="C2918" s="626">
        <v>1000000</v>
      </c>
      <c r="D2918" s="626">
        <v>0</v>
      </c>
    </row>
    <row r="2919" spans="1:4" x14ac:dyDescent="0.2">
      <c r="A2919">
        <v>2918</v>
      </c>
      <c r="B2919" s="626">
        <v>0</v>
      </c>
      <c r="C2919" s="626">
        <v>1000000</v>
      </c>
      <c r="D2919" s="626">
        <v>0</v>
      </c>
    </row>
    <row r="2920" spans="1:4" x14ac:dyDescent="0.2">
      <c r="A2920">
        <v>2919</v>
      </c>
      <c r="B2920" s="626">
        <v>0</v>
      </c>
      <c r="C2920" s="626">
        <v>1000000</v>
      </c>
      <c r="D2920" s="626">
        <v>0</v>
      </c>
    </row>
    <row r="2921" spans="1:4" x14ac:dyDescent="0.2">
      <c r="A2921">
        <v>2920</v>
      </c>
      <c r="B2921" s="626">
        <v>0</v>
      </c>
      <c r="C2921" s="626">
        <v>1000000</v>
      </c>
      <c r="D2921" s="626">
        <v>0</v>
      </c>
    </row>
    <row r="2922" spans="1:4" x14ac:dyDescent="0.2">
      <c r="A2922">
        <v>2921</v>
      </c>
      <c r="B2922" s="626">
        <v>0</v>
      </c>
      <c r="C2922" s="626">
        <v>1000000</v>
      </c>
      <c r="D2922" s="626">
        <v>0</v>
      </c>
    </row>
    <row r="2923" spans="1:4" x14ac:dyDescent="0.2">
      <c r="A2923">
        <v>2922</v>
      </c>
      <c r="B2923" s="626">
        <v>0</v>
      </c>
      <c r="C2923" s="626">
        <v>1000000</v>
      </c>
      <c r="D2923" s="626">
        <v>0</v>
      </c>
    </row>
    <row r="2924" spans="1:4" x14ac:dyDescent="0.2">
      <c r="A2924">
        <v>2923</v>
      </c>
      <c r="B2924" s="626">
        <v>0</v>
      </c>
      <c r="C2924" s="626">
        <v>1000000</v>
      </c>
      <c r="D2924" s="626">
        <v>0</v>
      </c>
    </row>
    <row r="2925" spans="1:4" x14ac:dyDescent="0.2">
      <c r="A2925">
        <v>2924</v>
      </c>
      <c r="B2925" s="626">
        <v>0</v>
      </c>
      <c r="C2925" s="626">
        <v>1000000</v>
      </c>
      <c r="D2925" s="626">
        <v>0</v>
      </c>
    </row>
    <row r="2926" spans="1:4" x14ac:dyDescent="0.2">
      <c r="A2926">
        <v>2925</v>
      </c>
      <c r="B2926" s="626">
        <v>0</v>
      </c>
      <c r="C2926" s="626">
        <v>1000000</v>
      </c>
      <c r="D2926" s="626">
        <v>0</v>
      </c>
    </row>
    <row r="2927" spans="1:4" x14ac:dyDescent="0.2">
      <c r="A2927">
        <v>2926</v>
      </c>
      <c r="B2927" s="626">
        <v>0</v>
      </c>
      <c r="C2927" s="626">
        <v>1000000</v>
      </c>
      <c r="D2927" s="626">
        <v>0</v>
      </c>
    </row>
    <row r="2928" spans="1:4" x14ac:dyDescent="0.2">
      <c r="A2928">
        <v>2927</v>
      </c>
      <c r="B2928" s="626">
        <v>0</v>
      </c>
      <c r="C2928" s="626">
        <v>1000000</v>
      </c>
      <c r="D2928" s="626">
        <v>0</v>
      </c>
    </row>
    <row r="2929" spans="1:4" x14ac:dyDescent="0.2">
      <c r="A2929">
        <v>2928</v>
      </c>
      <c r="B2929" s="626">
        <v>0</v>
      </c>
      <c r="C2929" s="626">
        <v>1000000</v>
      </c>
      <c r="D2929" s="626">
        <v>0</v>
      </c>
    </row>
    <row r="2930" spans="1:4" x14ac:dyDescent="0.2">
      <c r="A2930">
        <v>2929</v>
      </c>
      <c r="B2930" s="626">
        <v>0</v>
      </c>
      <c r="C2930" s="626">
        <v>1000000</v>
      </c>
      <c r="D2930" s="626">
        <v>0</v>
      </c>
    </row>
    <row r="2931" spans="1:4" x14ac:dyDescent="0.2">
      <c r="A2931">
        <v>2930</v>
      </c>
      <c r="B2931" s="626">
        <v>0</v>
      </c>
      <c r="C2931" s="626">
        <v>1000000</v>
      </c>
      <c r="D2931" s="626">
        <v>0</v>
      </c>
    </row>
    <row r="2932" spans="1:4" x14ac:dyDescent="0.2">
      <c r="A2932">
        <v>2931</v>
      </c>
      <c r="B2932" s="626">
        <v>0</v>
      </c>
      <c r="C2932" s="626">
        <v>1000000</v>
      </c>
      <c r="D2932" s="626">
        <v>0</v>
      </c>
    </row>
    <row r="2933" spans="1:4" x14ac:dyDescent="0.2">
      <c r="A2933">
        <v>2932</v>
      </c>
      <c r="B2933" s="626">
        <v>0</v>
      </c>
      <c r="C2933" s="626">
        <v>1000000</v>
      </c>
      <c r="D2933" s="626">
        <v>0</v>
      </c>
    </row>
    <row r="2934" spans="1:4" x14ac:dyDescent="0.2">
      <c r="A2934">
        <v>2933</v>
      </c>
      <c r="B2934" s="626">
        <v>0</v>
      </c>
      <c r="C2934" s="626">
        <v>1000000</v>
      </c>
      <c r="D2934" s="626">
        <v>0</v>
      </c>
    </row>
    <row r="2935" spans="1:4" x14ac:dyDescent="0.2">
      <c r="A2935">
        <v>2934</v>
      </c>
      <c r="B2935" s="626">
        <v>0</v>
      </c>
      <c r="C2935" s="626">
        <v>1000000</v>
      </c>
      <c r="D2935" s="626">
        <v>0</v>
      </c>
    </row>
    <row r="2936" spans="1:4" x14ac:dyDescent="0.2">
      <c r="A2936">
        <v>2935</v>
      </c>
      <c r="B2936" s="626">
        <v>0</v>
      </c>
      <c r="C2936" s="626">
        <v>1000000</v>
      </c>
      <c r="D2936" s="626">
        <v>0</v>
      </c>
    </row>
    <row r="2937" spans="1:4" x14ac:dyDescent="0.2">
      <c r="A2937">
        <v>2936</v>
      </c>
      <c r="B2937" s="626">
        <v>0</v>
      </c>
      <c r="C2937" s="626">
        <v>1000000</v>
      </c>
      <c r="D2937" s="626">
        <v>0</v>
      </c>
    </row>
    <row r="2938" spans="1:4" x14ac:dyDescent="0.2">
      <c r="A2938">
        <v>2937</v>
      </c>
      <c r="B2938" s="626">
        <v>0</v>
      </c>
      <c r="C2938" s="626">
        <v>1000000</v>
      </c>
      <c r="D2938" s="626">
        <v>0</v>
      </c>
    </row>
    <row r="2939" spans="1:4" x14ac:dyDescent="0.2">
      <c r="A2939">
        <v>2938</v>
      </c>
      <c r="B2939" s="626">
        <v>0</v>
      </c>
      <c r="C2939" s="626">
        <v>1000000</v>
      </c>
      <c r="D2939" s="626">
        <v>0</v>
      </c>
    </row>
    <row r="2940" spans="1:4" x14ac:dyDescent="0.2">
      <c r="A2940">
        <v>2939</v>
      </c>
      <c r="B2940" s="626">
        <v>0</v>
      </c>
      <c r="C2940" s="626">
        <v>1000000</v>
      </c>
      <c r="D2940" s="626">
        <v>0</v>
      </c>
    </row>
    <row r="2941" spans="1:4" x14ac:dyDescent="0.2">
      <c r="A2941">
        <v>2940</v>
      </c>
      <c r="B2941" s="626">
        <v>0</v>
      </c>
      <c r="C2941" s="626">
        <v>1000000</v>
      </c>
      <c r="D2941" s="626">
        <v>0</v>
      </c>
    </row>
    <row r="2942" spans="1:4" x14ac:dyDescent="0.2">
      <c r="A2942">
        <v>2941</v>
      </c>
      <c r="B2942" s="626">
        <v>0</v>
      </c>
      <c r="C2942" s="626">
        <v>1000000</v>
      </c>
      <c r="D2942" s="626">
        <v>0</v>
      </c>
    </row>
    <row r="2943" spans="1:4" x14ac:dyDescent="0.2">
      <c r="A2943">
        <v>2942</v>
      </c>
      <c r="B2943" s="626">
        <v>0</v>
      </c>
      <c r="C2943" s="626">
        <v>1000000</v>
      </c>
      <c r="D2943" s="626">
        <v>0</v>
      </c>
    </row>
    <row r="2944" spans="1:4" x14ac:dyDescent="0.2">
      <c r="A2944">
        <v>2943</v>
      </c>
      <c r="B2944" s="626">
        <v>0</v>
      </c>
      <c r="C2944" s="626">
        <v>1000000</v>
      </c>
      <c r="D2944" s="626">
        <v>0</v>
      </c>
    </row>
    <row r="2945" spans="1:4" x14ac:dyDescent="0.2">
      <c r="A2945">
        <v>2944</v>
      </c>
      <c r="B2945" s="626">
        <v>0</v>
      </c>
      <c r="C2945" s="626">
        <v>1000000</v>
      </c>
      <c r="D2945" s="626">
        <v>0</v>
      </c>
    </row>
    <row r="2946" spans="1:4" x14ac:dyDescent="0.2">
      <c r="A2946">
        <v>2945</v>
      </c>
      <c r="B2946" s="626">
        <v>0</v>
      </c>
      <c r="C2946" s="626">
        <v>1000000</v>
      </c>
      <c r="D2946" s="626">
        <v>0</v>
      </c>
    </row>
    <row r="2947" spans="1:4" x14ac:dyDescent="0.2">
      <c r="A2947">
        <v>2946</v>
      </c>
      <c r="B2947" s="626">
        <v>0</v>
      </c>
      <c r="C2947" s="626">
        <v>1000000</v>
      </c>
      <c r="D2947" s="626">
        <v>0</v>
      </c>
    </row>
    <row r="2948" spans="1:4" x14ac:dyDescent="0.2">
      <c r="A2948">
        <v>2947</v>
      </c>
      <c r="B2948" s="626">
        <v>0</v>
      </c>
      <c r="C2948" s="626">
        <v>1000000</v>
      </c>
      <c r="D2948" s="626">
        <v>0</v>
      </c>
    </row>
    <row r="2949" spans="1:4" x14ac:dyDescent="0.2">
      <c r="A2949">
        <v>2948</v>
      </c>
      <c r="B2949" s="626">
        <v>0</v>
      </c>
      <c r="C2949" s="626">
        <v>1000000</v>
      </c>
      <c r="D2949" s="626">
        <v>0</v>
      </c>
    </row>
    <row r="2950" spans="1:4" x14ac:dyDescent="0.2">
      <c r="A2950">
        <v>2949</v>
      </c>
      <c r="B2950" s="626">
        <v>0</v>
      </c>
      <c r="C2950" s="626">
        <v>1000000</v>
      </c>
      <c r="D2950" s="626">
        <v>0</v>
      </c>
    </row>
    <row r="2951" spans="1:4" x14ac:dyDescent="0.2">
      <c r="A2951">
        <v>2950</v>
      </c>
      <c r="B2951" s="626">
        <v>0</v>
      </c>
      <c r="C2951" s="626">
        <v>1000000</v>
      </c>
      <c r="D2951" s="626">
        <v>0</v>
      </c>
    </row>
    <row r="2952" spans="1:4" x14ac:dyDescent="0.2">
      <c r="A2952">
        <v>2951</v>
      </c>
      <c r="B2952" s="626">
        <v>0</v>
      </c>
      <c r="C2952" s="626">
        <v>1000000</v>
      </c>
      <c r="D2952" s="626">
        <v>0</v>
      </c>
    </row>
    <row r="2953" spans="1:4" x14ac:dyDescent="0.2">
      <c r="A2953">
        <v>2952</v>
      </c>
      <c r="B2953" s="626">
        <v>0</v>
      </c>
      <c r="C2953" s="626">
        <v>1000000</v>
      </c>
      <c r="D2953" s="626">
        <v>0</v>
      </c>
    </row>
    <row r="2954" spans="1:4" x14ac:dyDescent="0.2">
      <c r="A2954">
        <v>2953</v>
      </c>
      <c r="B2954" s="626">
        <v>0</v>
      </c>
      <c r="C2954" s="626">
        <v>1000000</v>
      </c>
      <c r="D2954" s="626">
        <v>0</v>
      </c>
    </row>
    <row r="2955" spans="1:4" x14ac:dyDescent="0.2">
      <c r="A2955">
        <v>2954</v>
      </c>
      <c r="B2955" s="626">
        <v>0</v>
      </c>
      <c r="C2955" s="626">
        <v>1000000</v>
      </c>
      <c r="D2955" s="626">
        <v>0</v>
      </c>
    </row>
    <row r="2956" spans="1:4" x14ac:dyDescent="0.2">
      <c r="A2956">
        <v>2955</v>
      </c>
      <c r="B2956" s="626">
        <v>0</v>
      </c>
      <c r="C2956" s="626">
        <v>1000000</v>
      </c>
      <c r="D2956" s="626">
        <v>0</v>
      </c>
    </row>
    <row r="2957" spans="1:4" x14ac:dyDescent="0.2">
      <c r="A2957">
        <v>2956</v>
      </c>
      <c r="B2957" s="626">
        <v>0</v>
      </c>
      <c r="C2957" s="626">
        <v>1000000</v>
      </c>
      <c r="D2957" s="626">
        <v>0</v>
      </c>
    </row>
    <row r="2958" spans="1:4" x14ac:dyDescent="0.2">
      <c r="A2958">
        <v>2957</v>
      </c>
      <c r="B2958" s="626">
        <v>0</v>
      </c>
      <c r="C2958" s="626">
        <v>1000000</v>
      </c>
      <c r="D2958" s="626">
        <v>0</v>
      </c>
    </row>
    <row r="2959" spans="1:4" x14ac:dyDescent="0.2">
      <c r="A2959">
        <v>2958</v>
      </c>
      <c r="B2959" s="626">
        <v>0</v>
      </c>
      <c r="C2959" s="626">
        <v>1000000</v>
      </c>
      <c r="D2959" s="626">
        <v>0</v>
      </c>
    </row>
    <row r="2960" spans="1:4" x14ac:dyDescent="0.2">
      <c r="A2960">
        <v>2959</v>
      </c>
      <c r="B2960" s="626">
        <v>0</v>
      </c>
      <c r="C2960" s="626">
        <v>1000000</v>
      </c>
      <c r="D2960" s="626">
        <v>0</v>
      </c>
    </row>
    <row r="2961" spans="1:4" x14ac:dyDescent="0.2">
      <c r="A2961">
        <v>2960</v>
      </c>
      <c r="B2961" s="626">
        <v>0</v>
      </c>
      <c r="C2961" s="626">
        <v>1000000</v>
      </c>
      <c r="D2961" s="626">
        <v>0</v>
      </c>
    </row>
    <row r="2962" spans="1:4" x14ac:dyDescent="0.2">
      <c r="A2962">
        <v>2961</v>
      </c>
      <c r="B2962" s="626">
        <v>0</v>
      </c>
      <c r="C2962" s="626">
        <v>1000000</v>
      </c>
      <c r="D2962" s="626">
        <v>0</v>
      </c>
    </row>
    <row r="2963" spans="1:4" x14ac:dyDescent="0.2">
      <c r="A2963">
        <v>2962</v>
      </c>
      <c r="B2963" s="626">
        <v>0</v>
      </c>
      <c r="C2963" s="626">
        <v>1000000</v>
      </c>
      <c r="D2963" s="626">
        <v>0</v>
      </c>
    </row>
    <row r="2964" spans="1:4" x14ac:dyDescent="0.2">
      <c r="A2964">
        <v>2963</v>
      </c>
      <c r="B2964" s="626">
        <v>0</v>
      </c>
      <c r="C2964" s="626">
        <v>1000000</v>
      </c>
      <c r="D2964" s="626">
        <v>0</v>
      </c>
    </row>
    <row r="2965" spans="1:4" x14ac:dyDescent="0.2">
      <c r="A2965">
        <v>2964</v>
      </c>
      <c r="B2965" s="626">
        <v>0</v>
      </c>
      <c r="C2965" s="626">
        <v>1000000</v>
      </c>
      <c r="D2965" s="626">
        <v>0</v>
      </c>
    </row>
    <row r="2966" spans="1:4" x14ac:dyDescent="0.2">
      <c r="A2966">
        <v>2965</v>
      </c>
      <c r="B2966" s="626">
        <v>0</v>
      </c>
      <c r="C2966" s="626">
        <v>1000000</v>
      </c>
      <c r="D2966" s="626">
        <v>0</v>
      </c>
    </row>
    <row r="2967" spans="1:4" x14ac:dyDescent="0.2">
      <c r="A2967">
        <v>2966</v>
      </c>
      <c r="B2967" s="626">
        <v>0</v>
      </c>
      <c r="C2967" s="626">
        <v>1000000</v>
      </c>
      <c r="D2967" s="626">
        <v>0</v>
      </c>
    </row>
    <row r="2968" spans="1:4" x14ac:dyDescent="0.2">
      <c r="A2968">
        <v>2967</v>
      </c>
      <c r="B2968" s="626">
        <v>0</v>
      </c>
      <c r="C2968" s="626">
        <v>1000000</v>
      </c>
      <c r="D2968" s="626">
        <v>0</v>
      </c>
    </row>
    <row r="2969" spans="1:4" x14ac:dyDescent="0.2">
      <c r="A2969">
        <v>2968</v>
      </c>
      <c r="B2969" s="626">
        <v>0</v>
      </c>
      <c r="C2969" s="626">
        <v>1000000</v>
      </c>
      <c r="D2969" s="626">
        <v>0</v>
      </c>
    </row>
    <row r="2970" spans="1:4" x14ac:dyDescent="0.2">
      <c r="A2970">
        <v>2969</v>
      </c>
      <c r="B2970" s="626">
        <v>0</v>
      </c>
      <c r="C2970" s="626">
        <v>1000000</v>
      </c>
      <c r="D2970" s="626">
        <v>0</v>
      </c>
    </row>
    <row r="2971" spans="1:4" x14ac:dyDescent="0.2">
      <c r="A2971">
        <v>2970</v>
      </c>
      <c r="B2971" s="626">
        <v>0</v>
      </c>
      <c r="C2971" s="626">
        <v>1000000</v>
      </c>
      <c r="D2971" s="626">
        <v>0</v>
      </c>
    </row>
    <row r="2972" spans="1:4" x14ac:dyDescent="0.2">
      <c r="A2972">
        <v>2971</v>
      </c>
      <c r="B2972" s="626">
        <v>0</v>
      </c>
      <c r="C2972" s="626">
        <v>1000000</v>
      </c>
      <c r="D2972" s="626">
        <v>0</v>
      </c>
    </row>
    <row r="2973" spans="1:4" x14ac:dyDescent="0.2">
      <c r="A2973">
        <v>2972</v>
      </c>
      <c r="B2973" s="626">
        <v>0</v>
      </c>
      <c r="C2973" s="626">
        <v>1000000</v>
      </c>
      <c r="D2973" s="626">
        <v>0</v>
      </c>
    </row>
    <row r="2974" spans="1:4" x14ac:dyDescent="0.2">
      <c r="A2974">
        <v>2973</v>
      </c>
      <c r="B2974" s="626">
        <v>0</v>
      </c>
      <c r="C2974" s="626">
        <v>1000000</v>
      </c>
      <c r="D2974" s="626">
        <v>0</v>
      </c>
    </row>
    <row r="2975" spans="1:4" x14ac:dyDescent="0.2">
      <c r="A2975">
        <v>2974</v>
      </c>
      <c r="B2975" s="626">
        <v>0</v>
      </c>
      <c r="C2975" s="626">
        <v>1000000</v>
      </c>
      <c r="D2975" s="626">
        <v>0</v>
      </c>
    </row>
    <row r="2976" spans="1:4" x14ac:dyDescent="0.2">
      <c r="A2976">
        <v>2975</v>
      </c>
      <c r="B2976" s="626">
        <v>0</v>
      </c>
      <c r="C2976" s="626">
        <v>1000000</v>
      </c>
      <c r="D2976" s="626">
        <v>0</v>
      </c>
    </row>
    <row r="2977" spans="1:4" x14ac:dyDescent="0.2">
      <c r="A2977">
        <v>2976</v>
      </c>
      <c r="B2977" s="626">
        <v>0</v>
      </c>
      <c r="C2977" s="626">
        <v>1000000</v>
      </c>
      <c r="D2977" s="626">
        <v>0</v>
      </c>
    </row>
    <row r="2978" spans="1:4" x14ac:dyDescent="0.2">
      <c r="A2978">
        <v>2977</v>
      </c>
      <c r="B2978" s="626">
        <v>0</v>
      </c>
      <c r="C2978" s="626">
        <v>1000000</v>
      </c>
      <c r="D2978" s="626">
        <v>0</v>
      </c>
    </row>
    <row r="2979" spans="1:4" x14ac:dyDescent="0.2">
      <c r="A2979">
        <v>2978</v>
      </c>
      <c r="B2979" s="626">
        <v>0</v>
      </c>
      <c r="C2979" s="626">
        <v>1000000</v>
      </c>
      <c r="D2979" s="626">
        <v>0</v>
      </c>
    </row>
    <row r="2980" spans="1:4" x14ac:dyDescent="0.2">
      <c r="A2980">
        <v>2979</v>
      </c>
      <c r="B2980" s="626">
        <v>0</v>
      </c>
      <c r="C2980" s="626">
        <v>1000000</v>
      </c>
      <c r="D2980" s="626">
        <v>0</v>
      </c>
    </row>
    <row r="2981" spans="1:4" x14ac:dyDescent="0.2">
      <c r="A2981">
        <v>2980</v>
      </c>
      <c r="B2981" s="626">
        <v>0</v>
      </c>
      <c r="C2981" s="626">
        <v>1000000</v>
      </c>
      <c r="D2981" s="626">
        <v>0</v>
      </c>
    </row>
    <row r="2982" spans="1:4" x14ac:dyDescent="0.2">
      <c r="A2982">
        <v>2981</v>
      </c>
      <c r="B2982" s="626">
        <v>0</v>
      </c>
      <c r="C2982" s="626">
        <v>1000000</v>
      </c>
      <c r="D2982" s="626">
        <v>0</v>
      </c>
    </row>
    <row r="2983" spans="1:4" x14ac:dyDescent="0.2">
      <c r="A2983">
        <v>2982</v>
      </c>
      <c r="B2983" s="626">
        <v>0</v>
      </c>
      <c r="C2983" s="626">
        <v>1000000</v>
      </c>
      <c r="D2983" s="626">
        <v>0</v>
      </c>
    </row>
    <row r="2984" spans="1:4" x14ac:dyDescent="0.2">
      <c r="A2984">
        <v>2983</v>
      </c>
      <c r="B2984" s="626">
        <v>0</v>
      </c>
      <c r="C2984" s="626">
        <v>1000000</v>
      </c>
      <c r="D2984" s="626">
        <v>0</v>
      </c>
    </row>
    <row r="2985" spans="1:4" x14ac:dyDescent="0.2">
      <c r="A2985">
        <v>2984</v>
      </c>
      <c r="B2985" s="626">
        <v>0</v>
      </c>
      <c r="C2985" s="626">
        <v>1000000</v>
      </c>
      <c r="D2985" s="626">
        <v>0</v>
      </c>
    </row>
    <row r="2986" spans="1:4" x14ac:dyDescent="0.2">
      <c r="A2986">
        <v>2985</v>
      </c>
      <c r="B2986" s="626">
        <v>0</v>
      </c>
      <c r="C2986" s="626">
        <v>1000000</v>
      </c>
      <c r="D2986" s="626">
        <v>0</v>
      </c>
    </row>
    <row r="2987" spans="1:4" x14ac:dyDescent="0.2">
      <c r="A2987">
        <v>2986</v>
      </c>
      <c r="B2987" s="626">
        <v>0</v>
      </c>
      <c r="C2987" s="626">
        <v>1000000</v>
      </c>
      <c r="D2987" s="626">
        <v>0</v>
      </c>
    </row>
    <row r="2988" spans="1:4" x14ac:dyDescent="0.2">
      <c r="A2988">
        <v>2987</v>
      </c>
      <c r="B2988" s="626">
        <v>0</v>
      </c>
      <c r="C2988" s="626">
        <v>1000000</v>
      </c>
      <c r="D2988" s="626">
        <v>0</v>
      </c>
    </row>
    <row r="2989" spans="1:4" x14ac:dyDescent="0.2">
      <c r="A2989">
        <v>2988</v>
      </c>
      <c r="B2989" s="626">
        <v>0</v>
      </c>
      <c r="C2989" s="626">
        <v>1000000</v>
      </c>
      <c r="D2989" s="626">
        <v>0</v>
      </c>
    </row>
    <row r="2990" spans="1:4" x14ac:dyDescent="0.2">
      <c r="A2990">
        <v>2989</v>
      </c>
      <c r="B2990" s="626">
        <v>0</v>
      </c>
      <c r="C2990" s="626">
        <v>1000000</v>
      </c>
      <c r="D2990" s="626">
        <v>0</v>
      </c>
    </row>
    <row r="2991" spans="1:4" x14ac:dyDescent="0.2">
      <c r="A2991">
        <v>2990</v>
      </c>
      <c r="B2991" s="626">
        <v>0</v>
      </c>
      <c r="C2991" s="626">
        <v>1000000</v>
      </c>
      <c r="D2991" s="626">
        <v>0</v>
      </c>
    </row>
    <row r="2992" spans="1:4" x14ac:dyDescent="0.2">
      <c r="A2992">
        <v>2991</v>
      </c>
      <c r="B2992" s="626">
        <v>0</v>
      </c>
      <c r="C2992" s="626">
        <v>1000000</v>
      </c>
      <c r="D2992" s="626">
        <v>0</v>
      </c>
    </row>
    <row r="2993" spans="1:4" x14ac:dyDescent="0.2">
      <c r="A2993">
        <v>2992</v>
      </c>
      <c r="B2993" s="626">
        <v>0</v>
      </c>
      <c r="C2993" s="626">
        <v>1000000</v>
      </c>
      <c r="D2993" s="626">
        <v>0</v>
      </c>
    </row>
    <row r="2994" spans="1:4" x14ac:dyDescent="0.2">
      <c r="A2994">
        <v>2993</v>
      </c>
      <c r="B2994" s="626">
        <v>0</v>
      </c>
      <c r="C2994" s="626">
        <v>1000000</v>
      </c>
      <c r="D2994" s="626">
        <v>0</v>
      </c>
    </row>
    <row r="2995" spans="1:4" x14ac:dyDescent="0.2">
      <c r="A2995">
        <v>2994</v>
      </c>
      <c r="B2995" s="626">
        <v>0</v>
      </c>
      <c r="C2995" s="626">
        <v>1000000</v>
      </c>
      <c r="D2995" s="626">
        <v>0</v>
      </c>
    </row>
    <row r="2996" spans="1:4" x14ac:dyDescent="0.2">
      <c r="A2996">
        <v>2995</v>
      </c>
      <c r="B2996" s="626">
        <v>0</v>
      </c>
      <c r="C2996" s="626">
        <v>1000000</v>
      </c>
      <c r="D2996" s="626">
        <v>0</v>
      </c>
    </row>
    <row r="2997" spans="1:4" x14ac:dyDescent="0.2">
      <c r="A2997">
        <v>2996</v>
      </c>
      <c r="B2997" s="626">
        <v>0</v>
      </c>
      <c r="C2997" s="626">
        <v>1000000</v>
      </c>
      <c r="D2997" s="626">
        <v>0</v>
      </c>
    </row>
    <row r="2998" spans="1:4" x14ac:dyDescent="0.2">
      <c r="A2998">
        <v>2997</v>
      </c>
      <c r="B2998" s="626">
        <v>0</v>
      </c>
      <c r="C2998" s="626">
        <v>1000000</v>
      </c>
      <c r="D2998" s="626">
        <v>0</v>
      </c>
    </row>
    <row r="2999" spans="1:4" x14ac:dyDescent="0.2">
      <c r="A2999">
        <v>2998</v>
      </c>
      <c r="B2999" s="626">
        <v>0</v>
      </c>
      <c r="C2999" s="626">
        <v>1000000</v>
      </c>
      <c r="D2999" s="626">
        <v>0</v>
      </c>
    </row>
    <row r="3000" spans="1:4" x14ac:dyDescent="0.2">
      <c r="A3000">
        <v>2999</v>
      </c>
      <c r="B3000" s="626">
        <v>0</v>
      </c>
      <c r="C3000" s="626">
        <v>1000000</v>
      </c>
      <c r="D3000" s="626">
        <v>0</v>
      </c>
    </row>
    <row r="3001" spans="1:4" x14ac:dyDescent="0.2">
      <c r="A3001">
        <v>3000</v>
      </c>
      <c r="B3001" s="626">
        <v>0</v>
      </c>
      <c r="C3001" s="626">
        <v>1000000</v>
      </c>
      <c r="D3001" s="626">
        <v>0</v>
      </c>
    </row>
    <row r="3002" spans="1:4" x14ac:dyDescent="0.2">
      <c r="A3002">
        <v>3001</v>
      </c>
      <c r="B3002" s="626">
        <v>0</v>
      </c>
      <c r="C3002" s="626">
        <v>1000000</v>
      </c>
      <c r="D3002" s="626">
        <v>0</v>
      </c>
    </row>
    <row r="3003" spans="1:4" x14ac:dyDescent="0.2">
      <c r="A3003">
        <v>3002</v>
      </c>
      <c r="B3003" s="626">
        <v>0</v>
      </c>
      <c r="C3003" s="626">
        <v>1000000</v>
      </c>
      <c r="D3003" s="626">
        <v>0</v>
      </c>
    </row>
    <row r="3004" spans="1:4" x14ac:dyDescent="0.2">
      <c r="A3004">
        <v>3003</v>
      </c>
      <c r="B3004" s="626">
        <v>0</v>
      </c>
      <c r="C3004" s="626">
        <v>1000000</v>
      </c>
      <c r="D3004" s="626">
        <v>0</v>
      </c>
    </row>
    <row r="3005" spans="1:4" x14ac:dyDescent="0.2">
      <c r="A3005">
        <v>3004</v>
      </c>
      <c r="B3005" s="626">
        <v>0</v>
      </c>
      <c r="C3005" s="626">
        <v>1000000</v>
      </c>
      <c r="D3005" s="626">
        <v>0</v>
      </c>
    </row>
    <row r="3006" spans="1:4" x14ac:dyDescent="0.2">
      <c r="A3006">
        <v>3005</v>
      </c>
      <c r="B3006" s="626">
        <v>0</v>
      </c>
      <c r="C3006" s="626">
        <v>1000000</v>
      </c>
      <c r="D3006" s="626">
        <v>0</v>
      </c>
    </row>
    <row r="3007" spans="1:4" x14ac:dyDescent="0.2">
      <c r="A3007">
        <v>3006</v>
      </c>
      <c r="B3007" s="626">
        <v>0</v>
      </c>
      <c r="C3007" s="626">
        <v>1000000</v>
      </c>
      <c r="D3007" s="626">
        <v>0</v>
      </c>
    </row>
    <row r="3008" spans="1:4" x14ac:dyDescent="0.2">
      <c r="A3008">
        <v>3007</v>
      </c>
      <c r="B3008" s="626">
        <v>0</v>
      </c>
      <c r="C3008" s="626">
        <v>1000000</v>
      </c>
      <c r="D3008" s="626">
        <v>0</v>
      </c>
    </row>
    <row r="3009" spans="1:4" x14ac:dyDescent="0.2">
      <c r="A3009">
        <v>3008</v>
      </c>
      <c r="B3009" s="626">
        <v>0</v>
      </c>
      <c r="C3009" s="626">
        <v>1000000</v>
      </c>
      <c r="D3009" s="626">
        <v>0</v>
      </c>
    </row>
    <row r="3010" spans="1:4" x14ac:dyDescent="0.2">
      <c r="A3010">
        <v>3009</v>
      </c>
      <c r="B3010" s="626">
        <v>0</v>
      </c>
      <c r="C3010" s="626">
        <v>1000000</v>
      </c>
      <c r="D3010" s="626">
        <v>0</v>
      </c>
    </row>
    <row r="3011" spans="1:4" x14ac:dyDescent="0.2">
      <c r="A3011">
        <v>3010</v>
      </c>
      <c r="B3011" s="626">
        <v>0</v>
      </c>
      <c r="C3011" s="626">
        <v>1000000</v>
      </c>
      <c r="D3011" s="626">
        <v>0</v>
      </c>
    </row>
    <row r="3012" spans="1:4" x14ac:dyDescent="0.2">
      <c r="A3012">
        <v>3011</v>
      </c>
      <c r="B3012" s="626">
        <v>0</v>
      </c>
      <c r="C3012" s="626">
        <v>1000000</v>
      </c>
      <c r="D3012" s="626">
        <v>0</v>
      </c>
    </row>
    <row r="3013" spans="1:4" x14ac:dyDescent="0.2">
      <c r="A3013">
        <v>3012</v>
      </c>
      <c r="B3013" s="626">
        <v>0</v>
      </c>
      <c r="C3013" s="626">
        <v>1000000</v>
      </c>
      <c r="D3013" s="626">
        <v>0</v>
      </c>
    </row>
    <row r="3014" spans="1:4" x14ac:dyDescent="0.2">
      <c r="A3014">
        <v>3013</v>
      </c>
      <c r="B3014" s="626">
        <v>0</v>
      </c>
      <c r="C3014" s="626">
        <v>1000000</v>
      </c>
      <c r="D3014" s="626">
        <v>0</v>
      </c>
    </row>
    <row r="3015" spans="1:4" x14ac:dyDescent="0.2">
      <c r="A3015">
        <v>3014</v>
      </c>
      <c r="B3015" s="626">
        <v>0</v>
      </c>
      <c r="C3015" s="626">
        <v>1000000</v>
      </c>
      <c r="D3015" s="626">
        <v>0</v>
      </c>
    </row>
    <row r="3016" spans="1:4" x14ac:dyDescent="0.2">
      <c r="A3016">
        <v>3015</v>
      </c>
      <c r="B3016" s="626">
        <v>0</v>
      </c>
      <c r="C3016" s="626">
        <v>1000000</v>
      </c>
      <c r="D3016" s="626">
        <v>0</v>
      </c>
    </row>
    <row r="3017" spans="1:4" x14ac:dyDescent="0.2">
      <c r="A3017">
        <v>3016</v>
      </c>
      <c r="B3017" s="626">
        <v>0</v>
      </c>
      <c r="C3017" s="626">
        <v>1000000</v>
      </c>
      <c r="D3017" s="626">
        <v>0</v>
      </c>
    </row>
    <row r="3018" spans="1:4" x14ac:dyDescent="0.2">
      <c r="A3018">
        <v>3017</v>
      </c>
      <c r="B3018" s="626">
        <v>0</v>
      </c>
      <c r="C3018" s="626">
        <v>1000000</v>
      </c>
      <c r="D3018" s="626">
        <v>0</v>
      </c>
    </row>
    <row r="3019" spans="1:4" x14ac:dyDescent="0.2">
      <c r="A3019">
        <v>3018</v>
      </c>
      <c r="B3019" s="626">
        <v>0</v>
      </c>
      <c r="C3019" s="626">
        <v>1000000</v>
      </c>
      <c r="D3019" s="626">
        <v>0</v>
      </c>
    </row>
    <row r="3020" spans="1:4" x14ac:dyDescent="0.2">
      <c r="A3020">
        <v>3019</v>
      </c>
      <c r="B3020" s="626">
        <v>0</v>
      </c>
      <c r="C3020" s="626">
        <v>1000000</v>
      </c>
      <c r="D3020" s="626">
        <v>0</v>
      </c>
    </row>
    <row r="3021" spans="1:4" x14ac:dyDescent="0.2">
      <c r="A3021">
        <v>3020</v>
      </c>
      <c r="B3021" s="626">
        <v>0</v>
      </c>
      <c r="C3021" s="626">
        <v>1000000</v>
      </c>
      <c r="D3021" s="626">
        <v>0</v>
      </c>
    </row>
    <row r="3022" spans="1:4" x14ac:dyDescent="0.2">
      <c r="A3022">
        <v>3021</v>
      </c>
      <c r="B3022" s="626">
        <v>0</v>
      </c>
      <c r="C3022" s="626">
        <v>1000000</v>
      </c>
      <c r="D3022" s="626">
        <v>0</v>
      </c>
    </row>
    <row r="3023" spans="1:4" x14ac:dyDescent="0.2">
      <c r="A3023">
        <v>3022</v>
      </c>
      <c r="B3023" s="626">
        <v>0</v>
      </c>
      <c r="C3023" s="626">
        <v>1000000</v>
      </c>
      <c r="D3023" s="626">
        <v>0</v>
      </c>
    </row>
    <row r="3024" spans="1:4" x14ac:dyDescent="0.2">
      <c r="A3024">
        <v>3023</v>
      </c>
      <c r="B3024" s="626">
        <v>0</v>
      </c>
      <c r="C3024" s="626">
        <v>1000000</v>
      </c>
      <c r="D3024" s="626">
        <v>0</v>
      </c>
    </row>
    <row r="3025" spans="1:4" x14ac:dyDescent="0.2">
      <c r="A3025">
        <v>3024</v>
      </c>
      <c r="B3025" s="626">
        <v>0</v>
      </c>
      <c r="C3025" s="626">
        <v>1000000</v>
      </c>
      <c r="D3025" s="626">
        <v>0</v>
      </c>
    </row>
    <row r="3026" spans="1:4" x14ac:dyDescent="0.2">
      <c r="A3026">
        <v>3025</v>
      </c>
      <c r="B3026" s="626">
        <v>0</v>
      </c>
      <c r="C3026" s="626">
        <v>1000000</v>
      </c>
      <c r="D3026" s="626">
        <v>0</v>
      </c>
    </row>
    <row r="3027" spans="1:4" x14ac:dyDescent="0.2">
      <c r="A3027">
        <v>3026</v>
      </c>
      <c r="B3027" s="626">
        <v>0</v>
      </c>
      <c r="C3027" s="626">
        <v>1000000</v>
      </c>
      <c r="D3027" s="626">
        <v>0</v>
      </c>
    </row>
    <row r="3028" spans="1:4" x14ac:dyDescent="0.2">
      <c r="A3028">
        <v>3027</v>
      </c>
      <c r="B3028" s="626">
        <v>0</v>
      </c>
      <c r="C3028" s="626">
        <v>1000000</v>
      </c>
      <c r="D3028" s="626">
        <v>0</v>
      </c>
    </row>
    <row r="3029" spans="1:4" x14ac:dyDescent="0.2">
      <c r="A3029">
        <v>3028</v>
      </c>
      <c r="B3029" s="626">
        <v>0</v>
      </c>
      <c r="C3029" s="626">
        <v>1000000</v>
      </c>
      <c r="D3029" s="626">
        <v>0</v>
      </c>
    </row>
    <row r="3030" spans="1:4" x14ac:dyDescent="0.2">
      <c r="A3030">
        <v>3029</v>
      </c>
      <c r="B3030" s="626">
        <v>0</v>
      </c>
      <c r="C3030" s="626">
        <v>1000000</v>
      </c>
      <c r="D3030" s="626">
        <v>0</v>
      </c>
    </row>
    <row r="3031" spans="1:4" x14ac:dyDescent="0.2">
      <c r="A3031">
        <v>3030</v>
      </c>
      <c r="B3031" s="626">
        <v>0</v>
      </c>
      <c r="C3031" s="626">
        <v>1000000</v>
      </c>
      <c r="D3031" s="626">
        <v>0</v>
      </c>
    </row>
    <row r="3032" spans="1:4" x14ac:dyDescent="0.2">
      <c r="A3032">
        <v>3031</v>
      </c>
      <c r="B3032" s="626">
        <v>0</v>
      </c>
      <c r="C3032" s="626">
        <v>1000000</v>
      </c>
      <c r="D3032" s="626">
        <v>0</v>
      </c>
    </row>
    <row r="3033" spans="1:4" x14ac:dyDescent="0.2">
      <c r="A3033">
        <v>3032</v>
      </c>
      <c r="B3033" s="626">
        <v>0</v>
      </c>
      <c r="C3033" s="626">
        <v>1000000</v>
      </c>
      <c r="D3033" s="626">
        <v>0</v>
      </c>
    </row>
    <row r="3034" spans="1:4" x14ac:dyDescent="0.2">
      <c r="A3034">
        <v>3033</v>
      </c>
      <c r="B3034" s="626">
        <v>0</v>
      </c>
      <c r="C3034" s="626">
        <v>1000000</v>
      </c>
      <c r="D3034" s="626">
        <v>0</v>
      </c>
    </row>
    <row r="3035" spans="1:4" x14ac:dyDescent="0.2">
      <c r="A3035">
        <v>3034</v>
      </c>
      <c r="B3035" s="626">
        <v>0</v>
      </c>
      <c r="C3035" s="626">
        <v>1000000</v>
      </c>
      <c r="D3035" s="626">
        <v>0</v>
      </c>
    </row>
    <row r="3036" spans="1:4" x14ac:dyDescent="0.2">
      <c r="A3036">
        <v>3035</v>
      </c>
      <c r="B3036" s="626">
        <v>0</v>
      </c>
      <c r="C3036" s="626">
        <v>1000000</v>
      </c>
      <c r="D3036" s="626">
        <v>0</v>
      </c>
    </row>
    <row r="3037" spans="1:4" x14ac:dyDescent="0.2">
      <c r="A3037">
        <v>3036</v>
      </c>
      <c r="B3037" s="626">
        <v>0</v>
      </c>
      <c r="C3037" s="626">
        <v>1000000</v>
      </c>
      <c r="D3037" s="626">
        <v>0</v>
      </c>
    </row>
    <row r="3038" spans="1:4" x14ac:dyDescent="0.2">
      <c r="A3038">
        <v>3037</v>
      </c>
      <c r="B3038" s="626">
        <v>0</v>
      </c>
      <c r="C3038" s="626">
        <v>1000000</v>
      </c>
      <c r="D3038" s="626">
        <v>0</v>
      </c>
    </row>
    <row r="3039" spans="1:4" x14ac:dyDescent="0.2">
      <c r="A3039">
        <v>3038</v>
      </c>
      <c r="B3039" s="626">
        <v>0</v>
      </c>
      <c r="C3039" s="626">
        <v>1000000</v>
      </c>
      <c r="D3039" s="626">
        <v>0</v>
      </c>
    </row>
    <row r="3040" spans="1:4" x14ac:dyDescent="0.2">
      <c r="A3040">
        <v>3039</v>
      </c>
      <c r="B3040" s="626">
        <v>0</v>
      </c>
      <c r="C3040" s="626">
        <v>1000000</v>
      </c>
      <c r="D3040" s="626">
        <v>0</v>
      </c>
    </row>
    <row r="3041" spans="1:4" x14ac:dyDescent="0.2">
      <c r="A3041">
        <v>3040</v>
      </c>
      <c r="B3041" s="626">
        <v>0</v>
      </c>
      <c r="C3041" s="626">
        <v>1000000</v>
      </c>
      <c r="D3041" s="626">
        <v>0</v>
      </c>
    </row>
    <row r="3042" spans="1:4" x14ac:dyDescent="0.2">
      <c r="A3042">
        <v>3041</v>
      </c>
      <c r="B3042" s="626">
        <v>0</v>
      </c>
      <c r="C3042" s="626">
        <v>1000000</v>
      </c>
      <c r="D3042" s="626">
        <v>0</v>
      </c>
    </row>
    <row r="3043" spans="1:4" x14ac:dyDescent="0.2">
      <c r="A3043">
        <v>3042</v>
      </c>
      <c r="B3043" s="626">
        <v>0</v>
      </c>
      <c r="C3043" s="626">
        <v>1000000</v>
      </c>
      <c r="D3043" s="626">
        <v>0</v>
      </c>
    </row>
    <row r="3044" spans="1:4" x14ac:dyDescent="0.2">
      <c r="A3044">
        <v>3043</v>
      </c>
      <c r="B3044" s="626">
        <v>0</v>
      </c>
      <c r="C3044" s="626">
        <v>1000000</v>
      </c>
      <c r="D3044" s="626">
        <v>0</v>
      </c>
    </row>
    <row r="3045" spans="1:4" x14ac:dyDescent="0.2">
      <c r="A3045">
        <v>3044</v>
      </c>
      <c r="B3045" s="626">
        <v>0</v>
      </c>
      <c r="C3045" s="626">
        <v>1000000</v>
      </c>
      <c r="D3045" s="626">
        <v>0</v>
      </c>
    </row>
    <row r="3046" spans="1:4" x14ac:dyDescent="0.2">
      <c r="A3046">
        <v>3045</v>
      </c>
      <c r="B3046" s="626">
        <v>0</v>
      </c>
      <c r="C3046" s="626">
        <v>1000000</v>
      </c>
      <c r="D3046" s="626">
        <v>0</v>
      </c>
    </row>
    <row r="3047" spans="1:4" x14ac:dyDescent="0.2">
      <c r="A3047">
        <v>3046</v>
      </c>
      <c r="B3047" s="626">
        <v>0</v>
      </c>
      <c r="C3047" s="626">
        <v>1000000</v>
      </c>
      <c r="D3047" s="626">
        <v>0</v>
      </c>
    </row>
    <row r="3048" spans="1:4" x14ac:dyDescent="0.2">
      <c r="A3048">
        <v>3047</v>
      </c>
      <c r="B3048" s="626">
        <v>0</v>
      </c>
      <c r="C3048" s="626">
        <v>1000000</v>
      </c>
      <c r="D3048" s="626">
        <v>0</v>
      </c>
    </row>
    <row r="3049" spans="1:4" x14ac:dyDescent="0.2">
      <c r="A3049">
        <v>3048</v>
      </c>
      <c r="B3049" s="626">
        <v>0</v>
      </c>
      <c r="C3049" s="626">
        <v>1000000</v>
      </c>
      <c r="D3049" s="626">
        <v>0</v>
      </c>
    </row>
    <row r="3050" spans="1:4" x14ac:dyDescent="0.2">
      <c r="A3050">
        <v>3049</v>
      </c>
      <c r="B3050" s="626">
        <v>0</v>
      </c>
      <c r="C3050" s="626">
        <v>1000000</v>
      </c>
      <c r="D3050" s="626">
        <v>0</v>
      </c>
    </row>
    <row r="3051" spans="1:4" x14ac:dyDescent="0.2">
      <c r="A3051">
        <v>3050</v>
      </c>
      <c r="B3051" s="626">
        <v>0</v>
      </c>
      <c r="C3051" s="626">
        <v>1000000</v>
      </c>
      <c r="D3051" s="626">
        <v>0</v>
      </c>
    </row>
    <row r="3052" spans="1:4" x14ac:dyDescent="0.2">
      <c r="A3052">
        <v>3051</v>
      </c>
      <c r="B3052" s="626">
        <v>0</v>
      </c>
      <c r="C3052" s="626">
        <v>1000000</v>
      </c>
      <c r="D3052" s="626">
        <v>0</v>
      </c>
    </row>
    <row r="3053" spans="1:4" x14ac:dyDescent="0.2">
      <c r="A3053">
        <v>3052</v>
      </c>
      <c r="B3053" s="626">
        <v>0</v>
      </c>
      <c r="C3053" s="626">
        <v>1000000</v>
      </c>
      <c r="D3053" s="626">
        <v>0</v>
      </c>
    </row>
    <row r="3054" spans="1:4" x14ac:dyDescent="0.2">
      <c r="A3054">
        <v>3053</v>
      </c>
      <c r="B3054" s="626">
        <v>0</v>
      </c>
      <c r="C3054" s="626">
        <v>1000000</v>
      </c>
      <c r="D3054" s="626">
        <v>0</v>
      </c>
    </row>
    <row r="3055" spans="1:4" x14ac:dyDescent="0.2">
      <c r="A3055">
        <v>3054</v>
      </c>
      <c r="B3055" s="626">
        <v>0</v>
      </c>
      <c r="C3055" s="626">
        <v>1000000</v>
      </c>
      <c r="D3055" s="626">
        <v>0</v>
      </c>
    </row>
    <row r="3056" spans="1:4" x14ac:dyDescent="0.2">
      <c r="A3056">
        <v>3055</v>
      </c>
      <c r="B3056" s="626">
        <v>0</v>
      </c>
      <c r="C3056" s="626">
        <v>1000000</v>
      </c>
      <c r="D3056" s="626">
        <v>0</v>
      </c>
    </row>
    <row r="3057" spans="1:4" x14ac:dyDescent="0.2">
      <c r="A3057">
        <v>3056</v>
      </c>
      <c r="B3057" s="626">
        <v>0</v>
      </c>
      <c r="C3057" s="626">
        <v>1000000</v>
      </c>
      <c r="D3057" s="626">
        <v>0</v>
      </c>
    </row>
    <row r="3058" spans="1:4" x14ac:dyDescent="0.2">
      <c r="A3058">
        <v>3057</v>
      </c>
      <c r="B3058" s="626">
        <v>0</v>
      </c>
      <c r="C3058" s="626">
        <v>1000000</v>
      </c>
      <c r="D3058" s="626">
        <v>0</v>
      </c>
    </row>
    <row r="3059" spans="1:4" x14ac:dyDescent="0.2">
      <c r="A3059">
        <v>3058</v>
      </c>
      <c r="B3059" s="626">
        <v>0</v>
      </c>
      <c r="C3059" s="626">
        <v>1000000</v>
      </c>
      <c r="D3059" s="626">
        <v>0</v>
      </c>
    </row>
    <row r="3060" spans="1:4" x14ac:dyDescent="0.2">
      <c r="A3060">
        <v>3059</v>
      </c>
      <c r="B3060" s="626">
        <v>0</v>
      </c>
      <c r="C3060" s="626">
        <v>1000000</v>
      </c>
      <c r="D3060" s="626">
        <v>0</v>
      </c>
    </row>
    <row r="3061" spans="1:4" x14ac:dyDescent="0.2">
      <c r="A3061">
        <v>3060</v>
      </c>
      <c r="B3061" s="626">
        <v>0</v>
      </c>
      <c r="C3061" s="626">
        <v>1000000</v>
      </c>
      <c r="D3061" s="626">
        <v>0</v>
      </c>
    </row>
    <row r="3062" spans="1:4" x14ac:dyDescent="0.2">
      <c r="A3062">
        <v>3061</v>
      </c>
      <c r="B3062" s="626">
        <v>0</v>
      </c>
      <c r="C3062" s="626">
        <v>1000000</v>
      </c>
      <c r="D3062" s="626">
        <v>0</v>
      </c>
    </row>
    <row r="3063" spans="1:4" x14ac:dyDescent="0.2">
      <c r="A3063">
        <v>3062</v>
      </c>
      <c r="B3063" s="626">
        <v>0</v>
      </c>
      <c r="C3063" s="626">
        <v>1000000</v>
      </c>
      <c r="D3063" s="626">
        <v>0</v>
      </c>
    </row>
    <row r="3064" spans="1:4" x14ac:dyDescent="0.2">
      <c r="A3064">
        <v>3063</v>
      </c>
      <c r="B3064" s="626">
        <v>0</v>
      </c>
      <c r="C3064" s="626">
        <v>1000000</v>
      </c>
      <c r="D3064" s="626">
        <v>0</v>
      </c>
    </row>
    <row r="3065" spans="1:4" x14ac:dyDescent="0.2">
      <c r="A3065">
        <v>3064</v>
      </c>
      <c r="B3065" s="626">
        <v>0</v>
      </c>
      <c r="C3065" s="626">
        <v>1000000</v>
      </c>
      <c r="D3065" s="626">
        <v>0</v>
      </c>
    </row>
    <row r="3066" spans="1:4" x14ac:dyDescent="0.2">
      <c r="A3066">
        <v>3065</v>
      </c>
      <c r="B3066" s="626">
        <v>0</v>
      </c>
      <c r="C3066" s="626">
        <v>1000000</v>
      </c>
      <c r="D3066" s="626">
        <v>0</v>
      </c>
    </row>
    <row r="3067" spans="1:4" x14ac:dyDescent="0.2">
      <c r="A3067">
        <v>3066</v>
      </c>
      <c r="B3067" s="626">
        <v>0</v>
      </c>
      <c r="C3067" s="626">
        <v>1000000</v>
      </c>
      <c r="D3067" s="626">
        <v>0</v>
      </c>
    </row>
    <row r="3068" spans="1:4" x14ac:dyDescent="0.2">
      <c r="A3068">
        <v>3067</v>
      </c>
      <c r="B3068" s="626">
        <v>0</v>
      </c>
      <c r="C3068" s="626">
        <v>1000000</v>
      </c>
      <c r="D3068" s="626">
        <v>0</v>
      </c>
    </row>
    <row r="3069" spans="1:4" x14ac:dyDescent="0.2">
      <c r="A3069">
        <v>3068</v>
      </c>
      <c r="B3069" s="626">
        <v>0</v>
      </c>
      <c r="C3069" s="626">
        <v>1000000</v>
      </c>
      <c r="D3069" s="626">
        <v>0</v>
      </c>
    </row>
    <row r="3070" spans="1:4" x14ac:dyDescent="0.2">
      <c r="A3070">
        <v>3069</v>
      </c>
      <c r="B3070" s="626">
        <v>0</v>
      </c>
      <c r="C3070" s="626">
        <v>1000000</v>
      </c>
      <c r="D3070" s="626">
        <v>0</v>
      </c>
    </row>
    <row r="3071" spans="1:4" x14ac:dyDescent="0.2">
      <c r="A3071">
        <v>3070</v>
      </c>
      <c r="B3071" s="626">
        <v>0</v>
      </c>
      <c r="C3071" s="626">
        <v>1000000</v>
      </c>
      <c r="D3071" s="626">
        <v>0</v>
      </c>
    </row>
    <row r="3072" spans="1:4" x14ac:dyDescent="0.2">
      <c r="A3072">
        <v>3071</v>
      </c>
      <c r="B3072" s="626">
        <v>0</v>
      </c>
      <c r="C3072" s="626">
        <v>1000000</v>
      </c>
      <c r="D3072" s="626">
        <v>0</v>
      </c>
    </row>
    <row r="3073" spans="1:4" x14ac:dyDescent="0.2">
      <c r="A3073">
        <v>3072</v>
      </c>
      <c r="B3073" s="626">
        <v>0</v>
      </c>
      <c r="C3073" s="626">
        <v>1000000</v>
      </c>
      <c r="D3073" s="626">
        <v>0</v>
      </c>
    </row>
    <row r="3074" spans="1:4" x14ac:dyDescent="0.2">
      <c r="A3074">
        <v>3073</v>
      </c>
      <c r="B3074" s="626">
        <v>0</v>
      </c>
      <c r="C3074" s="626">
        <v>1000000</v>
      </c>
      <c r="D3074" s="626">
        <v>0</v>
      </c>
    </row>
    <row r="3075" spans="1:4" x14ac:dyDescent="0.2">
      <c r="A3075">
        <v>3074</v>
      </c>
      <c r="B3075" s="626">
        <v>0</v>
      </c>
      <c r="C3075" s="626">
        <v>1000000</v>
      </c>
      <c r="D3075" s="626">
        <v>0</v>
      </c>
    </row>
    <row r="3076" spans="1:4" x14ac:dyDescent="0.2">
      <c r="A3076">
        <v>3075</v>
      </c>
      <c r="B3076" s="626">
        <v>0</v>
      </c>
      <c r="C3076" s="626">
        <v>1000000</v>
      </c>
      <c r="D3076" s="626">
        <v>0</v>
      </c>
    </row>
    <row r="3077" spans="1:4" x14ac:dyDescent="0.2">
      <c r="A3077">
        <v>3076</v>
      </c>
      <c r="B3077" s="626">
        <v>0</v>
      </c>
      <c r="C3077" s="626">
        <v>1000000</v>
      </c>
      <c r="D3077" s="626">
        <v>0</v>
      </c>
    </row>
    <row r="3078" spans="1:4" x14ac:dyDescent="0.2">
      <c r="A3078">
        <v>3077</v>
      </c>
      <c r="B3078" s="626">
        <v>0</v>
      </c>
      <c r="C3078" s="626">
        <v>1000000</v>
      </c>
      <c r="D3078" s="626">
        <v>0</v>
      </c>
    </row>
    <row r="3079" spans="1:4" x14ac:dyDescent="0.2">
      <c r="A3079">
        <v>3078</v>
      </c>
      <c r="B3079" s="626">
        <v>0</v>
      </c>
      <c r="C3079" s="626">
        <v>1000000</v>
      </c>
      <c r="D3079" s="626">
        <v>0</v>
      </c>
    </row>
    <row r="3080" spans="1:4" x14ac:dyDescent="0.2">
      <c r="A3080">
        <v>3079</v>
      </c>
      <c r="B3080" s="626">
        <v>0</v>
      </c>
      <c r="C3080" s="626">
        <v>1000000</v>
      </c>
      <c r="D3080" s="626">
        <v>0</v>
      </c>
    </row>
    <row r="3081" spans="1:4" x14ac:dyDescent="0.2">
      <c r="A3081">
        <v>3080</v>
      </c>
      <c r="B3081" s="626">
        <v>0</v>
      </c>
      <c r="C3081" s="626">
        <v>1000000</v>
      </c>
      <c r="D3081" s="626">
        <v>0</v>
      </c>
    </row>
    <row r="3082" spans="1:4" x14ac:dyDescent="0.2">
      <c r="A3082">
        <v>3081</v>
      </c>
      <c r="B3082" s="626">
        <v>0</v>
      </c>
      <c r="C3082" s="626">
        <v>1000000</v>
      </c>
      <c r="D3082" s="626">
        <v>0</v>
      </c>
    </row>
    <row r="3083" spans="1:4" x14ac:dyDescent="0.2">
      <c r="A3083">
        <v>3082</v>
      </c>
      <c r="B3083" s="626">
        <v>0</v>
      </c>
      <c r="C3083" s="626">
        <v>1000000</v>
      </c>
      <c r="D3083" s="626">
        <v>0</v>
      </c>
    </row>
    <row r="3084" spans="1:4" x14ac:dyDescent="0.2">
      <c r="A3084">
        <v>3083</v>
      </c>
      <c r="B3084" s="626">
        <v>0</v>
      </c>
      <c r="C3084" s="626">
        <v>1000000</v>
      </c>
      <c r="D3084" s="626">
        <v>0</v>
      </c>
    </row>
    <row r="3085" spans="1:4" x14ac:dyDescent="0.2">
      <c r="A3085">
        <v>3084</v>
      </c>
      <c r="B3085" s="626">
        <v>0</v>
      </c>
      <c r="C3085" s="626">
        <v>1000000</v>
      </c>
      <c r="D3085" s="626">
        <v>0</v>
      </c>
    </row>
    <row r="3086" spans="1:4" x14ac:dyDescent="0.2">
      <c r="A3086">
        <v>3085</v>
      </c>
      <c r="B3086" s="626">
        <v>0</v>
      </c>
      <c r="C3086" s="626">
        <v>1000000</v>
      </c>
      <c r="D3086" s="626">
        <v>0</v>
      </c>
    </row>
    <row r="3087" spans="1:4" x14ac:dyDescent="0.2">
      <c r="A3087">
        <v>3086</v>
      </c>
      <c r="B3087" s="626">
        <v>0</v>
      </c>
      <c r="C3087" s="626">
        <v>1000000</v>
      </c>
      <c r="D3087" s="626">
        <v>0</v>
      </c>
    </row>
    <row r="3088" spans="1:4" x14ac:dyDescent="0.2">
      <c r="A3088">
        <v>3087</v>
      </c>
      <c r="B3088" s="626">
        <v>0</v>
      </c>
      <c r="C3088" s="626">
        <v>1000000</v>
      </c>
      <c r="D3088" s="626">
        <v>0</v>
      </c>
    </row>
    <row r="3089" spans="1:4" x14ac:dyDescent="0.2">
      <c r="A3089">
        <v>3088</v>
      </c>
      <c r="B3089" s="626">
        <v>0</v>
      </c>
      <c r="C3089" s="626">
        <v>1000000</v>
      </c>
      <c r="D3089" s="626">
        <v>0</v>
      </c>
    </row>
    <row r="3090" spans="1:4" x14ac:dyDescent="0.2">
      <c r="A3090">
        <v>3089</v>
      </c>
      <c r="B3090" s="626">
        <v>0</v>
      </c>
      <c r="C3090" s="626">
        <v>1000000</v>
      </c>
      <c r="D3090" s="626">
        <v>0</v>
      </c>
    </row>
    <row r="3091" spans="1:4" x14ac:dyDescent="0.2">
      <c r="A3091">
        <v>3090</v>
      </c>
      <c r="B3091" s="626">
        <v>0</v>
      </c>
      <c r="C3091" s="626">
        <v>1000000</v>
      </c>
      <c r="D3091" s="626">
        <v>0</v>
      </c>
    </row>
    <row r="3092" spans="1:4" x14ac:dyDescent="0.2">
      <c r="A3092">
        <v>3091</v>
      </c>
      <c r="B3092" s="626">
        <v>0</v>
      </c>
      <c r="C3092" s="626">
        <v>1000000</v>
      </c>
      <c r="D3092" s="626">
        <v>0</v>
      </c>
    </row>
    <row r="3093" spans="1:4" x14ac:dyDescent="0.2">
      <c r="A3093">
        <v>3092</v>
      </c>
      <c r="B3093" s="626">
        <v>0</v>
      </c>
      <c r="C3093" s="626">
        <v>1000000</v>
      </c>
      <c r="D3093" s="626">
        <v>0</v>
      </c>
    </row>
    <row r="3094" spans="1:4" x14ac:dyDescent="0.2">
      <c r="A3094">
        <v>3093</v>
      </c>
      <c r="B3094" s="626">
        <v>0</v>
      </c>
      <c r="C3094" s="626">
        <v>1000000</v>
      </c>
      <c r="D3094" s="626">
        <v>0</v>
      </c>
    </row>
    <row r="3095" spans="1:4" x14ac:dyDescent="0.2">
      <c r="A3095">
        <v>3094</v>
      </c>
      <c r="B3095" s="626">
        <v>0</v>
      </c>
      <c r="C3095" s="626">
        <v>1000000</v>
      </c>
      <c r="D3095" s="626">
        <v>0</v>
      </c>
    </row>
    <row r="3096" spans="1:4" x14ac:dyDescent="0.2">
      <c r="A3096">
        <v>3095</v>
      </c>
      <c r="B3096" s="626">
        <v>0</v>
      </c>
      <c r="C3096" s="626">
        <v>1000000</v>
      </c>
      <c r="D3096" s="626">
        <v>0</v>
      </c>
    </row>
    <row r="3097" spans="1:4" x14ac:dyDescent="0.2">
      <c r="A3097">
        <v>3096</v>
      </c>
      <c r="B3097" s="626">
        <v>0</v>
      </c>
      <c r="C3097" s="626">
        <v>1000000</v>
      </c>
      <c r="D3097" s="626">
        <v>0</v>
      </c>
    </row>
    <row r="3098" spans="1:4" x14ac:dyDescent="0.2">
      <c r="A3098">
        <v>3097</v>
      </c>
      <c r="B3098" s="626">
        <v>0</v>
      </c>
      <c r="C3098" s="626">
        <v>1000000</v>
      </c>
      <c r="D3098" s="626">
        <v>0</v>
      </c>
    </row>
    <row r="3099" spans="1:4" x14ac:dyDescent="0.2">
      <c r="A3099">
        <v>3098</v>
      </c>
      <c r="B3099" s="626">
        <v>0</v>
      </c>
      <c r="C3099" s="626">
        <v>1000000</v>
      </c>
      <c r="D3099" s="626">
        <v>0</v>
      </c>
    </row>
    <row r="3100" spans="1:4" x14ac:dyDescent="0.2">
      <c r="A3100">
        <v>3099</v>
      </c>
      <c r="B3100" s="626">
        <v>0</v>
      </c>
      <c r="C3100" s="626">
        <v>1000000</v>
      </c>
      <c r="D3100" s="626">
        <v>0</v>
      </c>
    </row>
    <row r="3101" spans="1:4" x14ac:dyDescent="0.2">
      <c r="A3101">
        <v>3100</v>
      </c>
      <c r="B3101" s="626">
        <v>0</v>
      </c>
      <c r="C3101" s="626">
        <v>1000000</v>
      </c>
      <c r="D3101" s="626">
        <v>0</v>
      </c>
    </row>
    <row r="3102" spans="1:4" x14ac:dyDescent="0.2">
      <c r="A3102">
        <v>3101</v>
      </c>
      <c r="B3102" s="626">
        <v>0</v>
      </c>
      <c r="C3102" s="626">
        <v>1000000</v>
      </c>
      <c r="D3102" s="626">
        <v>0</v>
      </c>
    </row>
    <row r="3103" spans="1:4" x14ac:dyDescent="0.2">
      <c r="A3103">
        <v>3102</v>
      </c>
      <c r="B3103" s="626">
        <v>0</v>
      </c>
      <c r="C3103" s="626">
        <v>1000000</v>
      </c>
      <c r="D3103" s="626">
        <v>0</v>
      </c>
    </row>
    <row r="3104" spans="1:4" x14ac:dyDescent="0.2">
      <c r="A3104">
        <v>3103</v>
      </c>
      <c r="B3104" s="626">
        <v>0</v>
      </c>
      <c r="C3104" s="626">
        <v>1000000</v>
      </c>
      <c r="D3104" s="626">
        <v>0</v>
      </c>
    </row>
    <row r="3105" spans="1:4" x14ac:dyDescent="0.2">
      <c r="A3105">
        <v>3104</v>
      </c>
      <c r="B3105" s="626">
        <v>0</v>
      </c>
      <c r="C3105" s="626">
        <v>1000000</v>
      </c>
      <c r="D3105" s="626">
        <v>0</v>
      </c>
    </row>
    <row r="3106" spans="1:4" x14ac:dyDescent="0.2">
      <c r="A3106">
        <v>3105</v>
      </c>
      <c r="B3106" s="626">
        <v>0</v>
      </c>
      <c r="C3106" s="626">
        <v>1000000</v>
      </c>
      <c r="D3106" s="626">
        <v>0</v>
      </c>
    </row>
    <row r="3107" spans="1:4" x14ac:dyDescent="0.2">
      <c r="A3107">
        <v>3106</v>
      </c>
      <c r="B3107" s="626">
        <v>0</v>
      </c>
      <c r="C3107" s="626">
        <v>1000000</v>
      </c>
      <c r="D3107" s="626">
        <v>0</v>
      </c>
    </row>
    <row r="3108" spans="1:4" x14ac:dyDescent="0.2">
      <c r="A3108">
        <v>3107</v>
      </c>
      <c r="B3108" s="626">
        <v>0</v>
      </c>
      <c r="C3108" s="626">
        <v>1000000</v>
      </c>
      <c r="D3108" s="626">
        <v>0</v>
      </c>
    </row>
    <row r="3109" spans="1:4" x14ac:dyDescent="0.2">
      <c r="A3109">
        <v>3108</v>
      </c>
      <c r="B3109" s="626">
        <v>0</v>
      </c>
      <c r="C3109" s="626">
        <v>1000000</v>
      </c>
      <c r="D3109" s="626">
        <v>0</v>
      </c>
    </row>
    <row r="3110" spans="1:4" x14ac:dyDescent="0.2">
      <c r="A3110">
        <v>3109</v>
      </c>
      <c r="B3110" s="626">
        <v>0</v>
      </c>
      <c r="C3110" s="626">
        <v>1000000</v>
      </c>
      <c r="D3110" s="626">
        <v>0</v>
      </c>
    </row>
    <row r="3111" spans="1:4" x14ac:dyDescent="0.2">
      <c r="A3111">
        <v>3110</v>
      </c>
      <c r="B3111" s="626">
        <v>0</v>
      </c>
      <c r="C3111" s="626">
        <v>1000000</v>
      </c>
      <c r="D3111" s="626">
        <v>0</v>
      </c>
    </row>
    <row r="3112" spans="1:4" x14ac:dyDescent="0.2">
      <c r="A3112">
        <v>3111</v>
      </c>
      <c r="B3112" s="626">
        <v>0</v>
      </c>
      <c r="C3112" s="626">
        <v>1000000</v>
      </c>
      <c r="D3112" s="626">
        <v>0</v>
      </c>
    </row>
    <row r="3113" spans="1:4" x14ac:dyDescent="0.2">
      <c r="A3113">
        <v>3112</v>
      </c>
      <c r="B3113" s="626">
        <v>0</v>
      </c>
      <c r="C3113" s="626">
        <v>1000000</v>
      </c>
      <c r="D3113" s="626">
        <v>0</v>
      </c>
    </row>
    <row r="3114" spans="1:4" x14ac:dyDescent="0.2">
      <c r="A3114">
        <v>3113</v>
      </c>
      <c r="B3114" s="626">
        <v>0</v>
      </c>
      <c r="C3114" s="626">
        <v>1000000</v>
      </c>
      <c r="D3114" s="626">
        <v>0</v>
      </c>
    </row>
    <row r="3115" spans="1:4" x14ac:dyDescent="0.2">
      <c r="A3115">
        <v>3114</v>
      </c>
      <c r="B3115" s="626">
        <v>0</v>
      </c>
      <c r="C3115" s="626">
        <v>1000000</v>
      </c>
      <c r="D3115" s="626">
        <v>0</v>
      </c>
    </row>
    <row r="3116" spans="1:4" x14ac:dyDescent="0.2">
      <c r="A3116">
        <v>3115</v>
      </c>
      <c r="B3116" s="626">
        <v>0</v>
      </c>
      <c r="C3116" s="626">
        <v>1000000</v>
      </c>
      <c r="D3116" s="626">
        <v>0</v>
      </c>
    </row>
    <row r="3117" spans="1:4" x14ac:dyDescent="0.2">
      <c r="A3117">
        <v>3116</v>
      </c>
      <c r="B3117" s="626">
        <v>0</v>
      </c>
      <c r="C3117" s="626">
        <v>1000000</v>
      </c>
      <c r="D3117" s="626">
        <v>0</v>
      </c>
    </row>
    <row r="3118" spans="1:4" x14ac:dyDescent="0.2">
      <c r="A3118">
        <v>3117</v>
      </c>
      <c r="B3118" s="626">
        <v>0</v>
      </c>
      <c r="C3118" s="626">
        <v>1000000</v>
      </c>
      <c r="D3118" s="626">
        <v>0</v>
      </c>
    </row>
    <row r="3119" spans="1:4" x14ac:dyDescent="0.2">
      <c r="A3119">
        <v>3118</v>
      </c>
      <c r="B3119" s="626">
        <v>0</v>
      </c>
      <c r="C3119" s="626">
        <v>1000000</v>
      </c>
      <c r="D3119" s="626">
        <v>0</v>
      </c>
    </row>
    <row r="3120" spans="1:4" x14ac:dyDescent="0.2">
      <c r="A3120">
        <v>3119</v>
      </c>
      <c r="B3120" s="626">
        <v>0</v>
      </c>
      <c r="C3120" s="626">
        <v>1000000</v>
      </c>
      <c r="D3120" s="626">
        <v>0</v>
      </c>
    </row>
    <row r="3121" spans="1:4" x14ac:dyDescent="0.2">
      <c r="A3121">
        <v>3120</v>
      </c>
      <c r="B3121" s="626">
        <v>0</v>
      </c>
      <c r="C3121" s="626">
        <v>1000000</v>
      </c>
      <c r="D3121" s="626">
        <v>0</v>
      </c>
    </row>
    <row r="3122" spans="1:4" x14ac:dyDescent="0.2">
      <c r="A3122">
        <v>3121</v>
      </c>
      <c r="B3122" s="626">
        <v>0</v>
      </c>
      <c r="C3122" s="626">
        <v>1000000</v>
      </c>
      <c r="D3122" s="626">
        <v>0</v>
      </c>
    </row>
    <row r="3123" spans="1:4" x14ac:dyDescent="0.2">
      <c r="A3123">
        <v>3122</v>
      </c>
      <c r="B3123" s="626">
        <v>0</v>
      </c>
      <c r="C3123" s="626">
        <v>1000000</v>
      </c>
      <c r="D3123" s="626">
        <v>0</v>
      </c>
    </row>
    <row r="3124" spans="1:4" x14ac:dyDescent="0.2">
      <c r="A3124">
        <v>3123</v>
      </c>
      <c r="B3124" s="626">
        <v>0</v>
      </c>
      <c r="C3124" s="626">
        <v>1000000</v>
      </c>
      <c r="D3124" s="626">
        <v>0</v>
      </c>
    </row>
    <row r="3125" spans="1:4" x14ac:dyDescent="0.2">
      <c r="A3125">
        <v>3124</v>
      </c>
      <c r="B3125" s="626">
        <v>0</v>
      </c>
      <c r="C3125" s="626">
        <v>1000000</v>
      </c>
      <c r="D3125" s="626">
        <v>0</v>
      </c>
    </row>
    <row r="3126" spans="1:4" x14ac:dyDescent="0.2">
      <c r="A3126">
        <v>3125</v>
      </c>
      <c r="B3126" s="626">
        <v>0</v>
      </c>
      <c r="C3126" s="626">
        <v>1000000</v>
      </c>
      <c r="D3126" s="626">
        <v>0</v>
      </c>
    </row>
    <row r="3127" spans="1:4" x14ac:dyDescent="0.2">
      <c r="A3127">
        <v>3126</v>
      </c>
      <c r="B3127" s="626">
        <v>0</v>
      </c>
      <c r="C3127" s="626">
        <v>1000000</v>
      </c>
      <c r="D3127" s="626">
        <v>0</v>
      </c>
    </row>
    <row r="3128" spans="1:4" x14ac:dyDescent="0.2">
      <c r="A3128">
        <v>3127</v>
      </c>
      <c r="B3128" s="626">
        <v>0</v>
      </c>
      <c r="C3128" s="626">
        <v>1000000</v>
      </c>
      <c r="D3128" s="626">
        <v>0</v>
      </c>
    </row>
    <row r="3129" spans="1:4" x14ac:dyDescent="0.2">
      <c r="A3129">
        <v>3128</v>
      </c>
      <c r="B3129" s="626">
        <v>0</v>
      </c>
      <c r="C3129" s="626">
        <v>1000000</v>
      </c>
      <c r="D3129" s="626">
        <v>0</v>
      </c>
    </row>
    <row r="3130" spans="1:4" x14ac:dyDescent="0.2">
      <c r="A3130">
        <v>3129</v>
      </c>
      <c r="B3130" s="626">
        <v>0</v>
      </c>
      <c r="C3130" s="626">
        <v>1000000</v>
      </c>
      <c r="D3130" s="626">
        <v>0</v>
      </c>
    </row>
    <row r="3131" spans="1:4" x14ac:dyDescent="0.2">
      <c r="A3131">
        <v>3130</v>
      </c>
      <c r="B3131" s="626">
        <v>0</v>
      </c>
      <c r="C3131" s="626">
        <v>1000000</v>
      </c>
      <c r="D3131" s="626">
        <v>0</v>
      </c>
    </row>
    <row r="3132" spans="1:4" x14ac:dyDescent="0.2">
      <c r="A3132">
        <v>3131</v>
      </c>
      <c r="B3132" s="626">
        <v>0</v>
      </c>
      <c r="C3132" s="626">
        <v>1000000</v>
      </c>
      <c r="D3132" s="626">
        <v>0</v>
      </c>
    </row>
    <row r="3133" spans="1:4" x14ac:dyDescent="0.2">
      <c r="A3133">
        <v>3132</v>
      </c>
      <c r="B3133" s="626">
        <v>0</v>
      </c>
      <c r="C3133" s="626">
        <v>1000000</v>
      </c>
      <c r="D3133" s="626">
        <v>0</v>
      </c>
    </row>
    <row r="3134" spans="1:4" x14ac:dyDescent="0.2">
      <c r="A3134">
        <v>3133</v>
      </c>
      <c r="B3134" s="626">
        <v>0</v>
      </c>
      <c r="C3134" s="626">
        <v>1000000</v>
      </c>
      <c r="D3134" s="626">
        <v>0</v>
      </c>
    </row>
    <row r="3135" spans="1:4" x14ac:dyDescent="0.2">
      <c r="A3135">
        <v>3134</v>
      </c>
      <c r="B3135" s="626">
        <v>0</v>
      </c>
      <c r="C3135" s="626">
        <v>1000000</v>
      </c>
      <c r="D3135" s="626">
        <v>0</v>
      </c>
    </row>
    <row r="3136" spans="1:4" x14ac:dyDescent="0.2">
      <c r="A3136">
        <v>3135</v>
      </c>
      <c r="B3136" s="626">
        <v>0</v>
      </c>
      <c r="C3136" s="626">
        <v>1000000</v>
      </c>
      <c r="D3136" s="626">
        <v>0</v>
      </c>
    </row>
    <row r="3137" spans="1:4" x14ac:dyDescent="0.2">
      <c r="A3137">
        <v>3136</v>
      </c>
      <c r="B3137" s="626">
        <v>0</v>
      </c>
      <c r="C3137" s="626">
        <v>1000000</v>
      </c>
      <c r="D3137" s="626">
        <v>0</v>
      </c>
    </row>
    <row r="3138" spans="1:4" x14ac:dyDescent="0.2">
      <c r="A3138">
        <v>3137</v>
      </c>
      <c r="B3138" s="626">
        <v>0</v>
      </c>
      <c r="C3138" s="626">
        <v>1000000</v>
      </c>
      <c r="D3138" s="626">
        <v>0</v>
      </c>
    </row>
    <row r="3139" spans="1:4" x14ac:dyDescent="0.2">
      <c r="A3139">
        <v>3138</v>
      </c>
      <c r="B3139" s="626">
        <v>0</v>
      </c>
      <c r="C3139" s="626">
        <v>1000000</v>
      </c>
      <c r="D3139" s="626">
        <v>0</v>
      </c>
    </row>
    <row r="3140" spans="1:4" x14ac:dyDescent="0.2">
      <c r="A3140">
        <v>3139</v>
      </c>
      <c r="B3140" s="626">
        <v>0</v>
      </c>
      <c r="C3140" s="626">
        <v>1000000</v>
      </c>
      <c r="D3140" s="626">
        <v>0</v>
      </c>
    </row>
    <row r="3141" spans="1:4" x14ac:dyDescent="0.2">
      <c r="A3141">
        <v>3140</v>
      </c>
      <c r="B3141" s="626">
        <v>0</v>
      </c>
      <c r="C3141" s="626">
        <v>1000000</v>
      </c>
      <c r="D3141" s="626">
        <v>0</v>
      </c>
    </row>
    <row r="3142" spans="1:4" x14ac:dyDescent="0.2">
      <c r="A3142">
        <v>3141</v>
      </c>
      <c r="B3142" s="626">
        <v>0</v>
      </c>
      <c r="C3142" s="626">
        <v>1000000</v>
      </c>
      <c r="D3142" s="626">
        <v>0</v>
      </c>
    </row>
    <row r="3143" spans="1:4" x14ac:dyDescent="0.2">
      <c r="A3143">
        <v>3142</v>
      </c>
      <c r="B3143" s="626">
        <v>0</v>
      </c>
      <c r="C3143" s="626">
        <v>1000000</v>
      </c>
      <c r="D3143" s="626">
        <v>0</v>
      </c>
    </row>
    <row r="3144" spans="1:4" x14ac:dyDescent="0.2">
      <c r="A3144">
        <v>3143</v>
      </c>
      <c r="B3144" s="626">
        <v>0</v>
      </c>
      <c r="C3144" s="626">
        <v>1000000</v>
      </c>
      <c r="D3144" s="626">
        <v>0</v>
      </c>
    </row>
    <row r="3145" spans="1:4" x14ac:dyDescent="0.2">
      <c r="A3145">
        <v>3144</v>
      </c>
      <c r="B3145" s="626">
        <v>0</v>
      </c>
      <c r="C3145" s="626">
        <v>1000000</v>
      </c>
      <c r="D3145" s="626">
        <v>0</v>
      </c>
    </row>
    <row r="3146" spans="1:4" x14ac:dyDescent="0.2">
      <c r="A3146">
        <v>3145</v>
      </c>
      <c r="B3146" s="626">
        <v>0</v>
      </c>
      <c r="C3146" s="626">
        <v>1000000</v>
      </c>
      <c r="D3146" s="626">
        <v>0</v>
      </c>
    </row>
    <row r="3147" spans="1:4" x14ac:dyDescent="0.2">
      <c r="A3147">
        <v>3146</v>
      </c>
      <c r="B3147" s="626">
        <v>0</v>
      </c>
      <c r="C3147" s="626">
        <v>1000000</v>
      </c>
      <c r="D3147" s="626">
        <v>0</v>
      </c>
    </row>
    <row r="3148" spans="1:4" x14ac:dyDescent="0.2">
      <c r="A3148">
        <v>3147</v>
      </c>
      <c r="B3148" s="626">
        <v>0</v>
      </c>
      <c r="C3148" s="626">
        <v>1000000</v>
      </c>
      <c r="D3148" s="626">
        <v>0</v>
      </c>
    </row>
    <row r="3149" spans="1:4" x14ac:dyDescent="0.2">
      <c r="A3149">
        <v>3148</v>
      </c>
      <c r="B3149" s="626">
        <v>0</v>
      </c>
      <c r="C3149" s="626">
        <v>1000000</v>
      </c>
      <c r="D3149" s="626">
        <v>0</v>
      </c>
    </row>
    <row r="3150" spans="1:4" x14ac:dyDescent="0.2">
      <c r="A3150">
        <v>3149</v>
      </c>
      <c r="B3150" s="626">
        <v>0</v>
      </c>
      <c r="C3150" s="626">
        <v>1000000</v>
      </c>
      <c r="D3150" s="626">
        <v>0</v>
      </c>
    </row>
    <row r="3151" spans="1:4" x14ac:dyDescent="0.2">
      <c r="A3151">
        <v>3150</v>
      </c>
      <c r="B3151" s="626">
        <v>0</v>
      </c>
      <c r="C3151" s="626">
        <v>1000000</v>
      </c>
      <c r="D3151" s="626">
        <v>0</v>
      </c>
    </row>
    <row r="3152" spans="1:4" x14ac:dyDescent="0.2">
      <c r="A3152">
        <v>3151</v>
      </c>
      <c r="B3152" s="626">
        <v>0</v>
      </c>
      <c r="C3152" s="626">
        <v>1000000</v>
      </c>
      <c r="D3152" s="626">
        <v>0</v>
      </c>
    </row>
    <row r="3153" spans="1:4" x14ac:dyDescent="0.2">
      <c r="A3153">
        <v>3152</v>
      </c>
      <c r="B3153" s="626">
        <v>0</v>
      </c>
      <c r="C3153" s="626">
        <v>1000000</v>
      </c>
      <c r="D3153" s="626">
        <v>0</v>
      </c>
    </row>
    <row r="3154" spans="1:4" x14ac:dyDescent="0.2">
      <c r="A3154">
        <v>3153</v>
      </c>
      <c r="B3154" s="626">
        <v>0</v>
      </c>
      <c r="C3154" s="626">
        <v>1000000</v>
      </c>
      <c r="D3154" s="626">
        <v>0</v>
      </c>
    </row>
    <row r="3155" spans="1:4" x14ac:dyDescent="0.2">
      <c r="A3155">
        <v>3154</v>
      </c>
      <c r="B3155" s="626">
        <v>0</v>
      </c>
      <c r="C3155" s="626">
        <v>1000000</v>
      </c>
      <c r="D3155" s="626">
        <v>0</v>
      </c>
    </row>
    <row r="3156" spans="1:4" x14ac:dyDescent="0.2">
      <c r="A3156">
        <v>3155</v>
      </c>
      <c r="B3156" s="626">
        <v>0</v>
      </c>
      <c r="C3156" s="626">
        <v>1000000</v>
      </c>
      <c r="D3156" s="626">
        <v>0</v>
      </c>
    </row>
    <row r="3157" spans="1:4" x14ac:dyDescent="0.2">
      <c r="A3157">
        <v>3156</v>
      </c>
      <c r="B3157" s="626">
        <v>0</v>
      </c>
      <c r="C3157" s="626">
        <v>1000000</v>
      </c>
      <c r="D3157" s="626">
        <v>0</v>
      </c>
    </row>
    <row r="3158" spans="1:4" x14ac:dyDescent="0.2">
      <c r="A3158">
        <v>3157</v>
      </c>
      <c r="B3158" s="626">
        <v>0</v>
      </c>
      <c r="C3158" s="626">
        <v>1000000</v>
      </c>
      <c r="D3158" s="626">
        <v>0</v>
      </c>
    </row>
    <row r="3159" spans="1:4" x14ac:dyDescent="0.2">
      <c r="A3159">
        <v>3158</v>
      </c>
      <c r="B3159" s="626">
        <v>0</v>
      </c>
      <c r="C3159" s="626">
        <v>1000000</v>
      </c>
      <c r="D3159" s="626">
        <v>0</v>
      </c>
    </row>
    <row r="3160" spans="1:4" x14ac:dyDescent="0.2">
      <c r="A3160">
        <v>3159</v>
      </c>
      <c r="B3160" s="626">
        <v>0</v>
      </c>
      <c r="C3160" s="626">
        <v>1000000</v>
      </c>
      <c r="D3160" s="626">
        <v>0</v>
      </c>
    </row>
    <row r="3161" spans="1:4" x14ac:dyDescent="0.2">
      <c r="A3161">
        <v>3160</v>
      </c>
      <c r="B3161" s="626">
        <v>0</v>
      </c>
      <c r="C3161" s="626">
        <v>1000000</v>
      </c>
      <c r="D3161" s="626">
        <v>0</v>
      </c>
    </row>
    <row r="3162" spans="1:4" x14ac:dyDescent="0.2">
      <c r="A3162">
        <v>3161</v>
      </c>
      <c r="B3162" s="626">
        <v>0</v>
      </c>
      <c r="C3162" s="626">
        <v>1000000</v>
      </c>
      <c r="D3162" s="626">
        <v>0</v>
      </c>
    </row>
    <row r="3163" spans="1:4" x14ac:dyDescent="0.2">
      <c r="A3163">
        <v>3162</v>
      </c>
      <c r="B3163" s="626">
        <v>0</v>
      </c>
      <c r="C3163" s="626">
        <v>1000000</v>
      </c>
      <c r="D3163" s="626">
        <v>0</v>
      </c>
    </row>
    <row r="3164" spans="1:4" x14ac:dyDescent="0.2">
      <c r="A3164">
        <v>3163</v>
      </c>
      <c r="B3164" s="626">
        <v>0</v>
      </c>
      <c r="C3164" s="626">
        <v>1000000</v>
      </c>
      <c r="D3164" s="626">
        <v>0</v>
      </c>
    </row>
    <row r="3165" spans="1:4" x14ac:dyDescent="0.2">
      <c r="A3165">
        <v>3164</v>
      </c>
      <c r="B3165" s="626">
        <v>0</v>
      </c>
      <c r="C3165" s="626">
        <v>1000000</v>
      </c>
      <c r="D3165" s="626">
        <v>0</v>
      </c>
    </row>
    <row r="3166" spans="1:4" x14ac:dyDescent="0.2">
      <c r="A3166">
        <v>3165</v>
      </c>
      <c r="B3166" s="626">
        <v>0</v>
      </c>
      <c r="C3166" s="626">
        <v>1000000</v>
      </c>
      <c r="D3166" s="626">
        <v>0</v>
      </c>
    </row>
    <row r="3167" spans="1:4" x14ac:dyDescent="0.2">
      <c r="A3167">
        <v>3166</v>
      </c>
      <c r="B3167" s="626">
        <v>0</v>
      </c>
      <c r="C3167" s="626">
        <v>1000000</v>
      </c>
      <c r="D3167" s="626">
        <v>0</v>
      </c>
    </row>
    <row r="3168" spans="1:4" x14ac:dyDescent="0.2">
      <c r="A3168">
        <v>3167</v>
      </c>
      <c r="B3168" s="626">
        <v>0</v>
      </c>
      <c r="C3168" s="626">
        <v>1000000</v>
      </c>
      <c r="D3168" s="626">
        <v>0</v>
      </c>
    </row>
    <row r="3169" spans="1:4" x14ac:dyDescent="0.2">
      <c r="A3169">
        <v>3168</v>
      </c>
      <c r="B3169" s="626">
        <v>0</v>
      </c>
      <c r="C3169" s="626">
        <v>1000000</v>
      </c>
      <c r="D3169" s="626">
        <v>0</v>
      </c>
    </row>
    <row r="3170" spans="1:4" x14ac:dyDescent="0.2">
      <c r="A3170">
        <v>3169</v>
      </c>
      <c r="B3170" s="626">
        <v>0</v>
      </c>
      <c r="C3170" s="626">
        <v>1000000</v>
      </c>
      <c r="D3170" s="626">
        <v>0</v>
      </c>
    </row>
    <row r="3171" spans="1:4" x14ac:dyDescent="0.2">
      <c r="A3171">
        <v>3170</v>
      </c>
      <c r="B3171" s="626">
        <v>0</v>
      </c>
      <c r="C3171" s="626">
        <v>1000000</v>
      </c>
      <c r="D3171" s="626">
        <v>0</v>
      </c>
    </row>
    <row r="3172" spans="1:4" x14ac:dyDescent="0.2">
      <c r="A3172">
        <v>3171</v>
      </c>
      <c r="B3172" s="626">
        <v>0</v>
      </c>
      <c r="C3172" s="626">
        <v>1000000</v>
      </c>
      <c r="D3172" s="626">
        <v>0</v>
      </c>
    </row>
    <row r="3173" spans="1:4" x14ac:dyDescent="0.2">
      <c r="A3173">
        <v>3172</v>
      </c>
      <c r="B3173" s="626">
        <v>0</v>
      </c>
      <c r="C3173" s="626">
        <v>1000000</v>
      </c>
      <c r="D3173" s="626">
        <v>0</v>
      </c>
    </row>
    <row r="3174" spans="1:4" x14ac:dyDescent="0.2">
      <c r="A3174">
        <v>3173</v>
      </c>
      <c r="B3174" s="626">
        <v>0</v>
      </c>
      <c r="C3174" s="626">
        <v>1000000</v>
      </c>
      <c r="D3174" s="626">
        <v>0</v>
      </c>
    </row>
    <row r="3175" spans="1:4" x14ac:dyDescent="0.2">
      <c r="A3175">
        <v>3174</v>
      </c>
      <c r="B3175" s="626">
        <v>0</v>
      </c>
      <c r="C3175" s="626">
        <v>1000000</v>
      </c>
      <c r="D3175" s="626">
        <v>0</v>
      </c>
    </row>
    <row r="3176" spans="1:4" x14ac:dyDescent="0.2">
      <c r="A3176">
        <v>3175</v>
      </c>
      <c r="B3176" s="626">
        <v>0</v>
      </c>
      <c r="C3176" s="626">
        <v>1000000</v>
      </c>
      <c r="D3176" s="626">
        <v>0</v>
      </c>
    </row>
    <row r="3177" spans="1:4" x14ac:dyDescent="0.2">
      <c r="A3177">
        <v>3176</v>
      </c>
      <c r="B3177" s="626">
        <v>0</v>
      </c>
      <c r="C3177" s="626">
        <v>1000000</v>
      </c>
      <c r="D3177" s="626">
        <v>0</v>
      </c>
    </row>
    <row r="3178" spans="1:4" x14ac:dyDescent="0.2">
      <c r="A3178">
        <v>3177</v>
      </c>
      <c r="B3178" s="626">
        <v>0</v>
      </c>
      <c r="C3178" s="626">
        <v>1000000</v>
      </c>
      <c r="D3178" s="626">
        <v>0</v>
      </c>
    </row>
    <row r="3179" spans="1:4" x14ac:dyDescent="0.2">
      <c r="A3179">
        <v>3178</v>
      </c>
      <c r="B3179" s="626">
        <v>0</v>
      </c>
      <c r="C3179" s="626">
        <v>1000000</v>
      </c>
      <c r="D3179" s="626">
        <v>0</v>
      </c>
    </row>
    <row r="3180" spans="1:4" x14ac:dyDescent="0.2">
      <c r="A3180">
        <v>3179</v>
      </c>
      <c r="B3180" s="626">
        <v>0</v>
      </c>
      <c r="C3180" s="626">
        <v>1000000</v>
      </c>
      <c r="D3180" s="626">
        <v>0</v>
      </c>
    </row>
    <row r="3181" spans="1:4" x14ac:dyDescent="0.2">
      <c r="A3181">
        <v>3180</v>
      </c>
      <c r="B3181" s="626">
        <v>0</v>
      </c>
      <c r="C3181" s="626">
        <v>1000000</v>
      </c>
      <c r="D3181" s="626">
        <v>0</v>
      </c>
    </row>
    <row r="3182" spans="1:4" x14ac:dyDescent="0.2">
      <c r="A3182">
        <v>3181</v>
      </c>
      <c r="B3182" s="626">
        <v>0</v>
      </c>
      <c r="C3182" s="626">
        <v>1000000</v>
      </c>
      <c r="D3182" s="626">
        <v>0</v>
      </c>
    </row>
    <row r="3183" spans="1:4" x14ac:dyDescent="0.2">
      <c r="A3183">
        <v>3182</v>
      </c>
      <c r="B3183" s="626">
        <v>0</v>
      </c>
      <c r="C3183" s="626">
        <v>1000000</v>
      </c>
      <c r="D3183" s="626">
        <v>0</v>
      </c>
    </row>
    <row r="3184" spans="1:4" x14ac:dyDescent="0.2">
      <c r="A3184">
        <v>3183</v>
      </c>
      <c r="B3184" s="626">
        <v>0</v>
      </c>
      <c r="C3184" s="626">
        <v>1000000</v>
      </c>
      <c r="D3184" s="626">
        <v>0</v>
      </c>
    </row>
    <row r="3185" spans="1:4" x14ac:dyDescent="0.2">
      <c r="A3185">
        <v>3184</v>
      </c>
      <c r="B3185" s="626">
        <v>0</v>
      </c>
      <c r="C3185" s="626">
        <v>1000000</v>
      </c>
      <c r="D3185" s="626">
        <v>0</v>
      </c>
    </row>
    <row r="3186" spans="1:4" x14ac:dyDescent="0.2">
      <c r="A3186">
        <v>3185</v>
      </c>
      <c r="B3186" s="626">
        <v>0</v>
      </c>
      <c r="C3186" s="626">
        <v>1000000</v>
      </c>
      <c r="D3186" s="626">
        <v>0</v>
      </c>
    </row>
    <row r="3187" spans="1:4" x14ac:dyDescent="0.2">
      <c r="A3187">
        <v>3186</v>
      </c>
      <c r="B3187" s="626">
        <v>0</v>
      </c>
      <c r="C3187" s="626">
        <v>1000000</v>
      </c>
      <c r="D3187" s="626">
        <v>0</v>
      </c>
    </row>
    <row r="3188" spans="1:4" x14ac:dyDescent="0.2">
      <c r="A3188">
        <v>3187</v>
      </c>
      <c r="B3188" s="626">
        <v>0</v>
      </c>
      <c r="C3188" s="626">
        <v>1000000</v>
      </c>
      <c r="D3188" s="626">
        <v>0</v>
      </c>
    </row>
    <row r="3189" spans="1:4" x14ac:dyDescent="0.2">
      <c r="A3189">
        <v>3188</v>
      </c>
      <c r="B3189" s="626">
        <v>0</v>
      </c>
      <c r="C3189" s="626">
        <v>1000000</v>
      </c>
      <c r="D3189" s="626">
        <v>0</v>
      </c>
    </row>
    <row r="3190" spans="1:4" x14ac:dyDescent="0.2">
      <c r="A3190">
        <v>3189</v>
      </c>
      <c r="B3190" s="626">
        <v>0</v>
      </c>
      <c r="C3190" s="626">
        <v>1000000</v>
      </c>
      <c r="D3190" s="626">
        <v>0</v>
      </c>
    </row>
    <row r="3191" spans="1:4" x14ac:dyDescent="0.2">
      <c r="A3191">
        <v>3190</v>
      </c>
      <c r="B3191" s="626">
        <v>0</v>
      </c>
      <c r="C3191" s="626">
        <v>1000000</v>
      </c>
      <c r="D3191" s="626">
        <v>0</v>
      </c>
    </row>
    <row r="3192" spans="1:4" x14ac:dyDescent="0.2">
      <c r="A3192">
        <v>3191</v>
      </c>
      <c r="B3192" s="626">
        <v>0</v>
      </c>
      <c r="C3192" s="626">
        <v>1000000</v>
      </c>
      <c r="D3192" s="626">
        <v>0</v>
      </c>
    </row>
    <row r="3193" spans="1:4" x14ac:dyDescent="0.2">
      <c r="A3193">
        <v>3192</v>
      </c>
      <c r="B3193" s="626">
        <v>0</v>
      </c>
      <c r="C3193" s="626">
        <v>1000000</v>
      </c>
      <c r="D3193" s="626">
        <v>0</v>
      </c>
    </row>
    <row r="3194" spans="1:4" x14ac:dyDescent="0.2">
      <c r="A3194">
        <v>3193</v>
      </c>
      <c r="B3194" s="626">
        <v>0</v>
      </c>
      <c r="C3194" s="626">
        <v>1000000</v>
      </c>
      <c r="D3194" s="626">
        <v>0</v>
      </c>
    </row>
    <row r="3195" spans="1:4" x14ac:dyDescent="0.2">
      <c r="A3195">
        <v>3194</v>
      </c>
      <c r="B3195" s="626">
        <v>0</v>
      </c>
      <c r="C3195" s="626">
        <v>1000000</v>
      </c>
      <c r="D3195" s="626">
        <v>0</v>
      </c>
    </row>
    <row r="3196" spans="1:4" x14ac:dyDescent="0.2">
      <c r="A3196">
        <v>3195</v>
      </c>
      <c r="B3196" s="626">
        <v>0</v>
      </c>
      <c r="C3196" s="626">
        <v>1000000</v>
      </c>
      <c r="D3196" s="626">
        <v>0</v>
      </c>
    </row>
    <row r="3197" spans="1:4" x14ac:dyDescent="0.2">
      <c r="A3197">
        <v>3196</v>
      </c>
      <c r="B3197" s="626">
        <v>0</v>
      </c>
      <c r="C3197" s="626">
        <v>1000000</v>
      </c>
      <c r="D3197" s="626">
        <v>0</v>
      </c>
    </row>
    <row r="3198" spans="1:4" x14ac:dyDescent="0.2">
      <c r="A3198">
        <v>3197</v>
      </c>
      <c r="B3198" s="626">
        <v>0</v>
      </c>
      <c r="C3198" s="626">
        <v>1000000</v>
      </c>
      <c r="D3198" s="626">
        <v>0</v>
      </c>
    </row>
    <row r="3199" spans="1:4" x14ac:dyDescent="0.2">
      <c r="A3199">
        <v>3198</v>
      </c>
      <c r="B3199" s="626">
        <v>0</v>
      </c>
      <c r="C3199" s="626">
        <v>1000000</v>
      </c>
      <c r="D3199" s="626">
        <v>0</v>
      </c>
    </row>
    <row r="3200" spans="1:4" x14ac:dyDescent="0.2">
      <c r="A3200">
        <v>3199</v>
      </c>
      <c r="B3200" s="626">
        <v>0</v>
      </c>
      <c r="C3200" s="626">
        <v>1000000</v>
      </c>
      <c r="D3200" s="626">
        <v>0</v>
      </c>
    </row>
    <row r="3201" spans="1:4" x14ac:dyDescent="0.2">
      <c r="A3201">
        <v>3200</v>
      </c>
      <c r="B3201" s="626">
        <v>0</v>
      </c>
      <c r="C3201" s="626">
        <v>1000000</v>
      </c>
      <c r="D3201" s="626">
        <v>0</v>
      </c>
    </row>
    <row r="3202" spans="1:4" x14ac:dyDescent="0.2">
      <c r="A3202">
        <v>3201</v>
      </c>
      <c r="B3202" s="626">
        <v>0</v>
      </c>
      <c r="C3202" s="626">
        <v>1000000</v>
      </c>
      <c r="D3202" s="626">
        <v>0</v>
      </c>
    </row>
    <row r="3203" spans="1:4" x14ac:dyDescent="0.2">
      <c r="A3203">
        <v>3202</v>
      </c>
      <c r="B3203" s="626">
        <v>0</v>
      </c>
      <c r="C3203" s="626">
        <v>1000000</v>
      </c>
      <c r="D3203" s="626">
        <v>0</v>
      </c>
    </row>
    <row r="3204" spans="1:4" x14ac:dyDescent="0.2">
      <c r="A3204">
        <v>3203</v>
      </c>
      <c r="B3204" s="626">
        <v>0</v>
      </c>
      <c r="C3204" s="626">
        <v>1000000</v>
      </c>
      <c r="D3204" s="626">
        <v>0</v>
      </c>
    </row>
    <row r="3205" spans="1:4" x14ac:dyDescent="0.2">
      <c r="A3205">
        <v>3204</v>
      </c>
      <c r="B3205" s="626">
        <v>0</v>
      </c>
      <c r="C3205" s="626">
        <v>1000000</v>
      </c>
      <c r="D3205" s="626">
        <v>0</v>
      </c>
    </row>
    <row r="3206" spans="1:4" x14ac:dyDescent="0.2">
      <c r="A3206">
        <v>3205</v>
      </c>
      <c r="B3206" s="626">
        <v>0</v>
      </c>
      <c r="C3206" s="626">
        <v>1000000</v>
      </c>
      <c r="D3206" s="626">
        <v>0</v>
      </c>
    </row>
    <row r="3207" spans="1:4" x14ac:dyDescent="0.2">
      <c r="A3207">
        <v>3206</v>
      </c>
      <c r="B3207" s="626">
        <v>0</v>
      </c>
      <c r="C3207" s="626">
        <v>1000000</v>
      </c>
      <c r="D3207" s="626">
        <v>0</v>
      </c>
    </row>
    <row r="3208" spans="1:4" x14ac:dyDescent="0.2">
      <c r="A3208">
        <v>3207</v>
      </c>
      <c r="B3208" s="626">
        <v>0</v>
      </c>
      <c r="C3208" s="626">
        <v>1000000</v>
      </c>
      <c r="D3208" s="626">
        <v>0</v>
      </c>
    </row>
    <row r="3209" spans="1:4" x14ac:dyDescent="0.2">
      <c r="A3209">
        <v>3208</v>
      </c>
      <c r="B3209" s="626">
        <v>0</v>
      </c>
      <c r="C3209" s="626">
        <v>1000000</v>
      </c>
      <c r="D3209" s="626">
        <v>0</v>
      </c>
    </row>
    <row r="3210" spans="1:4" x14ac:dyDescent="0.2">
      <c r="A3210">
        <v>3209</v>
      </c>
      <c r="B3210" s="626">
        <v>0</v>
      </c>
      <c r="C3210" s="626">
        <v>1000000</v>
      </c>
      <c r="D3210" s="626">
        <v>0</v>
      </c>
    </row>
    <row r="3211" spans="1:4" x14ac:dyDescent="0.2">
      <c r="A3211">
        <v>3210</v>
      </c>
      <c r="B3211" s="626">
        <v>0</v>
      </c>
      <c r="C3211" s="626">
        <v>1000000</v>
      </c>
      <c r="D3211" s="626">
        <v>0</v>
      </c>
    </row>
    <row r="3212" spans="1:4" x14ac:dyDescent="0.2">
      <c r="A3212">
        <v>3211</v>
      </c>
      <c r="B3212" s="626">
        <v>0</v>
      </c>
      <c r="C3212" s="626">
        <v>1000000</v>
      </c>
      <c r="D3212" s="626">
        <v>0</v>
      </c>
    </row>
    <row r="3213" spans="1:4" x14ac:dyDescent="0.2">
      <c r="A3213">
        <v>3212</v>
      </c>
      <c r="B3213" s="626">
        <v>0</v>
      </c>
      <c r="C3213" s="626">
        <v>1000000</v>
      </c>
      <c r="D3213" s="626">
        <v>0</v>
      </c>
    </row>
    <row r="3214" spans="1:4" x14ac:dyDescent="0.2">
      <c r="A3214">
        <v>3213</v>
      </c>
      <c r="B3214" s="626">
        <v>0</v>
      </c>
      <c r="C3214" s="626">
        <v>1000000</v>
      </c>
      <c r="D3214" s="626">
        <v>0</v>
      </c>
    </row>
    <row r="3215" spans="1:4" x14ac:dyDescent="0.2">
      <c r="A3215">
        <v>3214</v>
      </c>
      <c r="B3215" s="626">
        <v>0</v>
      </c>
      <c r="C3215" s="626">
        <v>1000000</v>
      </c>
      <c r="D3215" s="626">
        <v>0</v>
      </c>
    </row>
    <row r="3216" spans="1:4" x14ac:dyDescent="0.2">
      <c r="A3216">
        <v>3215</v>
      </c>
      <c r="B3216" s="626">
        <v>0</v>
      </c>
      <c r="C3216" s="626">
        <v>1000000</v>
      </c>
      <c r="D3216" s="626">
        <v>0</v>
      </c>
    </row>
    <row r="3217" spans="1:4" x14ac:dyDescent="0.2">
      <c r="A3217">
        <v>3216</v>
      </c>
      <c r="B3217" s="626">
        <v>0</v>
      </c>
      <c r="C3217" s="626">
        <v>1000000</v>
      </c>
      <c r="D3217" s="626">
        <v>0</v>
      </c>
    </row>
    <row r="3218" spans="1:4" x14ac:dyDescent="0.2">
      <c r="A3218">
        <v>3217</v>
      </c>
      <c r="B3218" s="626">
        <v>0</v>
      </c>
      <c r="C3218" s="626">
        <v>1000000</v>
      </c>
      <c r="D3218" s="626">
        <v>0</v>
      </c>
    </row>
    <row r="3219" spans="1:4" x14ac:dyDescent="0.2">
      <c r="A3219">
        <v>3218</v>
      </c>
      <c r="B3219" s="626">
        <v>0</v>
      </c>
      <c r="C3219" s="626">
        <v>1000000</v>
      </c>
      <c r="D3219" s="626">
        <v>0</v>
      </c>
    </row>
    <row r="3220" spans="1:4" x14ac:dyDescent="0.2">
      <c r="A3220">
        <v>3219</v>
      </c>
      <c r="B3220" s="626">
        <v>0</v>
      </c>
      <c r="C3220" s="626">
        <v>1000000</v>
      </c>
      <c r="D3220" s="626">
        <v>0</v>
      </c>
    </row>
    <row r="3221" spans="1:4" x14ac:dyDescent="0.2">
      <c r="A3221">
        <v>3220</v>
      </c>
      <c r="B3221" s="626">
        <v>0</v>
      </c>
      <c r="C3221" s="626">
        <v>1000000</v>
      </c>
      <c r="D3221" s="626">
        <v>0</v>
      </c>
    </row>
    <row r="3222" spans="1:4" x14ac:dyDescent="0.2">
      <c r="A3222">
        <v>3221</v>
      </c>
      <c r="B3222" s="626">
        <v>0</v>
      </c>
      <c r="C3222" s="626">
        <v>1000000</v>
      </c>
      <c r="D3222" s="626">
        <v>0</v>
      </c>
    </row>
    <row r="3223" spans="1:4" x14ac:dyDescent="0.2">
      <c r="A3223">
        <v>3222</v>
      </c>
      <c r="B3223" s="626">
        <v>0</v>
      </c>
      <c r="C3223" s="626">
        <v>1000000</v>
      </c>
      <c r="D3223" s="626">
        <v>0</v>
      </c>
    </row>
    <row r="3224" spans="1:4" x14ac:dyDescent="0.2">
      <c r="A3224">
        <v>3223</v>
      </c>
      <c r="B3224" s="626">
        <v>0</v>
      </c>
      <c r="C3224" s="626">
        <v>1000000</v>
      </c>
      <c r="D3224" s="626">
        <v>0</v>
      </c>
    </row>
    <row r="3225" spans="1:4" x14ac:dyDescent="0.2">
      <c r="A3225">
        <v>3224</v>
      </c>
      <c r="B3225" s="626">
        <v>0</v>
      </c>
      <c r="C3225" s="626">
        <v>1000000</v>
      </c>
      <c r="D3225" s="626">
        <v>0</v>
      </c>
    </row>
    <row r="3226" spans="1:4" x14ac:dyDescent="0.2">
      <c r="A3226">
        <v>3225</v>
      </c>
      <c r="B3226" s="626">
        <v>0</v>
      </c>
      <c r="C3226" s="626">
        <v>1000000</v>
      </c>
      <c r="D3226" s="626">
        <v>0</v>
      </c>
    </row>
    <row r="3227" spans="1:4" x14ac:dyDescent="0.2">
      <c r="A3227">
        <v>3226</v>
      </c>
      <c r="B3227" s="626">
        <v>0</v>
      </c>
      <c r="C3227" s="626">
        <v>1000000</v>
      </c>
      <c r="D3227" s="626">
        <v>0</v>
      </c>
    </row>
    <row r="3228" spans="1:4" x14ac:dyDescent="0.2">
      <c r="A3228">
        <v>3227</v>
      </c>
      <c r="B3228" s="626">
        <v>0</v>
      </c>
      <c r="C3228" s="626">
        <v>1000000</v>
      </c>
      <c r="D3228" s="626">
        <v>0</v>
      </c>
    </row>
    <row r="3229" spans="1:4" x14ac:dyDescent="0.2">
      <c r="A3229">
        <v>3228</v>
      </c>
      <c r="B3229" s="626">
        <v>0</v>
      </c>
      <c r="C3229" s="626">
        <v>1000000</v>
      </c>
      <c r="D3229" s="626">
        <v>0</v>
      </c>
    </row>
    <row r="3230" spans="1:4" x14ac:dyDescent="0.2">
      <c r="A3230">
        <v>3229</v>
      </c>
      <c r="B3230" s="626">
        <v>0</v>
      </c>
      <c r="C3230" s="626">
        <v>1000000</v>
      </c>
      <c r="D3230" s="626">
        <v>0</v>
      </c>
    </row>
    <row r="3231" spans="1:4" x14ac:dyDescent="0.2">
      <c r="A3231">
        <v>3230</v>
      </c>
      <c r="B3231" s="626">
        <v>0</v>
      </c>
      <c r="C3231" s="626">
        <v>1000000</v>
      </c>
      <c r="D3231" s="626">
        <v>0</v>
      </c>
    </row>
    <row r="3232" spans="1:4" x14ac:dyDescent="0.2">
      <c r="A3232">
        <v>3231</v>
      </c>
      <c r="B3232" s="626">
        <v>0</v>
      </c>
      <c r="C3232" s="626">
        <v>1000000</v>
      </c>
      <c r="D3232" s="626">
        <v>0</v>
      </c>
    </row>
    <row r="3233" spans="1:4" x14ac:dyDescent="0.2">
      <c r="A3233">
        <v>3232</v>
      </c>
      <c r="B3233" s="626">
        <v>0</v>
      </c>
      <c r="C3233" s="626">
        <v>1000000</v>
      </c>
      <c r="D3233" s="626">
        <v>0</v>
      </c>
    </row>
    <row r="3234" spans="1:4" x14ac:dyDescent="0.2">
      <c r="A3234">
        <v>3233</v>
      </c>
      <c r="B3234" s="626">
        <v>0</v>
      </c>
      <c r="C3234" s="626">
        <v>1000000</v>
      </c>
      <c r="D3234" s="626">
        <v>0</v>
      </c>
    </row>
    <row r="3235" spans="1:4" x14ac:dyDescent="0.2">
      <c r="A3235">
        <v>3234</v>
      </c>
      <c r="B3235" s="626">
        <v>0</v>
      </c>
      <c r="C3235" s="626">
        <v>1000000</v>
      </c>
      <c r="D3235" s="626">
        <v>0</v>
      </c>
    </row>
    <row r="3236" spans="1:4" x14ac:dyDescent="0.2">
      <c r="A3236">
        <v>3235</v>
      </c>
      <c r="B3236" s="626">
        <v>0</v>
      </c>
      <c r="C3236" s="626">
        <v>1000000</v>
      </c>
      <c r="D3236" s="626">
        <v>0</v>
      </c>
    </row>
    <row r="3237" spans="1:4" x14ac:dyDescent="0.2">
      <c r="A3237">
        <v>3236</v>
      </c>
      <c r="B3237" s="626">
        <v>0</v>
      </c>
      <c r="C3237" s="626">
        <v>1000000</v>
      </c>
      <c r="D3237" s="626">
        <v>0</v>
      </c>
    </row>
    <row r="3238" spans="1:4" x14ac:dyDescent="0.2">
      <c r="A3238">
        <v>3237</v>
      </c>
      <c r="B3238" s="626">
        <v>0</v>
      </c>
      <c r="C3238" s="626">
        <v>1000000</v>
      </c>
      <c r="D3238" s="626">
        <v>0</v>
      </c>
    </row>
    <row r="3239" spans="1:4" x14ac:dyDescent="0.2">
      <c r="A3239">
        <v>3238</v>
      </c>
      <c r="B3239" s="626">
        <v>0</v>
      </c>
      <c r="C3239" s="626">
        <v>1000000</v>
      </c>
      <c r="D3239" s="626">
        <v>0</v>
      </c>
    </row>
    <row r="3240" spans="1:4" x14ac:dyDescent="0.2">
      <c r="A3240">
        <v>3239</v>
      </c>
      <c r="B3240" s="626">
        <v>0</v>
      </c>
      <c r="C3240" s="626">
        <v>1000000</v>
      </c>
      <c r="D3240" s="626">
        <v>0</v>
      </c>
    </row>
    <row r="3241" spans="1:4" x14ac:dyDescent="0.2">
      <c r="A3241">
        <v>3240</v>
      </c>
      <c r="B3241" s="626">
        <v>0</v>
      </c>
      <c r="C3241" s="626">
        <v>1000000</v>
      </c>
      <c r="D3241" s="626">
        <v>0</v>
      </c>
    </row>
    <row r="3242" spans="1:4" x14ac:dyDescent="0.2">
      <c r="A3242">
        <v>3241</v>
      </c>
      <c r="B3242" s="626">
        <v>0</v>
      </c>
      <c r="C3242" s="626">
        <v>1000000</v>
      </c>
      <c r="D3242" s="626">
        <v>0</v>
      </c>
    </row>
    <row r="3243" spans="1:4" x14ac:dyDescent="0.2">
      <c r="A3243">
        <v>3242</v>
      </c>
      <c r="B3243" s="626">
        <v>0</v>
      </c>
      <c r="C3243" s="626">
        <v>1000000</v>
      </c>
      <c r="D3243" s="626">
        <v>0</v>
      </c>
    </row>
    <row r="3244" spans="1:4" x14ac:dyDescent="0.2">
      <c r="A3244">
        <v>3243</v>
      </c>
      <c r="B3244" s="626">
        <v>0</v>
      </c>
      <c r="C3244" s="626">
        <v>1000000</v>
      </c>
      <c r="D3244" s="626">
        <v>0</v>
      </c>
    </row>
    <row r="3245" spans="1:4" x14ac:dyDescent="0.2">
      <c r="A3245">
        <v>3244</v>
      </c>
      <c r="B3245" s="626">
        <v>0</v>
      </c>
      <c r="C3245" s="626">
        <v>1000000</v>
      </c>
      <c r="D3245" s="626">
        <v>0</v>
      </c>
    </row>
    <row r="3246" spans="1:4" x14ac:dyDescent="0.2">
      <c r="A3246">
        <v>3245</v>
      </c>
      <c r="B3246" s="626">
        <v>0</v>
      </c>
      <c r="C3246" s="626">
        <v>1000000</v>
      </c>
      <c r="D3246" s="626">
        <v>0</v>
      </c>
    </row>
    <row r="3247" spans="1:4" x14ac:dyDescent="0.2">
      <c r="A3247">
        <v>3246</v>
      </c>
      <c r="B3247" s="626">
        <v>0</v>
      </c>
      <c r="C3247" s="626">
        <v>1000000</v>
      </c>
      <c r="D3247" s="626">
        <v>0</v>
      </c>
    </row>
    <row r="3248" spans="1:4" x14ac:dyDescent="0.2">
      <c r="A3248">
        <v>3247</v>
      </c>
      <c r="B3248" s="626">
        <v>0</v>
      </c>
      <c r="C3248" s="626">
        <v>1000000</v>
      </c>
      <c r="D3248" s="626">
        <v>0</v>
      </c>
    </row>
    <row r="3249" spans="1:4" x14ac:dyDescent="0.2">
      <c r="A3249">
        <v>3248</v>
      </c>
      <c r="B3249" s="626">
        <v>0</v>
      </c>
      <c r="C3249" s="626">
        <v>1000000</v>
      </c>
      <c r="D3249" s="626">
        <v>0</v>
      </c>
    </row>
    <row r="3250" spans="1:4" x14ac:dyDescent="0.2">
      <c r="A3250">
        <v>3249</v>
      </c>
      <c r="B3250" s="626">
        <v>0</v>
      </c>
      <c r="C3250" s="626">
        <v>1000000</v>
      </c>
      <c r="D3250" s="626">
        <v>0</v>
      </c>
    </row>
    <row r="3251" spans="1:4" x14ac:dyDescent="0.2">
      <c r="A3251">
        <v>3250</v>
      </c>
      <c r="B3251" s="626">
        <v>0</v>
      </c>
      <c r="C3251" s="626">
        <v>1000000</v>
      </c>
      <c r="D3251" s="626">
        <v>0</v>
      </c>
    </row>
    <row r="3252" spans="1:4" x14ac:dyDescent="0.2">
      <c r="A3252">
        <v>3251</v>
      </c>
      <c r="B3252" s="626">
        <v>0</v>
      </c>
      <c r="C3252" s="626">
        <v>1000000</v>
      </c>
      <c r="D3252" s="626">
        <v>0</v>
      </c>
    </row>
    <row r="3253" spans="1:4" x14ac:dyDescent="0.2">
      <c r="A3253">
        <v>3252</v>
      </c>
      <c r="B3253" s="626">
        <v>0</v>
      </c>
      <c r="C3253" s="626">
        <v>1000000</v>
      </c>
      <c r="D3253" s="626">
        <v>0</v>
      </c>
    </row>
    <row r="3254" spans="1:4" x14ac:dyDescent="0.2">
      <c r="A3254">
        <v>3253</v>
      </c>
      <c r="B3254" s="626">
        <v>0</v>
      </c>
      <c r="C3254" s="626">
        <v>1000000</v>
      </c>
      <c r="D3254" s="626">
        <v>0</v>
      </c>
    </row>
    <row r="3255" spans="1:4" x14ac:dyDescent="0.2">
      <c r="A3255">
        <v>3254</v>
      </c>
      <c r="B3255" s="626">
        <v>0</v>
      </c>
      <c r="C3255" s="626">
        <v>1000000</v>
      </c>
      <c r="D3255" s="626">
        <v>0</v>
      </c>
    </row>
    <row r="3256" spans="1:4" x14ac:dyDescent="0.2">
      <c r="A3256">
        <v>3255</v>
      </c>
      <c r="B3256" s="626">
        <v>0</v>
      </c>
      <c r="C3256" s="626">
        <v>1000000</v>
      </c>
      <c r="D3256" s="626">
        <v>0</v>
      </c>
    </row>
    <row r="3257" spans="1:4" x14ac:dyDescent="0.2">
      <c r="A3257">
        <v>3256</v>
      </c>
      <c r="B3257" s="626">
        <v>0</v>
      </c>
      <c r="C3257" s="626">
        <v>1000000</v>
      </c>
      <c r="D3257" s="626">
        <v>0</v>
      </c>
    </row>
    <row r="3258" spans="1:4" x14ac:dyDescent="0.2">
      <c r="A3258">
        <v>3257</v>
      </c>
      <c r="B3258" s="626">
        <v>0</v>
      </c>
      <c r="C3258" s="626">
        <v>1000000</v>
      </c>
      <c r="D3258" s="626">
        <v>0</v>
      </c>
    </row>
    <row r="3259" spans="1:4" x14ac:dyDescent="0.2">
      <c r="A3259">
        <v>3258</v>
      </c>
      <c r="B3259" s="626">
        <v>0</v>
      </c>
      <c r="C3259" s="626">
        <v>1000000</v>
      </c>
      <c r="D3259" s="626">
        <v>0</v>
      </c>
    </row>
    <row r="3260" spans="1:4" x14ac:dyDescent="0.2">
      <c r="A3260">
        <v>3259</v>
      </c>
      <c r="B3260" s="626">
        <v>0</v>
      </c>
      <c r="C3260" s="626">
        <v>1000000</v>
      </c>
      <c r="D3260" s="626">
        <v>0</v>
      </c>
    </row>
    <row r="3261" spans="1:4" x14ac:dyDescent="0.2">
      <c r="A3261">
        <v>3260</v>
      </c>
      <c r="B3261" s="626">
        <v>0</v>
      </c>
      <c r="C3261" s="626">
        <v>1000000</v>
      </c>
      <c r="D3261" s="626">
        <v>0</v>
      </c>
    </row>
    <row r="3262" spans="1:4" x14ac:dyDescent="0.2">
      <c r="A3262">
        <v>3261</v>
      </c>
      <c r="B3262" s="626">
        <v>0</v>
      </c>
      <c r="C3262" s="626">
        <v>1000000</v>
      </c>
      <c r="D3262" s="626">
        <v>0</v>
      </c>
    </row>
    <row r="3263" spans="1:4" x14ac:dyDescent="0.2">
      <c r="A3263">
        <v>3262</v>
      </c>
      <c r="B3263" s="626">
        <v>0</v>
      </c>
      <c r="C3263" s="626">
        <v>1000000</v>
      </c>
      <c r="D3263" s="626">
        <v>0</v>
      </c>
    </row>
    <row r="3264" spans="1:4" x14ac:dyDescent="0.2">
      <c r="A3264">
        <v>3263</v>
      </c>
      <c r="B3264" s="626">
        <v>0</v>
      </c>
      <c r="C3264" s="626">
        <v>1000000</v>
      </c>
      <c r="D3264" s="626">
        <v>0</v>
      </c>
    </row>
    <row r="3265" spans="1:4" x14ac:dyDescent="0.2">
      <c r="A3265">
        <v>3264</v>
      </c>
      <c r="B3265" s="626">
        <v>0</v>
      </c>
      <c r="C3265" s="626">
        <v>1000000</v>
      </c>
      <c r="D3265" s="626">
        <v>0</v>
      </c>
    </row>
    <row r="3266" spans="1:4" x14ac:dyDescent="0.2">
      <c r="A3266">
        <v>3265</v>
      </c>
      <c r="B3266" s="626">
        <v>0</v>
      </c>
      <c r="C3266" s="626">
        <v>1000000</v>
      </c>
      <c r="D3266" s="626">
        <v>0</v>
      </c>
    </row>
    <row r="3267" spans="1:4" x14ac:dyDescent="0.2">
      <c r="A3267">
        <v>3266</v>
      </c>
      <c r="B3267" s="626">
        <v>0</v>
      </c>
      <c r="C3267" s="626">
        <v>1000000</v>
      </c>
      <c r="D3267" s="626">
        <v>0</v>
      </c>
    </row>
    <row r="3268" spans="1:4" x14ac:dyDescent="0.2">
      <c r="A3268">
        <v>3267</v>
      </c>
      <c r="B3268" s="626">
        <v>0</v>
      </c>
      <c r="C3268" s="626">
        <v>1000000</v>
      </c>
      <c r="D3268" s="626">
        <v>0</v>
      </c>
    </row>
    <row r="3269" spans="1:4" x14ac:dyDescent="0.2">
      <c r="A3269">
        <v>3268</v>
      </c>
      <c r="B3269" s="626">
        <v>0</v>
      </c>
      <c r="C3269" s="626">
        <v>1000000</v>
      </c>
      <c r="D3269" s="626">
        <v>0</v>
      </c>
    </row>
    <row r="3270" spans="1:4" x14ac:dyDescent="0.2">
      <c r="A3270">
        <v>3269</v>
      </c>
      <c r="B3270" s="626">
        <v>0</v>
      </c>
      <c r="C3270" s="626">
        <v>1000000</v>
      </c>
      <c r="D3270" s="626">
        <v>0</v>
      </c>
    </row>
    <row r="3271" spans="1:4" x14ac:dyDescent="0.2">
      <c r="A3271">
        <v>3270</v>
      </c>
      <c r="B3271" s="626">
        <v>0</v>
      </c>
      <c r="C3271" s="626">
        <v>1000000</v>
      </c>
      <c r="D3271" s="626">
        <v>0</v>
      </c>
    </row>
    <row r="3272" spans="1:4" x14ac:dyDescent="0.2">
      <c r="A3272">
        <v>3271</v>
      </c>
      <c r="B3272" s="626">
        <v>0</v>
      </c>
      <c r="C3272" s="626">
        <v>1000000</v>
      </c>
      <c r="D3272" s="626">
        <v>0</v>
      </c>
    </row>
    <row r="3273" spans="1:4" x14ac:dyDescent="0.2">
      <c r="A3273">
        <v>3272</v>
      </c>
      <c r="B3273" s="626">
        <v>0</v>
      </c>
      <c r="C3273" s="626">
        <v>1000000</v>
      </c>
      <c r="D3273" s="626">
        <v>0</v>
      </c>
    </row>
    <row r="3274" spans="1:4" x14ac:dyDescent="0.2">
      <c r="A3274">
        <v>3273</v>
      </c>
      <c r="B3274" s="626">
        <v>0</v>
      </c>
      <c r="C3274" s="626">
        <v>1000000</v>
      </c>
      <c r="D3274" s="626">
        <v>0</v>
      </c>
    </row>
    <row r="3275" spans="1:4" x14ac:dyDescent="0.2">
      <c r="A3275">
        <v>3274</v>
      </c>
      <c r="B3275" s="626">
        <v>0</v>
      </c>
      <c r="C3275" s="626">
        <v>1000000</v>
      </c>
      <c r="D3275" s="626">
        <v>0</v>
      </c>
    </row>
    <row r="3276" spans="1:4" x14ac:dyDescent="0.2">
      <c r="A3276">
        <v>3275</v>
      </c>
      <c r="B3276" s="626">
        <v>0</v>
      </c>
      <c r="C3276" s="626">
        <v>1000000</v>
      </c>
      <c r="D3276" s="626">
        <v>0</v>
      </c>
    </row>
    <row r="3277" spans="1:4" x14ac:dyDescent="0.2">
      <c r="A3277">
        <v>3276</v>
      </c>
      <c r="B3277" s="626">
        <v>0</v>
      </c>
      <c r="C3277" s="626">
        <v>1000000</v>
      </c>
      <c r="D3277" s="626">
        <v>0</v>
      </c>
    </row>
    <row r="3278" spans="1:4" x14ac:dyDescent="0.2">
      <c r="A3278">
        <v>3277</v>
      </c>
      <c r="B3278" s="626">
        <v>0</v>
      </c>
      <c r="C3278" s="626">
        <v>1000000</v>
      </c>
      <c r="D3278" s="626">
        <v>0</v>
      </c>
    </row>
    <row r="3279" spans="1:4" x14ac:dyDescent="0.2">
      <c r="A3279">
        <v>3278</v>
      </c>
      <c r="B3279" s="626">
        <v>0</v>
      </c>
      <c r="C3279" s="626">
        <v>1000000</v>
      </c>
      <c r="D3279" s="626">
        <v>0</v>
      </c>
    </row>
    <row r="3280" spans="1:4" x14ac:dyDescent="0.2">
      <c r="A3280">
        <v>3279</v>
      </c>
      <c r="B3280" s="626">
        <v>0</v>
      </c>
      <c r="C3280" s="626">
        <v>1000000</v>
      </c>
      <c r="D3280" s="626">
        <v>0</v>
      </c>
    </row>
    <row r="3281" spans="1:4" x14ac:dyDescent="0.2">
      <c r="A3281">
        <v>3280</v>
      </c>
      <c r="B3281" s="626">
        <v>0</v>
      </c>
      <c r="C3281" s="626">
        <v>1000000</v>
      </c>
      <c r="D3281" s="626">
        <v>0</v>
      </c>
    </row>
    <row r="3282" spans="1:4" x14ac:dyDescent="0.2">
      <c r="A3282">
        <v>3281</v>
      </c>
      <c r="B3282" s="626">
        <v>0</v>
      </c>
      <c r="C3282" s="626">
        <v>1000000</v>
      </c>
      <c r="D3282" s="626">
        <v>0</v>
      </c>
    </row>
    <row r="3283" spans="1:4" x14ac:dyDescent="0.2">
      <c r="A3283">
        <v>3282</v>
      </c>
      <c r="B3283" s="626">
        <v>0</v>
      </c>
      <c r="C3283" s="626">
        <v>1000000</v>
      </c>
      <c r="D3283" s="626">
        <v>0</v>
      </c>
    </row>
    <row r="3284" spans="1:4" x14ac:dyDescent="0.2">
      <c r="A3284">
        <v>3283</v>
      </c>
      <c r="B3284" s="626">
        <v>0</v>
      </c>
      <c r="C3284" s="626">
        <v>1000000</v>
      </c>
      <c r="D3284" s="626">
        <v>0</v>
      </c>
    </row>
    <row r="3285" spans="1:4" x14ac:dyDescent="0.2">
      <c r="A3285">
        <v>3284</v>
      </c>
      <c r="B3285" s="626">
        <v>0</v>
      </c>
      <c r="C3285" s="626">
        <v>1000000</v>
      </c>
      <c r="D3285" s="626">
        <v>0</v>
      </c>
    </row>
    <row r="3286" spans="1:4" x14ac:dyDescent="0.2">
      <c r="A3286">
        <v>3285</v>
      </c>
      <c r="B3286" s="626">
        <v>0</v>
      </c>
      <c r="C3286" s="626">
        <v>1000000</v>
      </c>
      <c r="D3286" s="626">
        <v>0</v>
      </c>
    </row>
    <row r="3287" spans="1:4" x14ac:dyDescent="0.2">
      <c r="A3287">
        <v>3286</v>
      </c>
      <c r="B3287" s="626">
        <v>0</v>
      </c>
      <c r="C3287" s="626">
        <v>1000000</v>
      </c>
      <c r="D3287" s="626">
        <v>0</v>
      </c>
    </row>
    <row r="3288" spans="1:4" x14ac:dyDescent="0.2">
      <c r="A3288">
        <v>3287</v>
      </c>
      <c r="B3288" s="626">
        <v>0</v>
      </c>
      <c r="C3288" s="626">
        <v>1000000</v>
      </c>
      <c r="D3288" s="626">
        <v>0</v>
      </c>
    </row>
    <row r="3289" spans="1:4" x14ac:dyDescent="0.2">
      <c r="A3289">
        <v>3288</v>
      </c>
      <c r="B3289" s="626">
        <v>0</v>
      </c>
      <c r="C3289" s="626">
        <v>1000000</v>
      </c>
      <c r="D3289" s="626">
        <v>0</v>
      </c>
    </row>
    <row r="3290" spans="1:4" x14ac:dyDescent="0.2">
      <c r="A3290">
        <v>3289</v>
      </c>
      <c r="B3290" s="626">
        <v>0</v>
      </c>
      <c r="C3290" s="626">
        <v>1000000</v>
      </c>
      <c r="D3290" s="626">
        <v>0</v>
      </c>
    </row>
    <row r="3291" spans="1:4" x14ac:dyDescent="0.2">
      <c r="A3291">
        <v>3290</v>
      </c>
      <c r="B3291" s="626">
        <v>0</v>
      </c>
      <c r="C3291" s="626">
        <v>1000000</v>
      </c>
      <c r="D3291" s="626">
        <v>0</v>
      </c>
    </row>
    <row r="3292" spans="1:4" x14ac:dyDescent="0.2">
      <c r="A3292">
        <v>3291</v>
      </c>
      <c r="B3292" s="626">
        <v>0</v>
      </c>
      <c r="C3292" s="626">
        <v>1000000</v>
      </c>
      <c r="D3292" s="626">
        <v>0</v>
      </c>
    </row>
    <row r="3293" spans="1:4" x14ac:dyDescent="0.2">
      <c r="A3293">
        <v>3292</v>
      </c>
      <c r="B3293" s="626">
        <v>0</v>
      </c>
      <c r="C3293" s="626">
        <v>1000000</v>
      </c>
      <c r="D3293" s="626">
        <v>0</v>
      </c>
    </row>
    <row r="3294" spans="1:4" x14ac:dyDescent="0.2">
      <c r="A3294">
        <v>3293</v>
      </c>
      <c r="B3294" s="626">
        <v>0</v>
      </c>
      <c r="C3294" s="626">
        <v>1000000</v>
      </c>
      <c r="D3294" s="626">
        <v>0</v>
      </c>
    </row>
    <row r="3295" spans="1:4" x14ac:dyDescent="0.2">
      <c r="A3295">
        <v>3294</v>
      </c>
      <c r="B3295" s="626">
        <v>0</v>
      </c>
      <c r="C3295" s="626">
        <v>1000000</v>
      </c>
      <c r="D3295" s="626">
        <v>0</v>
      </c>
    </row>
    <row r="3296" spans="1:4" x14ac:dyDescent="0.2">
      <c r="A3296">
        <v>3295</v>
      </c>
      <c r="B3296" s="626">
        <v>0</v>
      </c>
      <c r="C3296" s="626">
        <v>1000000</v>
      </c>
      <c r="D3296" s="626">
        <v>0</v>
      </c>
    </row>
    <row r="3297" spans="1:4" x14ac:dyDescent="0.2">
      <c r="A3297">
        <v>3296</v>
      </c>
      <c r="B3297" s="626">
        <v>0</v>
      </c>
      <c r="C3297" s="626">
        <v>1000000</v>
      </c>
      <c r="D3297" s="626">
        <v>0</v>
      </c>
    </row>
    <row r="3298" spans="1:4" x14ac:dyDescent="0.2">
      <c r="A3298">
        <v>3297</v>
      </c>
      <c r="B3298" s="626">
        <v>0</v>
      </c>
      <c r="C3298" s="626">
        <v>1000000</v>
      </c>
      <c r="D3298" s="626">
        <v>0</v>
      </c>
    </row>
    <row r="3299" spans="1:4" x14ac:dyDescent="0.2">
      <c r="A3299">
        <v>3298</v>
      </c>
      <c r="B3299" s="626">
        <v>0</v>
      </c>
      <c r="C3299" s="626">
        <v>1000000</v>
      </c>
      <c r="D3299" s="626">
        <v>0</v>
      </c>
    </row>
    <row r="3300" spans="1:4" x14ac:dyDescent="0.2">
      <c r="A3300">
        <v>3299</v>
      </c>
      <c r="B3300" s="626">
        <v>0</v>
      </c>
      <c r="C3300" s="626">
        <v>1000000</v>
      </c>
      <c r="D3300" s="626">
        <v>0</v>
      </c>
    </row>
    <row r="3301" spans="1:4" x14ac:dyDescent="0.2">
      <c r="A3301">
        <v>3300</v>
      </c>
      <c r="B3301" s="626">
        <v>0</v>
      </c>
      <c r="C3301" s="626">
        <v>1000000</v>
      </c>
      <c r="D3301" s="626">
        <v>0</v>
      </c>
    </row>
    <row r="3302" spans="1:4" x14ac:dyDescent="0.2">
      <c r="A3302">
        <v>3301</v>
      </c>
      <c r="B3302" s="626">
        <v>0</v>
      </c>
      <c r="C3302" s="626">
        <v>1000000</v>
      </c>
      <c r="D3302" s="626">
        <v>0</v>
      </c>
    </row>
    <row r="3303" spans="1:4" x14ac:dyDescent="0.2">
      <c r="A3303">
        <v>3302</v>
      </c>
      <c r="B3303" s="626">
        <v>0</v>
      </c>
      <c r="C3303" s="626">
        <v>1000000</v>
      </c>
      <c r="D3303" s="626">
        <v>0</v>
      </c>
    </row>
    <row r="3304" spans="1:4" x14ac:dyDescent="0.2">
      <c r="A3304">
        <v>3303</v>
      </c>
      <c r="B3304" s="626">
        <v>0</v>
      </c>
      <c r="C3304" s="626">
        <v>1000000</v>
      </c>
      <c r="D3304" s="626">
        <v>0</v>
      </c>
    </row>
    <row r="3305" spans="1:4" x14ac:dyDescent="0.2">
      <c r="A3305">
        <v>3304</v>
      </c>
      <c r="B3305" s="626">
        <v>0</v>
      </c>
      <c r="C3305" s="626">
        <v>1000000</v>
      </c>
      <c r="D3305" s="626">
        <v>0</v>
      </c>
    </row>
    <row r="3306" spans="1:4" x14ac:dyDescent="0.2">
      <c r="A3306">
        <v>3305</v>
      </c>
      <c r="B3306" s="626">
        <v>0</v>
      </c>
      <c r="C3306" s="626">
        <v>1000000</v>
      </c>
      <c r="D3306" s="626">
        <v>0</v>
      </c>
    </row>
    <row r="3307" spans="1:4" x14ac:dyDescent="0.2">
      <c r="A3307">
        <v>3306</v>
      </c>
      <c r="B3307" s="626">
        <v>0</v>
      </c>
      <c r="C3307" s="626">
        <v>1000000</v>
      </c>
      <c r="D3307" s="626">
        <v>0</v>
      </c>
    </row>
    <row r="3308" spans="1:4" x14ac:dyDescent="0.2">
      <c r="A3308">
        <v>3307</v>
      </c>
      <c r="B3308" s="626">
        <v>0</v>
      </c>
      <c r="C3308" s="626">
        <v>1000000</v>
      </c>
      <c r="D3308" s="626">
        <v>0</v>
      </c>
    </row>
    <row r="3309" spans="1:4" x14ac:dyDescent="0.2">
      <c r="A3309">
        <v>3308</v>
      </c>
      <c r="B3309" s="626">
        <v>0</v>
      </c>
      <c r="C3309" s="626">
        <v>1000000</v>
      </c>
      <c r="D3309" s="626">
        <v>0</v>
      </c>
    </row>
    <row r="3310" spans="1:4" x14ac:dyDescent="0.2">
      <c r="A3310">
        <v>3309</v>
      </c>
      <c r="B3310" s="626">
        <v>0</v>
      </c>
      <c r="C3310" s="626">
        <v>1000000</v>
      </c>
      <c r="D3310" s="626">
        <v>0</v>
      </c>
    </row>
    <row r="3311" spans="1:4" x14ac:dyDescent="0.2">
      <c r="A3311">
        <v>3310</v>
      </c>
      <c r="B3311" s="626">
        <v>0</v>
      </c>
      <c r="C3311" s="626">
        <v>1000000</v>
      </c>
      <c r="D3311" s="626">
        <v>0</v>
      </c>
    </row>
    <row r="3312" spans="1:4" x14ac:dyDescent="0.2">
      <c r="A3312">
        <v>3311</v>
      </c>
      <c r="B3312" s="626">
        <v>0</v>
      </c>
      <c r="C3312" s="626">
        <v>1000000</v>
      </c>
      <c r="D3312" s="626">
        <v>0</v>
      </c>
    </row>
    <row r="3313" spans="1:4" x14ac:dyDescent="0.2">
      <c r="A3313">
        <v>3312</v>
      </c>
      <c r="B3313" s="626">
        <v>0</v>
      </c>
      <c r="C3313" s="626">
        <v>1000000</v>
      </c>
      <c r="D3313" s="626">
        <v>0</v>
      </c>
    </row>
    <row r="3314" spans="1:4" x14ac:dyDescent="0.2">
      <c r="A3314">
        <v>3313</v>
      </c>
      <c r="B3314" s="626">
        <v>0</v>
      </c>
      <c r="C3314" s="626">
        <v>1000000</v>
      </c>
      <c r="D3314" s="626">
        <v>0</v>
      </c>
    </row>
    <row r="3315" spans="1:4" x14ac:dyDescent="0.2">
      <c r="A3315">
        <v>3314</v>
      </c>
      <c r="B3315" s="626">
        <v>0</v>
      </c>
      <c r="C3315" s="626">
        <v>1000000</v>
      </c>
      <c r="D3315" s="626">
        <v>0</v>
      </c>
    </row>
    <row r="3316" spans="1:4" x14ac:dyDescent="0.2">
      <c r="A3316">
        <v>3315</v>
      </c>
      <c r="B3316" s="626">
        <v>0</v>
      </c>
      <c r="C3316" s="626">
        <v>1000000</v>
      </c>
      <c r="D3316" s="626">
        <v>0</v>
      </c>
    </row>
    <row r="3317" spans="1:4" x14ac:dyDescent="0.2">
      <c r="A3317">
        <v>3316</v>
      </c>
      <c r="B3317" s="626">
        <v>0</v>
      </c>
      <c r="C3317" s="626">
        <v>1000000</v>
      </c>
      <c r="D3317" s="626">
        <v>0</v>
      </c>
    </row>
    <row r="3318" spans="1:4" x14ac:dyDescent="0.2">
      <c r="A3318">
        <v>3317</v>
      </c>
      <c r="B3318" s="626">
        <v>0</v>
      </c>
      <c r="C3318" s="626">
        <v>1000000</v>
      </c>
      <c r="D3318" s="626">
        <v>0</v>
      </c>
    </row>
    <row r="3319" spans="1:4" x14ac:dyDescent="0.2">
      <c r="A3319">
        <v>3318</v>
      </c>
      <c r="B3319" s="626">
        <v>0</v>
      </c>
      <c r="C3319" s="626">
        <v>1000000</v>
      </c>
      <c r="D3319" s="626">
        <v>0</v>
      </c>
    </row>
    <row r="3320" spans="1:4" x14ac:dyDescent="0.2">
      <c r="A3320">
        <v>3319</v>
      </c>
      <c r="B3320" s="626">
        <v>0</v>
      </c>
      <c r="C3320" s="626">
        <v>1000000</v>
      </c>
      <c r="D3320" s="626">
        <v>0</v>
      </c>
    </row>
    <row r="3321" spans="1:4" x14ac:dyDescent="0.2">
      <c r="A3321">
        <v>3320</v>
      </c>
      <c r="B3321" s="626">
        <v>0</v>
      </c>
      <c r="C3321" s="626">
        <v>1000000</v>
      </c>
      <c r="D3321" s="626">
        <v>0</v>
      </c>
    </row>
    <row r="3322" spans="1:4" x14ac:dyDescent="0.2">
      <c r="A3322">
        <v>3321</v>
      </c>
      <c r="B3322" s="626">
        <v>0</v>
      </c>
      <c r="C3322" s="626">
        <v>1000000</v>
      </c>
      <c r="D3322" s="626">
        <v>0</v>
      </c>
    </row>
    <row r="3323" spans="1:4" x14ac:dyDescent="0.2">
      <c r="A3323">
        <v>3322</v>
      </c>
      <c r="B3323" s="626">
        <v>0</v>
      </c>
      <c r="C3323" s="626">
        <v>1000000</v>
      </c>
      <c r="D3323" s="626">
        <v>0</v>
      </c>
    </row>
    <row r="3324" spans="1:4" x14ac:dyDescent="0.2">
      <c r="A3324">
        <v>3323</v>
      </c>
      <c r="B3324" s="626">
        <v>0</v>
      </c>
      <c r="C3324" s="626">
        <v>1000000</v>
      </c>
      <c r="D3324" s="626">
        <v>0</v>
      </c>
    </row>
    <row r="3325" spans="1:4" x14ac:dyDescent="0.2">
      <c r="A3325">
        <v>3324</v>
      </c>
      <c r="B3325" s="626">
        <v>0</v>
      </c>
      <c r="C3325" s="626">
        <v>1000000</v>
      </c>
      <c r="D3325" s="626">
        <v>0</v>
      </c>
    </row>
    <row r="3326" spans="1:4" x14ac:dyDescent="0.2">
      <c r="A3326">
        <v>3325</v>
      </c>
      <c r="B3326" s="626">
        <v>0</v>
      </c>
      <c r="C3326" s="626">
        <v>1000000</v>
      </c>
      <c r="D3326" s="626">
        <v>0</v>
      </c>
    </row>
    <row r="3327" spans="1:4" x14ac:dyDescent="0.2">
      <c r="A3327">
        <v>3326</v>
      </c>
      <c r="B3327" s="626">
        <v>0</v>
      </c>
      <c r="C3327" s="626">
        <v>1000000</v>
      </c>
      <c r="D3327" s="626">
        <v>0</v>
      </c>
    </row>
    <row r="3328" spans="1:4" x14ac:dyDescent="0.2">
      <c r="A3328">
        <v>3327</v>
      </c>
      <c r="B3328" s="626">
        <v>0</v>
      </c>
      <c r="C3328" s="626">
        <v>1000000</v>
      </c>
      <c r="D3328" s="626">
        <v>0</v>
      </c>
    </row>
    <row r="3329" spans="1:4" x14ac:dyDescent="0.2">
      <c r="A3329">
        <v>3328</v>
      </c>
      <c r="B3329" s="626">
        <v>0</v>
      </c>
      <c r="C3329" s="626">
        <v>1000000</v>
      </c>
      <c r="D3329" s="626">
        <v>0</v>
      </c>
    </row>
    <row r="3330" spans="1:4" x14ac:dyDescent="0.2">
      <c r="A3330">
        <v>3329</v>
      </c>
      <c r="B3330" s="626">
        <v>0</v>
      </c>
      <c r="C3330" s="626">
        <v>1000000</v>
      </c>
      <c r="D3330" s="626">
        <v>0</v>
      </c>
    </row>
    <row r="3331" spans="1:4" x14ac:dyDescent="0.2">
      <c r="A3331">
        <v>3330</v>
      </c>
      <c r="B3331" s="626">
        <v>0</v>
      </c>
      <c r="C3331" s="626">
        <v>1000000</v>
      </c>
      <c r="D3331" s="626">
        <v>0</v>
      </c>
    </row>
    <row r="3332" spans="1:4" x14ac:dyDescent="0.2">
      <c r="A3332">
        <v>3331</v>
      </c>
      <c r="B3332" s="626">
        <v>0</v>
      </c>
      <c r="C3332" s="626">
        <v>1000000</v>
      </c>
      <c r="D3332" s="626">
        <v>0</v>
      </c>
    </row>
    <row r="3333" spans="1:4" x14ac:dyDescent="0.2">
      <c r="A3333">
        <v>3332</v>
      </c>
      <c r="B3333" s="626">
        <v>0</v>
      </c>
      <c r="C3333" s="626">
        <v>1000000</v>
      </c>
      <c r="D3333" s="626">
        <v>0</v>
      </c>
    </row>
    <row r="3334" spans="1:4" x14ac:dyDescent="0.2">
      <c r="A3334">
        <v>3333</v>
      </c>
      <c r="B3334" s="626">
        <v>0</v>
      </c>
      <c r="C3334" s="626">
        <v>1000000</v>
      </c>
      <c r="D3334" s="626">
        <v>0</v>
      </c>
    </row>
    <row r="3335" spans="1:4" x14ac:dyDescent="0.2">
      <c r="A3335">
        <v>3334</v>
      </c>
      <c r="B3335" s="626">
        <v>0</v>
      </c>
      <c r="C3335" s="626">
        <v>1000000</v>
      </c>
      <c r="D3335" s="626">
        <v>0</v>
      </c>
    </row>
    <row r="3336" spans="1:4" x14ac:dyDescent="0.2">
      <c r="A3336">
        <v>3335</v>
      </c>
      <c r="B3336" s="626">
        <v>0</v>
      </c>
      <c r="C3336" s="626">
        <v>1000000</v>
      </c>
      <c r="D3336" s="626">
        <v>0</v>
      </c>
    </row>
    <row r="3337" spans="1:4" x14ac:dyDescent="0.2">
      <c r="A3337">
        <v>3336</v>
      </c>
      <c r="B3337" s="626">
        <v>0</v>
      </c>
      <c r="C3337" s="626">
        <v>1000000</v>
      </c>
      <c r="D3337" s="626">
        <v>0</v>
      </c>
    </row>
    <row r="3338" spans="1:4" x14ac:dyDescent="0.2">
      <c r="A3338">
        <v>3337</v>
      </c>
      <c r="B3338" s="626">
        <v>0</v>
      </c>
      <c r="C3338" s="626">
        <v>1000000</v>
      </c>
      <c r="D3338" s="626">
        <v>0</v>
      </c>
    </row>
    <row r="3339" spans="1:4" x14ac:dyDescent="0.2">
      <c r="A3339">
        <v>3338</v>
      </c>
      <c r="B3339" s="626">
        <v>0</v>
      </c>
      <c r="C3339" s="626">
        <v>1000000</v>
      </c>
      <c r="D3339" s="626">
        <v>0</v>
      </c>
    </row>
    <row r="3340" spans="1:4" x14ac:dyDescent="0.2">
      <c r="A3340">
        <v>3339</v>
      </c>
      <c r="B3340" s="626">
        <v>0</v>
      </c>
      <c r="C3340" s="626">
        <v>1000000</v>
      </c>
      <c r="D3340" s="626">
        <v>0</v>
      </c>
    </row>
    <row r="3341" spans="1:4" x14ac:dyDescent="0.2">
      <c r="A3341">
        <v>3340</v>
      </c>
      <c r="B3341" s="626">
        <v>0</v>
      </c>
      <c r="C3341" s="626">
        <v>1000000</v>
      </c>
      <c r="D3341" s="626">
        <v>0</v>
      </c>
    </row>
    <row r="3342" spans="1:4" x14ac:dyDescent="0.2">
      <c r="A3342">
        <v>3341</v>
      </c>
      <c r="B3342" s="626">
        <v>0</v>
      </c>
      <c r="C3342" s="626">
        <v>1000000</v>
      </c>
      <c r="D3342" s="626">
        <v>0</v>
      </c>
    </row>
    <row r="3343" spans="1:4" x14ac:dyDescent="0.2">
      <c r="A3343">
        <v>3342</v>
      </c>
      <c r="B3343" s="626">
        <v>0</v>
      </c>
      <c r="C3343" s="626">
        <v>1000000</v>
      </c>
      <c r="D3343" s="626">
        <v>0</v>
      </c>
    </row>
    <row r="3344" spans="1:4" x14ac:dyDescent="0.2">
      <c r="A3344">
        <v>3343</v>
      </c>
      <c r="B3344" s="626">
        <v>0</v>
      </c>
      <c r="C3344" s="626">
        <v>1000000</v>
      </c>
      <c r="D3344" s="626">
        <v>0</v>
      </c>
    </row>
    <row r="3345" spans="1:4" x14ac:dyDescent="0.2">
      <c r="A3345">
        <v>3344</v>
      </c>
      <c r="B3345" s="626">
        <v>0</v>
      </c>
      <c r="C3345" s="626">
        <v>1000000</v>
      </c>
      <c r="D3345" s="626">
        <v>0</v>
      </c>
    </row>
    <row r="3346" spans="1:4" x14ac:dyDescent="0.2">
      <c r="A3346">
        <v>3345</v>
      </c>
      <c r="B3346" s="626">
        <v>0</v>
      </c>
      <c r="C3346" s="626">
        <v>1000000</v>
      </c>
      <c r="D3346" s="626">
        <v>0</v>
      </c>
    </row>
    <row r="3347" spans="1:4" x14ac:dyDescent="0.2">
      <c r="A3347">
        <v>3346</v>
      </c>
      <c r="B3347" s="626">
        <v>0</v>
      </c>
      <c r="C3347" s="626">
        <v>1000000</v>
      </c>
      <c r="D3347" s="626">
        <v>0</v>
      </c>
    </row>
    <row r="3348" spans="1:4" x14ac:dyDescent="0.2">
      <c r="A3348">
        <v>3347</v>
      </c>
      <c r="B3348" s="626">
        <v>0</v>
      </c>
      <c r="C3348" s="626">
        <v>1000000</v>
      </c>
      <c r="D3348" s="626">
        <v>0</v>
      </c>
    </row>
    <row r="3349" spans="1:4" x14ac:dyDescent="0.2">
      <c r="A3349">
        <v>3348</v>
      </c>
      <c r="B3349" s="626">
        <v>0</v>
      </c>
      <c r="C3349" s="626">
        <v>1000000</v>
      </c>
      <c r="D3349" s="626">
        <v>0</v>
      </c>
    </row>
    <row r="3350" spans="1:4" x14ac:dyDescent="0.2">
      <c r="A3350">
        <v>3349</v>
      </c>
      <c r="B3350" s="626">
        <v>0</v>
      </c>
      <c r="C3350" s="626">
        <v>1000000</v>
      </c>
      <c r="D3350" s="626">
        <v>0</v>
      </c>
    </row>
    <row r="3351" spans="1:4" x14ac:dyDescent="0.2">
      <c r="A3351">
        <v>3350</v>
      </c>
      <c r="B3351" s="626">
        <v>0</v>
      </c>
      <c r="C3351" s="626">
        <v>1000000</v>
      </c>
      <c r="D3351" s="626">
        <v>0</v>
      </c>
    </row>
    <row r="3352" spans="1:4" x14ac:dyDescent="0.2">
      <c r="A3352">
        <v>3351</v>
      </c>
      <c r="B3352" s="626">
        <v>0</v>
      </c>
      <c r="C3352" s="626">
        <v>1000000</v>
      </c>
      <c r="D3352" s="626">
        <v>0</v>
      </c>
    </row>
    <row r="3353" spans="1:4" x14ac:dyDescent="0.2">
      <c r="A3353">
        <v>3352</v>
      </c>
      <c r="B3353" s="626">
        <v>0</v>
      </c>
      <c r="C3353" s="626">
        <v>1000000</v>
      </c>
      <c r="D3353" s="626">
        <v>0</v>
      </c>
    </row>
    <row r="3354" spans="1:4" x14ac:dyDescent="0.2">
      <c r="A3354">
        <v>3353</v>
      </c>
      <c r="B3354" s="626">
        <v>0</v>
      </c>
      <c r="C3354" s="626">
        <v>1000000</v>
      </c>
      <c r="D3354" s="626">
        <v>0</v>
      </c>
    </row>
    <row r="3355" spans="1:4" x14ac:dyDescent="0.2">
      <c r="A3355">
        <v>3354</v>
      </c>
      <c r="B3355" s="626">
        <v>0</v>
      </c>
      <c r="C3355" s="626">
        <v>1000000</v>
      </c>
      <c r="D3355" s="626">
        <v>0</v>
      </c>
    </row>
    <row r="3356" spans="1:4" x14ac:dyDescent="0.2">
      <c r="A3356">
        <v>3355</v>
      </c>
      <c r="B3356" s="626">
        <v>0</v>
      </c>
      <c r="C3356" s="626">
        <v>1000000</v>
      </c>
      <c r="D3356" s="626">
        <v>0</v>
      </c>
    </row>
    <row r="3357" spans="1:4" x14ac:dyDescent="0.2">
      <c r="A3357">
        <v>3356</v>
      </c>
      <c r="B3357" s="626">
        <v>0</v>
      </c>
      <c r="C3357" s="626">
        <v>1000000</v>
      </c>
      <c r="D3357" s="626">
        <v>0</v>
      </c>
    </row>
    <row r="3358" spans="1:4" x14ac:dyDescent="0.2">
      <c r="A3358">
        <v>3357</v>
      </c>
      <c r="B3358" s="626">
        <v>0</v>
      </c>
      <c r="C3358" s="626">
        <v>1000000</v>
      </c>
      <c r="D3358" s="626">
        <v>0</v>
      </c>
    </row>
    <row r="3359" spans="1:4" x14ac:dyDescent="0.2">
      <c r="A3359">
        <v>3358</v>
      </c>
      <c r="B3359" s="626">
        <v>0</v>
      </c>
      <c r="C3359" s="626">
        <v>1000000</v>
      </c>
      <c r="D3359" s="626">
        <v>0</v>
      </c>
    </row>
    <row r="3360" spans="1:4" x14ac:dyDescent="0.2">
      <c r="A3360">
        <v>3359</v>
      </c>
      <c r="B3360" s="626">
        <v>0</v>
      </c>
      <c r="C3360" s="626">
        <v>1000000</v>
      </c>
      <c r="D3360" s="626">
        <v>0</v>
      </c>
    </row>
    <row r="3361" spans="1:4" x14ac:dyDescent="0.2">
      <c r="A3361">
        <v>3360</v>
      </c>
      <c r="B3361" s="626">
        <v>0</v>
      </c>
      <c r="C3361" s="626">
        <v>1000000</v>
      </c>
      <c r="D3361" s="626">
        <v>0</v>
      </c>
    </row>
    <row r="3362" spans="1:4" x14ac:dyDescent="0.2">
      <c r="A3362">
        <v>3361</v>
      </c>
      <c r="B3362" s="626">
        <v>0</v>
      </c>
      <c r="C3362" s="626">
        <v>1000000</v>
      </c>
      <c r="D3362" s="626">
        <v>0</v>
      </c>
    </row>
    <row r="3363" spans="1:4" x14ac:dyDescent="0.2">
      <c r="A3363">
        <v>3362</v>
      </c>
      <c r="B3363" s="626">
        <v>0</v>
      </c>
      <c r="C3363" s="626">
        <v>1000000</v>
      </c>
      <c r="D3363" s="626">
        <v>0</v>
      </c>
    </row>
    <row r="3364" spans="1:4" x14ac:dyDescent="0.2">
      <c r="A3364">
        <v>3363</v>
      </c>
      <c r="B3364" s="626">
        <v>0</v>
      </c>
      <c r="C3364" s="626">
        <v>1000000</v>
      </c>
      <c r="D3364" s="626">
        <v>0</v>
      </c>
    </row>
    <row r="3365" spans="1:4" x14ac:dyDescent="0.2">
      <c r="A3365">
        <v>3364</v>
      </c>
      <c r="B3365" s="626">
        <v>0</v>
      </c>
      <c r="C3365" s="626">
        <v>1000000</v>
      </c>
      <c r="D3365" s="626">
        <v>0</v>
      </c>
    </row>
    <row r="3366" spans="1:4" x14ac:dyDescent="0.2">
      <c r="A3366">
        <v>3365</v>
      </c>
      <c r="B3366" s="626">
        <v>0</v>
      </c>
      <c r="C3366" s="626">
        <v>1000000</v>
      </c>
      <c r="D3366" s="626">
        <v>0</v>
      </c>
    </row>
    <row r="3367" spans="1:4" x14ac:dyDescent="0.2">
      <c r="A3367">
        <v>3366</v>
      </c>
      <c r="B3367" s="626">
        <v>0</v>
      </c>
      <c r="C3367" s="626">
        <v>1000000</v>
      </c>
      <c r="D3367" s="626">
        <v>0</v>
      </c>
    </row>
    <row r="3368" spans="1:4" x14ac:dyDescent="0.2">
      <c r="A3368">
        <v>3367</v>
      </c>
      <c r="B3368" s="626">
        <v>0</v>
      </c>
      <c r="C3368" s="626">
        <v>1000000</v>
      </c>
      <c r="D3368" s="626">
        <v>0</v>
      </c>
    </row>
    <row r="3369" spans="1:4" x14ac:dyDescent="0.2">
      <c r="A3369">
        <v>3368</v>
      </c>
      <c r="B3369" s="626">
        <v>0</v>
      </c>
      <c r="C3369" s="626">
        <v>1000000</v>
      </c>
      <c r="D3369" s="626">
        <v>0</v>
      </c>
    </row>
    <row r="3370" spans="1:4" x14ac:dyDescent="0.2">
      <c r="A3370">
        <v>3369</v>
      </c>
      <c r="B3370" s="626">
        <v>0</v>
      </c>
      <c r="C3370" s="626">
        <v>1000000</v>
      </c>
      <c r="D3370" s="626">
        <v>0</v>
      </c>
    </row>
    <row r="3371" spans="1:4" x14ac:dyDescent="0.2">
      <c r="A3371">
        <v>3370</v>
      </c>
      <c r="B3371" s="626">
        <v>0</v>
      </c>
      <c r="C3371" s="626">
        <v>1000000</v>
      </c>
      <c r="D3371" s="626">
        <v>0</v>
      </c>
    </row>
    <row r="3372" spans="1:4" x14ac:dyDescent="0.2">
      <c r="A3372">
        <v>3371</v>
      </c>
      <c r="B3372" s="626">
        <v>0</v>
      </c>
      <c r="C3372" s="626">
        <v>1000000</v>
      </c>
      <c r="D3372" s="626">
        <v>0</v>
      </c>
    </row>
    <row r="3373" spans="1:4" x14ac:dyDescent="0.2">
      <c r="A3373">
        <v>3372</v>
      </c>
      <c r="B3373" s="626">
        <v>0</v>
      </c>
      <c r="C3373" s="626">
        <v>1000000</v>
      </c>
      <c r="D3373" s="626">
        <v>0</v>
      </c>
    </row>
    <row r="3374" spans="1:4" x14ac:dyDescent="0.2">
      <c r="A3374">
        <v>3373</v>
      </c>
      <c r="B3374" s="626">
        <v>0</v>
      </c>
      <c r="C3374" s="626">
        <v>1000000</v>
      </c>
      <c r="D3374" s="626">
        <v>0</v>
      </c>
    </row>
    <row r="3375" spans="1:4" x14ac:dyDescent="0.2">
      <c r="A3375">
        <v>3374</v>
      </c>
      <c r="B3375" s="626">
        <v>0</v>
      </c>
      <c r="C3375" s="626">
        <v>1000000</v>
      </c>
      <c r="D3375" s="626">
        <v>0</v>
      </c>
    </row>
    <row r="3376" spans="1:4" x14ac:dyDescent="0.2">
      <c r="A3376">
        <v>3375</v>
      </c>
      <c r="B3376" s="626">
        <v>0</v>
      </c>
      <c r="C3376" s="626">
        <v>1000000</v>
      </c>
      <c r="D3376" s="626">
        <v>0</v>
      </c>
    </row>
    <row r="3377" spans="1:4" x14ac:dyDescent="0.2">
      <c r="A3377">
        <v>3376</v>
      </c>
      <c r="B3377" s="626">
        <v>0</v>
      </c>
      <c r="C3377" s="626">
        <v>1000000</v>
      </c>
      <c r="D3377" s="626">
        <v>0</v>
      </c>
    </row>
    <row r="3378" spans="1:4" x14ac:dyDescent="0.2">
      <c r="A3378">
        <v>3377</v>
      </c>
      <c r="B3378" s="626">
        <v>0</v>
      </c>
      <c r="C3378" s="626">
        <v>1000000</v>
      </c>
      <c r="D3378" s="626">
        <v>0</v>
      </c>
    </row>
    <row r="3379" spans="1:4" x14ac:dyDescent="0.2">
      <c r="A3379">
        <v>3378</v>
      </c>
      <c r="B3379" s="626">
        <v>0</v>
      </c>
      <c r="C3379" s="626">
        <v>1000000</v>
      </c>
      <c r="D3379" s="626">
        <v>0</v>
      </c>
    </row>
    <row r="3380" spans="1:4" x14ac:dyDescent="0.2">
      <c r="A3380">
        <v>3379</v>
      </c>
      <c r="B3380" s="626">
        <v>0</v>
      </c>
      <c r="C3380" s="626">
        <v>1000000</v>
      </c>
      <c r="D3380" s="626">
        <v>0</v>
      </c>
    </row>
    <row r="3381" spans="1:4" x14ac:dyDescent="0.2">
      <c r="A3381">
        <v>3380</v>
      </c>
      <c r="B3381" s="626">
        <v>0</v>
      </c>
      <c r="C3381" s="626">
        <v>1000000</v>
      </c>
      <c r="D3381" s="626">
        <v>0</v>
      </c>
    </row>
    <row r="3382" spans="1:4" x14ac:dyDescent="0.2">
      <c r="A3382">
        <v>3381</v>
      </c>
      <c r="B3382" s="626">
        <v>0</v>
      </c>
      <c r="C3382" s="626">
        <v>1000000</v>
      </c>
      <c r="D3382" s="626">
        <v>0</v>
      </c>
    </row>
    <row r="3383" spans="1:4" x14ac:dyDescent="0.2">
      <c r="A3383">
        <v>3382</v>
      </c>
      <c r="B3383" s="626">
        <v>0</v>
      </c>
      <c r="C3383" s="626">
        <v>1000000</v>
      </c>
      <c r="D3383" s="626">
        <v>0</v>
      </c>
    </row>
    <row r="3384" spans="1:4" x14ac:dyDescent="0.2">
      <c r="A3384">
        <v>3383</v>
      </c>
      <c r="B3384" s="626">
        <v>0</v>
      </c>
      <c r="C3384" s="626">
        <v>1000000</v>
      </c>
      <c r="D3384" s="626">
        <v>0</v>
      </c>
    </row>
    <row r="3385" spans="1:4" x14ac:dyDescent="0.2">
      <c r="A3385">
        <v>3384</v>
      </c>
      <c r="B3385" s="626">
        <v>0</v>
      </c>
      <c r="C3385" s="626">
        <v>1000000</v>
      </c>
      <c r="D3385" s="626">
        <v>0</v>
      </c>
    </row>
    <row r="3386" spans="1:4" x14ac:dyDescent="0.2">
      <c r="A3386">
        <v>3385</v>
      </c>
      <c r="B3386" s="626">
        <v>0</v>
      </c>
      <c r="C3386" s="626">
        <v>1000000</v>
      </c>
      <c r="D3386" s="626">
        <v>0</v>
      </c>
    </row>
    <row r="3387" spans="1:4" x14ac:dyDescent="0.2">
      <c r="A3387">
        <v>3386</v>
      </c>
      <c r="B3387" s="626">
        <v>0</v>
      </c>
      <c r="C3387" s="626">
        <v>1000000</v>
      </c>
      <c r="D3387" s="626">
        <v>0</v>
      </c>
    </row>
    <row r="3388" spans="1:4" x14ac:dyDescent="0.2">
      <c r="A3388">
        <v>3387</v>
      </c>
      <c r="B3388" s="626">
        <v>0</v>
      </c>
      <c r="C3388" s="626">
        <v>1000000</v>
      </c>
      <c r="D3388" s="626">
        <v>0</v>
      </c>
    </row>
    <row r="3389" spans="1:4" x14ac:dyDescent="0.2">
      <c r="A3389">
        <v>3388</v>
      </c>
      <c r="B3389" s="626">
        <v>0</v>
      </c>
      <c r="C3389" s="626">
        <v>1000000</v>
      </c>
      <c r="D3389" s="626">
        <v>0</v>
      </c>
    </row>
    <row r="3390" spans="1:4" x14ac:dyDescent="0.2">
      <c r="A3390">
        <v>3389</v>
      </c>
      <c r="B3390" s="626">
        <v>0</v>
      </c>
      <c r="C3390" s="626">
        <v>1000000</v>
      </c>
      <c r="D3390" s="626">
        <v>0</v>
      </c>
    </row>
    <row r="3391" spans="1:4" x14ac:dyDescent="0.2">
      <c r="A3391">
        <v>3390</v>
      </c>
      <c r="B3391" s="626">
        <v>0</v>
      </c>
      <c r="C3391" s="626">
        <v>1000000</v>
      </c>
      <c r="D3391" s="626">
        <v>0</v>
      </c>
    </row>
    <row r="3392" spans="1:4" x14ac:dyDescent="0.2">
      <c r="A3392">
        <v>3391</v>
      </c>
      <c r="B3392" s="626">
        <v>0</v>
      </c>
      <c r="C3392" s="626">
        <v>1000000</v>
      </c>
      <c r="D3392" s="626">
        <v>0</v>
      </c>
    </row>
    <row r="3393" spans="1:4" x14ac:dyDescent="0.2">
      <c r="A3393">
        <v>3392</v>
      </c>
      <c r="B3393" s="626">
        <v>0</v>
      </c>
      <c r="C3393" s="626">
        <v>1000000</v>
      </c>
      <c r="D3393" s="626">
        <v>0</v>
      </c>
    </row>
    <row r="3394" spans="1:4" x14ac:dyDescent="0.2">
      <c r="A3394">
        <v>3393</v>
      </c>
      <c r="B3394" s="626">
        <v>0</v>
      </c>
      <c r="C3394" s="626">
        <v>1000000</v>
      </c>
      <c r="D3394" s="626">
        <v>0</v>
      </c>
    </row>
    <row r="3395" spans="1:4" x14ac:dyDescent="0.2">
      <c r="A3395">
        <v>3394</v>
      </c>
      <c r="B3395" s="626">
        <v>0</v>
      </c>
      <c r="C3395" s="626">
        <v>1000000</v>
      </c>
      <c r="D3395" s="626">
        <v>0</v>
      </c>
    </row>
    <row r="3396" spans="1:4" x14ac:dyDescent="0.2">
      <c r="A3396">
        <v>3395</v>
      </c>
      <c r="B3396" s="626">
        <v>0</v>
      </c>
      <c r="C3396" s="626">
        <v>1000000</v>
      </c>
      <c r="D3396" s="626">
        <v>0</v>
      </c>
    </row>
    <row r="3397" spans="1:4" x14ac:dyDescent="0.2">
      <c r="A3397">
        <v>3396</v>
      </c>
      <c r="B3397" s="626">
        <v>0</v>
      </c>
      <c r="C3397" s="626">
        <v>1000000</v>
      </c>
      <c r="D3397" s="626">
        <v>0</v>
      </c>
    </row>
    <row r="3398" spans="1:4" x14ac:dyDescent="0.2">
      <c r="A3398">
        <v>3397</v>
      </c>
      <c r="B3398" s="626">
        <v>0</v>
      </c>
      <c r="C3398" s="626">
        <v>1000000</v>
      </c>
      <c r="D3398" s="626">
        <v>0</v>
      </c>
    </row>
    <row r="3399" spans="1:4" x14ac:dyDescent="0.2">
      <c r="A3399">
        <v>3398</v>
      </c>
      <c r="B3399" s="626">
        <v>0</v>
      </c>
      <c r="C3399" s="626">
        <v>1000000</v>
      </c>
      <c r="D3399" s="626">
        <v>0</v>
      </c>
    </row>
    <row r="3400" spans="1:4" x14ac:dyDescent="0.2">
      <c r="A3400">
        <v>3399</v>
      </c>
      <c r="B3400" s="626">
        <v>0</v>
      </c>
      <c r="C3400" s="626">
        <v>1000000</v>
      </c>
      <c r="D3400" s="626">
        <v>0</v>
      </c>
    </row>
    <row r="3401" spans="1:4" x14ac:dyDescent="0.2">
      <c r="A3401">
        <v>3400</v>
      </c>
      <c r="B3401" s="626">
        <v>0</v>
      </c>
      <c r="C3401" s="626">
        <v>1000000</v>
      </c>
      <c r="D3401" s="626">
        <v>0</v>
      </c>
    </row>
    <row r="3402" spans="1:4" x14ac:dyDescent="0.2">
      <c r="A3402">
        <v>3401</v>
      </c>
      <c r="B3402" s="626">
        <v>0</v>
      </c>
      <c r="C3402" s="626">
        <v>1000000</v>
      </c>
      <c r="D3402" s="626">
        <v>0</v>
      </c>
    </row>
    <row r="3403" spans="1:4" x14ac:dyDescent="0.2">
      <c r="A3403">
        <v>3402</v>
      </c>
      <c r="B3403" s="626">
        <v>0</v>
      </c>
      <c r="C3403" s="626">
        <v>1000000</v>
      </c>
      <c r="D3403" s="626">
        <v>0</v>
      </c>
    </row>
    <row r="3404" spans="1:4" x14ac:dyDescent="0.2">
      <c r="A3404">
        <v>3403</v>
      </c>
      <c r="B3404" s="626">
        <v>0</v>
      </c>
      <c r="C3404" s="626">
        <v>1000000</v>
      </c>
      <c r="D3404" s="626">
        <v>0</v>
      </c>
    </row>
    <row r="3405" spans="1:4" x14ac:dyDescent="0.2">
      <c r="A3405">
        <v>3404</v>
      </c>
      <c r="B3405" s="626">
        <v>0</v>
      </c>
      <c r="C3405" s="626">
        <v>1000000</v>
      </c>
      <c r="D3405" s="626">
        <v>0</v>
      </c>
    </row>
    <row r="3406" spans="1:4" x14ac:dyDescent="0.2">
      <c r="A3406">
        <v>3405</v>
      </c>
      <c r="B3406" s="626">
        <v>0</v>
      </c>
      <c r="C3406" s="626">
        <v>1000000</v>
      </c>
      <c r="D3406" s="626">
        <v>0</v>
      </c>
    </row>
    <row r="3407" spans="1:4" x14ac:dyDescent="0.2">
      <c r="A3407">
        <v>3406</v>
      </c>
      <c r="B3407" s="626">
        <v>0</v>
      </c>
      <c r="C3407" s="626">
        <v>1000000</v>
      </c>
      <c r="D3407" s="626">
        <v>0</v>
      </c>
    </row>
    <row r="3408" spans="1:4" x14ac:dyDescent="0.2">
      <c r="A3408">
        <v>3407</v>
      </c>
      <c r="B3408" s="626">
        <v>0</v>
      </c>
      <c r="C3408" s="626">
        <v>1000000</v>
      </c>
      <c r="D3408" s="626">
        <v>0</v>
      </c>
    </row>
    <row r="3409" spans="1:4" x14ac:dyDescent="0.2">
      <c r="A3409">
        <v>3408</v>
      </c>
      <c r="B3409" s="626">
        <v>0</v>
      </c>
      <c r="C3409" s="626">
        <v>1000000</v>
      </c>
      <c r="D3409" s="626">
        <v>0</v>
      </c>
    </row>
    <row r="3410" spans="1:4" x14ac:dyDescent="0.2">
      <c r="A3410">
        <v>3409</v>
      </c>
      <c r="B3410" s="626">
        <v>0</v>
      </c>
      <c r="C3410" s="626">
        <v>1000000</v>
      </c>
      <c r="D3410" s="626">
        <v>0</v>
      </c>
    </row>
    <row r="3411" spans="1:4" x14ac:dyDescent="0.2">
      <c r="A3411">
        <v>3410</v>
      </c>
      <c r="B3411" s="626">
        <v>0</v>
      </c>
      <c r="C3411" s="626">
        <v>1000000</v>
      </c>
      <c r="D3411" s="626">
        <v>0</v>
      </c>
    </row>
    <row r="3412" spans="1:4" x14ac:dyDescent="0.2">
      <c r="A3412">
        <v>3411</v>
      </c>
      <c r="B3412" s="626">
        <v>0</v>
      </c>
      <c r="C3412" s="626">
        <v>1000000</v>
      </c>
      <c r="D3412" s="626">
        <v>0</v>
      </c>
    </row>
    <row r="3413" spans="1:4" x14ac:dyDescent="0.2">
      <c r="A3413">
        <v>3412</v>
      </c>
      <c r="B3413" s="626">
        <v>0</v>
      </c>
      <c r="C3413" s="626">
        <v>1000000</v>
      </c>
      <c r="D3413" s="626">
        <v>0</v>
      </c>
    </row>
    <row r="3414" spans="1:4" x14ac:dyDescent="0.2">
      <c r="A3414">
        <v>3413</v>
      </c>
      <c r="B3414" s="626">
        <v>0</v>
      </c>
      <c r="C3414" s="626">
        <v>1000000</v>
      </c>
      <c r="D3414" s="626">
        <v>0</v>
      </c>
    </row>
    <row r="3415" spans="1:4" x14ac:dyDescent="0.2">
      <c r="A3415">
        <v>3414</v>
      </c>
      <c r="B3415" s="626">
        <v>0</v>
      </c>
      <c r="C3415" s="626">
        <v>1000000</v>
      </c>
      <c r="D3415" s="626">
        <v>0</v>
      </c>
    </row>
    <row r="3416" spans="1:4" x14ac:dyDescent="0.2">
      <c r="A3416">
        <v>3415</v>
      </c>
      <c r="B3416" s="626">
        <v>0</v>
      </c>
      <c r="C3416" s="626">
        <v>1000000</v>
      </c>
      <c r="D3416" s="626">
        <v>0</v>
      </c>
    </row>
    <row r="3417" spans="1:4" x14ac:dyDescent="0.2">
      <c r="A3417">
        <v>3416</v>
      </c>
      <c r="B3417" s="626">
        <v>0</v>
      </c>
      <c r="C3417" s="626">
        <v>1000000</v>
      </c>
      <c r="D3417" s="626">
        <v>0</v>
      </c>
    </row>
    <row r="3418" spans="1:4" x14ac:dyDescent="0.2">
      <c r="A3418">
        <v>3417</v>
      </c>
      <c r="B3418" s="626">
        <v>0</v>
      </c>
      <c r="C3418" s="626">
        <v>1000000</v>
      </c>
      <c r="D3418" s="626">
        <v>0</v>
      </c>
    </row>
    <row r="3419" spans="1:4" x14ac:dyDescent="0.2">
      <c r="A3419">
        <v>3418</v>
      </c>
      <c r="B3419" s="626">
        <v>0</v>
      </c>
      <c r="C3419" s="626">
        <v>1000000</v>
      </c>
      <c r="D3419" s="626">
        <v>0</v>
      </c>
    </row>
    <row r="3420" spans="1:4" x14ac:dyDescent="0.2">
      <c r="A3420">
        <v>3419</v>
      </c>
      <c r="B3420" s="626">
        <v>0</v>
      </c>
      <c r="C3420" s="626">
        <v>1000000</v>
      </c>
      <c r="D3420" s="626">
        <v>0</v>
      </c>
    </row>
    <row r="3421" spans="1:4" x14ac:dyDescent="0.2">
      <c r="A3421">
        <v>3420</v>
      </c>
      <c r="B3421" s="626">
        <v>0</v>
      </c>
      <c r="C3421" s="626">
        <v>1000000</v>
      </c>
      <c r="D3421" s="626">
        <v>0</v>
      </c>
    </row>
    <row r="3422" spans="1:4" x14ac:dyDescent="0.2">
      <c r="A3422">
        <v>3421</v>
      </c>
      <c r="B3422" s="626">
        <v>0</v>
      </c>
      <c r="C3422" s="626">
        <v>1000000</v>
      </c>
      <c r="D3422" s="626">
        <v>0</v>
      </c>
    </row>
    <row r="3423" spans="1:4" x14ac:dyDescent="0.2">
      <c r="A3423">
        <v>3422</v>
      </c>
      <c r="B3423" s="626">
        <v>0</v>
      </c>
      <c r="C3423" s="626">
        <v>1000000</v>
      </c>
      <c r="D3423" s="626">
        <v>0</v>
      </c>
    </row>
    <row r="3424" spans="1:4" x14ac:dyDescent="0.2">
      <c r="A3424">
        <v>3423</v>
      </c>
      <c r="B3424" s="626">
        <v>0</v>
      </c>
      <c r="C3424" s="626">
        <v>1000000</v>
      </c>
      <c r="D3424" s="626">
        <v>0</v>
      </c>
    </row>
    <row r="3425" spans="1:4" x14ac:dyDescent="0.2">
      <c r="A3425">
        <v>3424</v>
      </c>
      <c r="B3425" s="626">
        <v>0</v>
      </c>
      <c r="C3425" s="626">
        <v>1000000</v>
      </c>
      <c r="D3425" s="626">
        <v>0</v>
      </c>
    </row>
    <row r="3426" spans="1:4" x14ac:dyDescent="0.2">
      <c r="A3426">
        <v>3425</v>
      </c>
      <c r="B3426" s="626">
        <v>0</v>
      </c>
      <c r="C3426" s="626">
        <v>1000000</v>
      </c>
      <c r="D3426" s="626">
        <v>0</v>
      </c>
    </row>
    <row r="3427" spans="1:4" x14ac:dyDescent="0.2">
      <c r="A3427">
        <v>3426</v>
      </c>
      <c r="B3427" s="626">
        <v>0</v>
      </c>
      <c r="C3427" s="626">
        <v>1000000</v>
      </c>
      <c r="D3427" s="626">
        <v>0</v>
      </c>
    </row>
    <row r="3428" spans="1:4" x14ac:dyDescent="0.2">
      <c r="A3428">
        <v>3427</v>
      </c>
      <c r="B3428" s="626">
        <v>0</v>
      </c>
      <c r="C3428" s="626">
        <v>1000000</v>
      </c>
      <c r="D3428" s="626">
        <v>0</v>
      </c>
    </row>
    <row r="3429" spans="1:4" x14ac:dyDescent="0.2">
      <c r="A3429">
        <v>3428</v>
      </c>
      <c r="B3429" s="626">
        <v>0</v>
      </c>
      <c r="C3429" s="626">
        <v>1000000</v>
      </c>
      <c r="D3429" s="626">
        <v>0</v>
      </c>
    </row>
    <row r="3430" spans="1:4" x14ac:dyDescent="0.2">
      <c r="A3430">
        <v>3429</v>
      </c>
      <c r="B3430" s="626">
        <v>0</v>
      </c>
      <c r="C3430" s="626">
        <v>1000000</v>
      </c>
      <c r="D3430" s="626">
        <v>0</v>
      </c>
    </row>
    <row r="3431" spans="1:4" x14ac:dyDescent="0.2">
      <c r="A3431">
        <v>3430</v>
      </c>
      <c r="B3431" s="626">
        <v>0</v>
      </c>
      <c r="C3431" s="626">
        <v>1000000</v>
      </c>
      <c r="D3431" s="626">
        <v>0</v>
      </c>
    </row>
    <row r="3432" spans="1:4" x14ac:dyDescent="0.2">
      <c r="A3432">
        <v>3431</v>
      </c>
      <c r="B3432" s="626">
        <v>0</v>
      </c>
      <c r="C3432" s="626">
        <v>1000000</v>
      </c>
      <c r="D3432" s="626">
        <v>0</v>
      </c>
    </row>
    <row r="3433" spans="1:4" x14ac:dyDescent="0.2">
      <c r="A3433">
        <v>3432</v>
      </c>
      <c r="B3433" s="626">
        <v>0</v>
      </c>
      <c r="C3433" s="626">
        <v>1000000</v>
      </c>
      <c r="D3433" s="626">
        <v>0</v>
      </c>
    </row>
    <row r="3434" spans="1:4" x14ac:dyDescent="0.2">
      <c r="A3434">
        <v>3433</v>
      </c>
      <c r="B3434" s="626">
        <v>0</v>
      </c>
      <c r="C3434" s="626">
        <v>1000000</v>
      </c>
      <c r="D3434" s="626">
        <v>0</v>
      </c>
    </row>
    <row r="3435" spans="1:4" x14ac:dyDescent="0.2">
      <c r="A3435">
        <v>3434</v>
      </c>
      <c r="B3435" s="626">
        <v>0</v>
      </c>
      <c r="C3435" s="626">
        <v>1000000</v>
      </c>
      <c r="D3435" s="626">
        <v>0</v>
      </c>
    </row>
    <row r="3436" spans="1:4" x14ac:dyDescent="0.2">
      <c r="A3436">
        <v>3435</v>
      </c>
      <c r="B3436" s="626">
        <v>0</v>
      </c>
      <c r="C3436" s="626">
        <v>1000000</v>
      </c>
      <c r="D3436" s="626">
        <v>0</v>
      </c>
    </row>
    <row r="3437" spans="1:4" x14ac:dyDescent="0.2">
      <c r="A3437">
        <v>3436</v>
      </c>
      <c r="B3437" s="626">
        <v>0</v>
      </c>
      <c r="C3437" s="626">
        <v>1000000</v>
      </c>
      <c r="D3437" s="626">
        <v>0</v>
      </c>
    </row>
    <row r="3438" spans="1:4" x14ac:dyDescent="0.2">
      <c r="A3438">
        <v>3437</v>
      </c>
      <c r="B3438" s="626">
        <v>0</v>
      </c>
      <c r="C3438" s="626">
        <v>1000000</v>
      </c>
      <c r="D3438" s="626">
        <v>0</v>
      </c>
    </row>
    <row r="3439" spans="1:4" x14ac:dyDescent="0.2">
      <c r="A3439">
        <v>3438</v>
      </c>
      <c r="B3439" s="626">
        <v>0</v>
      </c>
      <c r="C3439" s="626">
        <v>1000000</v>
      </c>
      <c r="D3439" s="626">
        <v>0</v>
      </c>
    </row>
    <row r="3440" spans="1:4" x14ac:dyDescent="0.2">
      <c r="A3440">
        <v>3439</v>
      </c>
      <c r="B3440" s="626">
        <v>0</v>
      </c>
      <c r="C3440" s="626">
        <v>1000000</v>
      </c>
      <c r="D3440" s="626">
        <v>0</v>
      </c>
    </row>
    <row r="3441" spans="1:4" x14ac:dyDescent="0.2">
      <c r="A3441">
        <v>3440</v>
      </c>
      <c r="B3441" s="626">
        <v>0</v>
      </c>
      <c r="C3441" s="626">
        <v>1000000</v>
      </c>
      <c r="D3441" s="626">
        <v>0</v>
      </c>
    </row>
    <row r="3442" spans="1:4" x14ac:dyDescent="0.2">
      <c r="A3442">
        <v>3441</v>
      </c>
      <c r="B3442" s="626">
        <v>0</v>
      </c>
      <c r="C3442" s="626">
        <v>1000000</v>
      </c>
      <c r="D3442" s="626">
        <v>0</v>
      </c>
    </row>
    <row r="3443" spans="1:4" x14ac:dyDescent="0.2">
      <c r="A3443">
        <v>3442</v>
      </c>
      <c r="B3443" s="626">
        <v>0</v>
      </c>
      <c r="C3443" s="626">
        <v>1000000</v>
      </c>
      <c r="D3443" s="626">
        <v>0</v>
      </c>
    </row>
    <row r="3444" spans="1:4" x14ac:dyDescent="0.2">
      <c r="A3444">
        <v>3443</v>
      </c>
      <c r="B3444" s="626">
        <v>0</v>
      </c>
      <c r="C3444" s="626">
        <v>1000000</v>
      </c>
      <c r="D3444" s="626">
        <v>0</v>
      </c>
    </row>
    <row r="3445" spans="1:4" x14ac:dyDescent="0.2">
      <c r="A3445">
        <v>3444</v>
      </c>
      <c r="B3445" s="626">
        <v>0</v>
      </c>
      <c r="C3445" s="626">
        <v>1000000</v>
      </c>
      <c r="D3445" s="626">
        <v>0</v>
      </c>
    </row>
    <row r="3446" spans="1:4" x14ac:dyDescent="0.2">
      <c r="A3446">
        <v>3445</v>
      </c>
      <c r="B3446" s="626">
        <v>0</v>
      </c>
      <c r="C3446" s="626">
        <v>1000000</v>
      </c>
      <c r="D3446" s="626">
        <v>0</v>
      </c>
    </row>
    <row r="3447" spans="1:4" x14ac:dyDescent="0.2">
      <c r="A3447">
        <v>3446</v>
      </c>
      <c r="B3447" s="626">
        <v>0</v>
      </c>
      <c r="C3447" s="626">
        <v>1000000</v>
      </c>
      <c r="D3447" s="626">
        <v>0</v>
      </c>
    </row>
    <row r="3448" spans="1:4" x14ac:dyDescent="0.2">
      <c r="A3448">
        <v>3447</v>
      </c>
      <c r="B3448" s="626">
        <v>0</v>
      </c>
      <c r="C3448" s="626">
        <v>1000000</v>
      </c>
      <c r="D3448" s="626">
        <v>0</v>
      </c>
    </row>
    <row r="3449" spans="1:4" x14ac:dyDescent="0.2">
      <c r="A3449">
        <v>3448</v>
      </c>
      <c r="B3449" s="626">
        <v>0</v>
      </c>
      <c r="C3449" s="626">
        <v>1000000</v>
      </c>
      <c r="D3449" s="626">
        <v>0</v>
      </c>
    </row>
    <row r="3450" spans="1:4" x14ac:dyDescent="0.2">
      <c r="A3450">
        <v>3449</v>
      </c>
      <c r="B3450" s="626">
        <v>0</v>
      </c>
      <c r="C3450" s="626">
        <v>1000000</v>
      </c>
      <c r="D3450" s="626">
        <v>0</v>
      </c>
    </row>
    <row r="3451" spans="1:4" x14ac:dyDescent="0.2">
      <c r="A3451">
        <v>3450</v>
      </c>
      <c r="B3451" s="626">
        <v>0</v>
      </c>
      <c r="C3451" s="626">
        <v>1000000</v>
      </c>
      <c r="D3451" s="626">
        <v>0</v>
      </c>
    </row>
    <row r="3452" spans="1:4" x14ac:dyDescent="0.2">
      <c r="A3452">
        <v>3451</v>
      </c>
      <c r="B3452" s="626">
        <v>0</v>
      </c>
      <c r="C3452" s="626">
        <v>1000000</v>
      </c>
      <c r="D3452" s="626">
        <v>0</v>
      </c>
    </row>
    <row r="3453" spans="1:4" x14ac:dyDescent="0.2">
      <c r="A3453">
        <v>3452</v>
      </c>
      <c r="B3453" s="626">
        <v>0</v>
      </c>
      <c r="C3453" s="626">
        <v>1000000</v>
      </c>
      <c r="D3453" s="626">
        <v>0</v>
      </c>
    </row>
    <row r="3454" spans="1:4" x14ac:dyDescent="0.2">
      <c r="A3454">
        <v>3453</v>
      </c>
      <c r="B3454" s="626">
        <v>0</v>
      </c>
      <c r="C3454" s="626">
        <v>1000000</v>
      </c>
      <c r="D3454" s="626">
        <v>0</v>
      </c>
    </row>
    <row r="3455" spans="1:4" x14ac:dyDescent="0.2">
      <c r="A3455">
        <v>3454</v>
      </c>
      <c r="B3455" s="626">
        <v>0</v>
      </c>
      <c r="C3455" s="626">
        <v>1000000</v>
      </c>
      <c r="D3455" s="626">
        <v>0</v>
      </c>
    </row>
    <row r="3456" spans="1:4" x14ac:dyDescent="0.2">
      <c r="A3456">
        <v>3455</v>
      </c>
      <c r="B3456" s="626">
        <v>0</v>
      </c>
      <c r="C3456" s="626">
        <v>1000000</v>
      </c>
      <c r="D3456" s="626">
        <v>0</v>
      </c>
    </row>
    <row r="3457" spans="1:4" x14ac:dyDescent="0.2">
      <c r="A3457">
        <v>3456</v>
      </c>
      <c r="B3457" s="626">
        <v>0</v>
      </c>
      <c r="C3457" s="626">
        <v>1000000</v>
      </c>
      <c r="D3457" s="626">
        <v>0</v>
      </c>
    </row>
    <row r="3458" spans="1:4" x14ac:dyDescent="0.2">
      <c r="A3458">
        <v>3457</v>
      </c>
      <c r="B3458" s="626">
        <v>0</v>
      </c>
      <c r="C3458" s="626">
        <v>1000000</v>
      </c>
      <c r="D3458" s="626">
        <v>0</v>
      </c>
    </row>
    <row r="3459" spans="1:4" x14ac:dyDescent="0.2">
      <c r="A3459">
        <v>3458</v>
      </c>
      <c r="B3459" s="626">
        <v>0</v>
      </c>
      <c r="C3459" s="626">
        <v>1000000</v>
      </c>
      <c r="D3459" s="626">
        <v>0</v>
      </c>
    </row>
    <row r="3460" spans="1:4" x14ac:dyDescent="0.2">
      <c r="A3460">
        <v>3459</v>
      </c>
      <c r="B3460" s="626">
        <v>0</v>
      </c>
      <c r="C3460" s="626">
        <v>1000000</v>
      </c>
      <c r="D3460" s="626">
        <v>0</v>
      </c>
    </row>
    <row r="3461" spans="1:4" x14ac:dyDescent="0.2">
      <c r="A3461">
        <v>3460</v>
      </c>
      <c r="B3461" s="626">
        <v>0</v>
      </c>
      <c r="C3461" s="626">
        <v>1000000</v>
      </c>
      <c r="D3461" s="626">
        <v>0</v>
      </c>
    </row>
    <row r="3462" spans="1:4" x14ac:dyDescent="0.2">
      <c r="A3462">
        <v>3461</v>
      </c>
      <c r="B3462" s="626">
        <v>0</v>
      </c>
      <c r="C3462" s="626">
        <v>1000000</v>
      </c>
      <c r="D3462" s="626">
        <v>0</v>
      </c>
    </row>
    <row r="3463" spans="1:4" x14ac:dyDescent="0.2">
      <c r="A3463">
        <v>3462</v>
      </c>
      <c r="B3463" s="626">
        <v>0</v>
      </c>
      <c r="C3463" s="626">
        <v>1000000</v>
      </c>
      <c r="D3463" s="626">
        <v>0</v>
      </c>
    </row>
    <row r="3464" spans="1:4" x14ac:dyDescent="0.2">
      <c r="A3464">
        <v>3463</v>
      </c>
      <c r="B3464" s="626">
        <v>0</v>
      </c>
      <c r="C3464" s="626">
        <v>1000000</v>
      </c>
      <c r="D3464" s="626">
        <v>0</v>
      </c>
    </row>
    <row r="3465" spans="1:4" x14ac:dyDescent="0.2">
      <c r="A3465">
        <v>3464</v>
      </c>
      <c r="B3465" s="626">
        <v>0</v>
      </c>
      <c r="C3465" s="626">
        <v>1000000</v>
      </c>
      <c r="D3465" s="626">
        <v>0</v>
      </c>
    </row>
    <row r="3466" spans="1:4" x14ac:dyDescent="0.2">
      <c r="A3466">
        <v>3465</v>
      </c>
      <c r="B3466" s="626">
        <v>0</v>
      </c>
      <c r="C3466" s="626">
        <v>1000000</v>
      </c>
      <c r="D3466" s="626">
        <v>0</v>
      </c>
    </row>
    <row r="3467" spans="1:4" x14ac:dyDescent="0.2">
      <c r="A3467">
        <v>3466</v>
      </c>
      <c r="B3467" s="626">
        <v>0</v>
      </c>
      <c r="C3467" s="626">
        <v>1000000</v>
      </c>
      <c r="D3467" s="626">
        <v>0</v>
      </c>
    </row>
    <row r="3468" spans="1:4" x14ac:dyDescent="0.2">
      <c r="A3468">
        <v>3467</v>
      </c>
      <c r="B3468" s="626">
        <v>0</v>
      </c>
      <c r="C3468" s="626">
        <v>1000000</v>
      </c>
      <c r="D3468" s="626">
        <v>0</v>
      </c>
    </row>
    <row r="3469" spans="1:4" x14ac:dyDescent="0.2">
      <c r="A3469">
        <v>3468</v>
      </c>
      <c r="B3469" s="626">
        <v>0</v>
      </c>
      <c r="C3469" s="626">
        <v>1000000</v>
      </c>
      <c r="D3469" s="626">
        <v>0</v>
      </c>
    </row>
    <row r="3470" spans="1:4" x14ac:dyDescent="0.2">
      <c r="A3470">
        <v>3469</v>
      </c>
      <c r="B3470" s="626">
        <v>0</v>
      </c>
      <c r="C3470" s="626">
        <v>1000000</v>
      </c>
      <c r="D3470" s="626">
        <v>0</v>
      </c>
    </row>
    <row r="3471" spans="1:4" x14ac:dyDescent="0.2">
      <c r="A3471">
        <v>3470</v>
      </c>
      <c r="B3471" s="626">
        <v>0</v>
      </c>
      <c r="C3471" s="626">
        <v>1000000</v>
      </c>
      <c r="D3471" s="626">
        <v>0</v>
      </c>
    </row>
    <row r="3472" spans="1:4" x14ac:dyDescent="0.2">
      <c r="A3472">
        <v>3471</v>
      </c>
      <c r="B3472" s="626">
        <v>0</v>
      </c>
      <c r="C3472" s="626">
        <v>1000000</v>
      </c>
      <c r="D3472" s="626">
        <v>0</v>
      </c>
    </row>
    <row r="3473" spans="1:4" x14ac:dyDescent="0.2">
      <c r="A3473">
        <v>3472</v>
      </c>
      <c r="B3473" s="626">
        <v>0</v>
      </c>
      <c r="C3473" s="626">
        <v>1000000</v>
      </c>
      <c r="D3473" s="626">
        <v>0</v>
      </c>
    </row>
    <row r="3474" spans="1:4" x14ac:dyDescent="0.2">
      <c r="A3474">
        <v>3473</v>
      </c>
      <c r="B3474" s="626">
        <v>0</v>
      </c>
      <c r="C3474" s="626">
        <v>1000000</v>
      </c>
      <c r="D3474" s="626">
        <v>0</v>
      </c>
    </row>
    <row r="3475" spans="1:4" x14ac:dyDescent="0.2">
      <c r="A3475">
        <v>3474</v>
      </c>
      <c r="B3475" s="626">
        <v>0</v>
      </c>
      <c r="C3475" s="626">
        <v>1000000</v>
      </c>
      <c r="D3475" s="626">
        <v>0</v>
      </c>
    </row>
    <row r="3476" spans="1:4" x14ac:dyDescent="0.2">
      <c r="A3476">
        <v>3475</v>
      </c>
      <c r="B3476" s="626">
        <v>0</v>
      </c>
      <c r="C3476" s="626">
        <v>1000000</v>
      </c>
      <c r="D3476" s="626">
        <v>0</v>
      </c>
    </row>
    <row r="3477" spans="1:4" x14ac:dyDescent="0.2">
      <c r="A3477">
        <v>3476</v>
      </c>
      <c r="B3477" s="626">
        <v>0</v>
      </c>
      <c r="C3477" s="626">
        <v>1000000</v>
      </c>
      <c r="D3477" s="626">
        <v>0</v>
      </c>
    </row>
    <row r="3478" spans="1:4" x14ac:dyDescent="0.2">
      <c r="A3478">
        <v>3477</v>
      </c>
      <c r="B3478" s="626">
        <v>0</v>
      </c>
      <c r="C3478" s="626">
        <v>1000000</v>
      </c>
      <c r="D3478" s="626">
        <v>0</v>
      </c>
    </row>
    <row r="3479" spans="1:4" x14ac:dyDescent="0.2">
      <c r="A3479">
        <v>3478</v>
      </c>
      <c r="B3479" s="626">
        <v>0</v>
      </c>
      <c r="C3479" s="626">
        <v>1000000</v>
      </c>
      <c r="D3479" s="626">
        <v>0</v>
      </c>
    </row>
    <row r="3480" spans="1:4" x14ac:dyDescent="0.2">
      <c r="A3480">
        <v>3479</v>
      </c>
      <c r="B3480" s="626">
        <v>0</v>
      </c>
      <c r="C3480" s="626">
        <v>1000000</v>
      </c>
      <c r="D3480" s="626">
        <v>0</v>
      </c>
    </row>
    <row r="3481" spans="1:4" x14ac:dyDescent="0.2">
      <c r="A3481">
        <v>3480</v>
      </c>
      <c r="B3481" s="626">
        <v>0</v>
      </c>
      <c r="C3481" s="626">
        <v>1000000</v>
      </c>
      <c r="D3481" s="626">
        <v>0</v>
      </c>
    </row>
    <row r="3482" spans="1:4" x14ac:dyDescent="0.2">
      <c r="A3482">
        <v>3481</v>
      </c>
      <c r="B3482" s="626">
        <v>0</v>
      </c>
      <c r="C3482" s="626">
        <v>1000000</v>
      </c>
      <c r="D3482" s="626">
        <v>0</v>
      </c>
    </row>
    <row r="3483" spans="1:4" x14ac:dyDescent="0.2">
      <c r="A3483">
        <v>3482</v>
      </c>
      <c r="B3483" s="626">
        <v>0</v>
      </c>
      <c r="C3483" s="626">
        <v>1000000</v>
      </c>
      <c r="D3483" s="626">
        <v>0</v>
      </c>
    </row>
    <row r="3484" spans="1:4" x14ac:dyDescent="0.2">
      <c r="A3484">
        <v>3483</v>
      </c>
      <c r="B3484" s="626">
        <v>0</v>
      </c>
      <c r="C3484" s="626">
        <v>1000000</v>
      </c>
      <c r="D3484" s="626">
        <v>0</v>
      </c>
    </row>
    <row r="3485" spans="1:4" x14ac:dyDescent="0.2">
      <c r="A3485">
        <v>3484</v>
      </c>
      <c r="B3485" s="626">
        <v>0</v>
      </c>
      <c r="C3485" s="626">
        <v>1000000</v>
      </c>
      <c r="D3485" s="626">
        <v>0</v>
      </c>
    </row>
    <row r="3486" spans="1:4" x14ac:dyDescent="0.2">
      <c r="A3486">
        <v>3485</v>
      </c>
      <c r="B3486" s="626">
        <v>0</v>
      </c>
      <c r="C3486" s="626">
        <v>1000000</v>
      </c>
      <c r="D3486" s="626">
        <v>0</v>
      </c>
    </row>
    <row r="3487" spans="1:4" x14ac:dyDescent="0.2">
      <c r="A3487">
        <v>3486</v>
      </c>
      <c r="B3487" s="626">
        <v>0</v>
      </c>
      <c r="C3487" s="626">
        <v>1000000</v>
      </c>
      <c r="D3487" s="626">
        <v>0</v>
      </c>
    </row>
    <row r="3488" spans="1:4" x14ac:dyDescent="0.2">
      <c r="A3488">
        <v>3487</v>
      </c>
      <c r="B3488" s="626">
        <v>0</v>
      </c>
      <c r="C3488" s="626">
        <v>1000000</v>
      </c>
      <c r="D3488" s="626">
        <v>0</v>
      </c>
    </row>
    <row r="3489" spans="1:4" x14ac:dyDescent="0.2">
      <c r="A3489">
        <v>3488</v>
      </c>
      <c r="B3489" s="626">
        <v>0</v>
      </c>
      <c r="C3489" s="626">
        <v>1000000</v>
      </c>
      <c r="D3489" s="626">
        <v>0</v>
      </c>
    </row>
    <row r="3490" spans="1:4" x14ac:dyDescent="0.2">
      <c r="A3490">
        <v>3489</v>
      </c>
      <c r="B3490" s="626">
        <v>0</v>
      </c>
      <c r="C3490" s="626">
        <v>1000000</v>
      </c>
      <c r="D3490" s="626">
        <v>0</v>
      </c>
    </row>
    <row r="3491" spans="1:4" x14ac:dyDescent="0.2">
      <c r="A3491">
        <v>3490</v>
      </c>
      <c r="B3491" s="626">
        <v>0</v>
      </c>
      <c r="C3491" s="626">
        <v>1000000</v>
      </c>
      <c r="D3491" s="626">
        <v>0</v>
      </c>
    </row>
    <row r="3492" spans="1:4" x14ac:dyDescent="0.2">
      <c r="A3492">
        <v>3491</v>
      </c>
      <c r="B3492" s="626">
        <v>0</v>
      </c>
      <c r="C3492" s="626">
        <v>1000000</v>
      </c>
      <c r="D3492" s="626">
        <v>0</v>
      </c>
    </row>
    <row r="3493" spans="1:4" x14ac:dyDescent="0.2">
      <c r="A3493">
        <v>3492</v>
      </c>
      <c r="B3493" s="626">
        <v>0</v>
      </c>
      <c r="C3493" s="626">
        <v>1000000</v>
      </c>
      <c r="D3493" s="626">
        <v>0</v>
      </c>
    </row>
    <row r="3494" spans="1:4" x14ac:dyDescent="0.2">
      <c r="A3494">
        <v>3493</v>
      </c>
      <c r="B3494" s="626">
        <v>0</v>
      </c>
      <c r="C3494" s="626">
        <v>1000000</v>
      </c>
      <c r="D3494" s="626">
        <v>0</v>
      </c>
    </row>
    <row r="3495" spans="1:4" x14ac:dyDescent="0.2">
      <c r="A3495">
        <v>3494</v>
      </c>
      <c r="B3495" s="626">
        <v>0</v>
      </c>
      <c r="C3495" s="626">
        <v>1000000</v>
      </c>
      <c r="D3495" s="626">
        <v>0</v>
      </c>
    </row>
    <row r="3496" spans="1:4" x14ac:dyDescent="0.2">
      <c r="A3496">
        <v>3495</v>
      </c>
      <c r="B3496" s="626">
        <v>0</v>
      </c>
      <c r="C3496" s="626">
        <v>1000000</v>
      </c>
      <c r="D3496" s="626">
        <v>0</v>
      </c>
    </row>
    <row r="3497" spans="1:4" x14ac:dyDescent="0.2">
      <c r="A3497">
        <v>3496</v>
      </c>
      <c r="B3497" s="626">
        <v>0</v>
      </c>
      <c r="C3497" s="626">
        <v>1000000</v>
      </c>
      <c r="D3497" s="626">
        <v>0</v>
      </c>
    </row>
    <row r="3498" spans="1:4" x14ac:dyDescent="0.2">
      <c r="A3498">
        <v>3497</v>
      </c>
      <c r="B3498" s="626">
        <v>0</v>
      </c>
      <c r="C3498" s="626">
        <v>1000000</v>
      </c>
      <c r="D3498" s="626">
        <v>0</v>
      </c>
    </row>
    <row r="3499" spans="1:4" x14ac:dyDescent="0.2">
      <c r="A3499">
        <v>3498</v>
      </c>
      <c r="B3499" s="626">
        <v>0</v>
      </c>
      <c r="C3499" s="626">
        <v>1000000</v>
      </c>
      <c r="D3499" s="626">
        <v>0</v>
      </c>
    </row>
    <row r="3500" spans="1:4" x14ac:dyDescent="0.2">
      <c r="A3500">
        <v>3499</v>
      </c>
      <c r="B3500" s="626">
        <v>0</v>
      </c>
      <c r="C3500" s="626">
        <v>1000000</v>
      </c>
      <c r="D3500" s="626">
        <v>0</v>
      </c>
    </row>
    <row r="3501" spans="1:4" x14ac:dyDescent="0.2">
      <c r="A3501">
        <v>3500</v>
      </c>
      <c r="B3501" s="626">
        <v>0</v>
      </c>
      <c r="C3501" s="626">
        <v>1000000</v>
      </c>
      <c r="D3501" s="626">
        <v>0</v>
      </c>
    </row>
    <row r="3502" spans="1:4" x14ac:dyDescent="0.2">
      <c r="A3502">
        <v>3501</v>
      </c>
      <c r="B3502" s="626">
        <v>0</v>
      </c>
      <c r="C3502" s="626">
        <v>1000000</v>
      </c>
      <c r="D3502" s="626">
        <v>0</v>
      </c>
    </row>
    <row r="3503" spans="1:4" x14ac:dyDescent="0.2">
      <c r="A3503">
        <v>3502</v>
      </c>
      <c r="B3503" s="626">
        <v>0</v>
      </c>
      <c r="C3503" s="626">
        <v>1000000</v>
      </c>
      <c r="D3503" s="626">
        <v>0</v>
      </c>
    </row>
    <row r="3504" spans="1:4" x14ac:dyDescent="0.2">
      <c r="A3504">
        <v>3503</v>
      </c>
      <c r="B3504" s="626">
        <v>0</v>
      </c>
      <c r="C3504" s="626">
        <v>1000000</v>
      </c>
      <c r="D3504" s="626">
        <v>0</v>
      </c>
    </row>
    <row r="3505" spans="1:4" x14ac:dyDescent="0.2">
      <c r="A3505">
        <v>3504</v>
      </c>
      <c r="B3505" s="626">
        <v>0</v>
      </c>
      <c r="C3505" s="626">
        <v>1000000</v>
      </c>
      <c r="D3505" s="626">
        <v>0</v>
      </c>
    </row>
    <row r="3506" spans="1:4" x14ac:dyDescent="0.2">
      <c r="A3506">
        <v>3505</v>
      </c>
      <c r="B3506" s="626">
        <v>0</v>
      </c>
      <c r="C3506" s="626">
        <v>1000000</v>
      </c>
      <c r="D3506" s="626">
        <v>0</v>
      </c>
    </row>
    <row r="3507" spans="1:4" x14ac:dyDescent="0.2">
      <c r="A3507">
        <v>3506</v>
      </c>
      <c r="B3507" s="626">
        <v>0</v>
      </c>
      <c r="C3507" s="626">
        <v>1000000</v>
      </c>
      <c r="D3507" s="626">
        <v>0</v>
      </c>
    </row>
    <row r="3508" spans="1:4" x14ac:dyDescent="0.2">
      <c r="A3508">
        <v>3507</v>
      </c>
      <c r="B3508" s="626">
        <v>0</v>
      </c>
      <c r="C3508" s="626">
        <v>1000000</v>
      </c>
      <c r="D3508" s="626">
        <v>0</v>
      </c>
    </row>
    <row r="3509" spans="1:4" x14ac:dyDescent="0.2">
      <c r="A3509">
        <v>3508</v>
      </c>
      <c r="B3509" s="626">
        <v>0</v>
      </c>
      <c r="C3509" s="626">
        <v>1000000</v>
      </c>
      <c r="D3509" s="626">
        <v>0</v>
      </c>
    </row>
    <row r="3510" spans="1:4" x14ac:dyDescent="0.2">
      <c r="A3510">
        <v>3509</v>
      </c>
      <c r="B3510" s="626">
        <v>0</v>
      </c>
      <c r="C3510" s="626">
        <v>1000000</v>
      </c>
      <c r="D3510" s="626">
        <v>0</v>
      </c>
    </row>
    <row r="3511" spans="1:4" x14ac:dyDescent="0.2">
      <c r="A3511">
        <v>3510</v>
      </c>
      <c r="B3511" s="626">
        <v>0</v>
      </c>
      <c r="C3511" s="626">
        <v>1000000</v>
      </c>
      <c r="D3511" s="626">
        <v>0</v>
      </c>
    </row>
    <row r="3512" spans="1:4" x14ac:dyDescent="0.2">
      <c r="A3512">
        <v>3511</v>
      </c>
      <c r="B3512" s="626">
        <v>0</v>
      </c>
      <c r="C3512" s="626">
        <v>1000000</v>
      </c>
      <c r="D3512" s="626">
        <v>0</v>
      </c>
    </row>
    <row r="3513" spans="1:4" x14ac:dyDescent="0.2">
      <c r="A3513">
        <v>3512</v>
      </c>
      <c r="B3513" s="626">
        <v>0</v>
      </c>
      <c r="C3513" s="626">
        <v>1000000</v>
      </c>
      <c r="D3513" s="626">
        <v>0</v>
      </c>
    </row>
    <row r="3514" spans="1:4" x14ac:dyDescent="0.2">
      <c r="A3514">
        <v>3513</v>
      </c>
      <c r="B3514" s="626">
        <v>0</v>
      </c>
      <c r="C3514" s="626">
        <v>1000000</v>
      </c>
      <c r="D3514" s="626">
        <v>0</v>
      </c>
    </row>
    <row r="3515" spans="1:4" x14ac:dyDescent="0.2">
      <c r="A3515">
        <v>3514</v>
      </c>
      <c r="B3515" s="626">
        <v>0</v>
      </c>
      <c r="C3515" s="626">
        <v>1000000</v>
      </c>
      <c r="D3515" s="626">
        <v>0</v>
      </c>
    </row>
    <row r="3516" spans="1:4" x14ac:dyDescent="0.2">
      <c r="A3516">
        <v>3515</v>
      </c>
      <c r="B3516" s="626">
        <v>0</v>
      </c>
      <c r="C3516" s="626">
        <v>1000000</v>
      </c>
      <c r="D3516" s="626">
        <v>0</v>
      </c>
    </row>
    <row r="3517" spans="1:4" x14ac:dyDescent="0.2">
      <c r="A3517">
        <v>3516</v>
      </c>
      <c r="B3517" s="626">
        <v>0</v>
      </c>
      <c r="C3517" s="626">
        <v>1000000</v>
      </c>
      <c r="D3517" s="626">
        <v>0</v>
      </c>
    </row>
    <row r="3518" spans="1:4" x14ac:dyDescent="0.2">
      <c r="A3518">
        <v>3517</v>
      </c>
      <c r="B3518" s="626">
        <v>0</v>
      </c>
      <c r="C3518" s="626">
        <v>1000000</v>
      </c>
      <c r="D3518" s="626">
        <v>0</v>
      </c>
    </row>
    <row r="3519" spans="1:4" x14ac:dyDescent="0.2">
      <c r="A3519">
        <v>3518</v>
      </c>
      <c r="B3519" s="626">
        <v>0</v>
      </c>
      <c r="C3519" s="626">
        <v>1000000</v>
      </c>
      <c r="D3519" s="626">
        <v>0</v>
      </c>
    </row>
    <row r="3520" spans="1:4" x14ac:dyDescent="0.2">
      <c r="A3520">
        <v>3519</v>
      </c>
      <c r="B3520" s="626">
        <v>0</v>
      </c>
      <c r="C3520" s="626">
        <v>1000000</v>
      </c>
      <c r="D3520" s="626">
        <v>0</v>
      </c>
    </row>
    <row r="3521" spans="1:4" x14ac:dyDescent="0.2">
      <c r="A3521">
        <v>3520</v>
      </c>
      <c r="B3521" s="626">
        <v>0</v>
      </c>
      <c r="C3521" s="626">
        <v>1000000</v>
      </c>
      <c r="D3521" s="626">
        <v>0</v>
      </c>
    </row>
    <row r="3522" spans="1:4" x14ac:dyDescent="0.2">
      <c r="A3522">
        <v>3521</v>
      </c>
      <c r="B3522" s="626">
        <v>0</v>
      </c>
      <c r="C3522" s="626">
        <v>1000000</v>
      </c>
      <c r="D3522" s="626">
        <v>0</v>
      </c>
    </row>
    <row r="3523" spans="1:4" x14ac:dyDescent="0.2">
      <c r="A3523">
        <v>3522</v>
      </c>
      <c r="B3523" s="626">
        <v>0</v>
      </c>
      <c r="C3523" s="626">
        <v>1000000</v>
      </c>
      <c r="D3523" s="626">
        <v>0</v>
      </c>
    </row>
    <row r="3524" spans="1:4" x14ac:dyDescent="0.2">
      <c r="A3524">
        <v>3523</v>
      </c>
      <c r="B3524" s="626">
        <v>0</v>
      </c>
      <c r="C3524" s="626">
        <v>1000000</v>
      </c>
      <c r="D3524" s="626">
        <v>0</v>
      </c>
    </row>
    <row r="3525" spans="1:4" x14ac:dyDescent="0.2">
      <c r="A3525">
        <v>3524</v>
      </c>
      <c r="B3525" s="626">
        <v>0</v>
      </c>
      <c r="C3525" s="626">
        <v>1000000</v>
      </c>
      <c r="D3525" s="626">
        <v>0</v>
      </c>
    </row>
    <row r="3526" spans="1:4" x14ac:dyDescent="0.2">
      <c r="A3526">
        <v>3525</v>
      </c>
      <c r="B3526" s="626">
        <v>0</v>
      </c>
      <c r="C3526" s="626">
        <v>1000000</v>
      </c>
      <c r="D3526" s="626">
        <v>0</v>
      </c>
    </row>
    <row r="3527" spans="1:4" x14ac:dyDescent="0.2">
      <c r="A3527">
        <v>3526</v>
      </c>
      <c r="B3527" s="626">
        <v>0</v>
      </c>
      <c r="C3527" s="626">
        <v>1000000</v>
      </c>
      <c r="D3527" s="626">
        <v>0</v>
      </c>
    </row>
    <row r="3528" spans="1:4" x14ac:dyDescent="0.2">
      <c r="A3528">
        <v>3527</v>
      </c>
      <c r="B3528" s="626">
        <v>0</v>
      </c>
      <c r="C3528" s="626">
        <v>1000000</v>
      </c>
      <c r="D3528" s="626">
        <v>0</v>
      </c>
    </row>
    <row r="3529" spans="1:4" x14ac:dyDescent="0.2">
      <c r="A3529">
        <v>3528</v>
      </c>
      <c r="B3529" s="626">
        <v>0</v>
      </c>
      <c r="C3529" s="626">
        <v>1000000</v>
      </c>
      <c r="D3529" s="626">
        <v>0</v>
      </c>
    </row>
    <row r="3530" spans="1:4" x14ac:dyDescent="0.2">
      <c r="A3530">
        <v>3529</v>
      </c>
      <c r="B3530" s="626">
        <v>0</v>
      </c>
      <c r="C3530" s="626">
        <v>1000000</v>
      </c>
      <c r="D3530" s="626">
        <v>0</v>
      </c>
    </row>
    <row r="3531" spans="1:4" x14ac:dyDescent="0.2">
      <c r="A3531">
        <v>3530</v>
      </c>
      <c r="B3531" s="626">
        <v>0</v>
      </c>
      <c r="C3531" s="626">
        <v>1000000</v>
      </c>
      <c r="D3531" s="626">
        <v>0</v>
      </c>
    </row>
    <row r="3532" spans="1:4" x14ac:dyDescent="0.2">
      <c r="A3532">
        <v>3531</v>
      </c>
      <c r="B3532" s="626">
        <v>0</v>
      </c>
      <c r="C3532" s="626">
        <v>1000000</v>
      </c>
      <c r="D3532" s="626">
        <v>0</v>
      </c>
    </row>
    <row r="3533" spans="1:4" x14ac:dyDescent="0.2">
      <c r="A3533">
        <v>3532</v>
      </c>
      <c r="B3533" s="626">
        <v>0</v>
      </c>
      <c r="C3533" s="626">
        <v>1000000</v>
      </c>
      <c r="D3533" s="626">
        <v>0</v>
      </c>
    </row>
    <row r="3534" spans="1:4" x14ac:dyDescent="0.2">
      <c r="A3534">
        <v>3533</v>
      </c>
      <c r="B3534" s="626">
        <v>0</v>
      </c>
      <c r="C3534" s="626">
        <v>1000000</v>
      </c>
      <c r="D3534" s="626">
        <v>0</v>
      </c>
    </row>
    <row r="3535" spans="1:4" x14ac:dyDescent="0.2">
      <c r="A3535">
        <v>3534</v>
      </c>
      <c r="B3535" s="626">
        <v>0</v>
      </c>
      <c r="C3535" s="626">
        <v>1000000</v>
      </c>
      <c r="D3535" s="626">
        <v>0</v>
      </c>
    </row>
    <row r="3536" spans="1:4" x14ac:dyDescent="0.2">
      <c r="A3536">
        <v>3535</v>
      </c>
      <c r="B3536" s="626">
        <v>0</v>
      </c>
      <c r="C3536" s="626">
        <v>1000000</v>
      </c>
      <c r="D3536" s="626">
        <v>0</v>
      </c>
    </row>
    <row r="3537" spans="1:4" x14ac:dyDescent="0.2">
      <c r="A3537">
        <v>3536</v>
      </c>
      <c r="B3537" s="626">
        <v>0</v>
      </c>
      <c r="C3537" s="626">
        <v>1000000</v>
      </c>
      <c r="D3537" s="626">
        <v>0</v>
      </c>
    </row>
    <row r="3538" spans="1:4" x14ac:dyDescent="0.2">
      <c r="A3538">
        <v>3537</v>
      </c>
      <c r="B3538" s="626">
        <v>0</v>
      </c>
      <c r="C3538" s="626">
        <v>1000000</v>
      </c>
      <c r="D3538" s="626">
        <v>0</v>
      </c>
    </row>
    <row r="3539" spans="1:4" x14ac:dyDescent="0.2">
      <c r="A3539">
        <v>3538</v>
      </c>
      <c r="B3539" s="626">
        <v>0</v>
      </c>
      <c r="C3539" s="626">
        <v>1000000</v>
      </c>
      <c r="D3539" s="626">
        <v>0</v>
      </c>
    </row>
    <row r="3540" spans="1:4" x14ac:dyDescent="0.2">
      <c r="A3540">
        <v>3539</v>
      </c>
      <c r="B3540" s="626">
        <v>0</v>
      </c>
      <c r="C3540" s="626">
        <v>1000000</v>
      </c>
      <c r="D3540" s="626">
        <v>0</v>
      </c>
    </row>
    <row r="3541" spans="1:4" x14ac:dyDescent="0.2">
      <c r="A3541">
        <v>3540</v>
      </c>
      <c r="B3541" s="626">
        <v>0</v>
      </c>
      <c r="C3541" s="626">
        <v>1000000</v>
      </c>
      <c r="D3541" s="626">
        <v>0</v>
      </c>
    </row>
    <row r="3542" spans="1:4" x14ac:dyDescent="0.2">
      <c r="A3542">
        <v>3541</v>
      </c>
      <c r="B3542" s="626">
        <v>0</v>
      </c>
      <c r="C3542" s="626">
        <v>1000000</v>
      </c>
      <c r="D3542" s="626">
        <v>0</v>
      </c>
    </row>
    <row r="3543" spans="1:4" x14ac:dyDescent="0.2">
      <c r="A3543">
        <v>3542</v>
      </c>
      <c r="B3543" s="626">
        <v>0</v>
      </c>
      <c r="C3543" s="626">
        <v>1000000</v>
      </c>
      <c r="D3543" s="626">
        <v>0</v>
      </c>
    </row>
    <row r="3544" spans="1:4" x14ac:dyDescent="0.2">
      <c r="A3544">
        <v>3543</v>
      </c>
      <c r="B3544" s="626">
        <v>0</v>
      </c>
      <c r="C3544" s="626">
        <v>1000000</v>
      </c>
      <c r="D3544" s="626">
        <v>0</v>
      </c>
    </row>
    <row r="3545" spans="1:4" x14ac:dyDescent="0.2">
      <c r="A3545">
        <v>3544</v>
      </c>
      <c r="B3545" s="626">
        <v>0</v>
      </c>
      <c r="C3545" s="626">
        <v>1000000</v>
      </c>
      <c r="D3545" s="626">
        <v>0</v>
      </c>
    </row>
    <row r="3546" spans="1:4" x14ac:dyDescent="0.2">
      <c r="A3546">
        <v>3545</v>
      </c>
      <c r="B3546" s="626">
        <v>0</v>
      </c>
      <c r="C3546" s="626">
        <v>1000000</v>
      </c>
      <c r="D3546" s="626">
        <v>0</v>
      </c>
    </row>
    <row r="3547" spans="1:4" x14ac:dyDescent="0.2">
      <c r="A3547">
        <v>3546</v>
      </c>
      <c r="B3547" s="626">
        <v>0</v>
      </c>
      <c r="C3547" s="626">
        <v>1000000</v>
      </c>
      <c r="D3547" s="626">
        <v>0</v>
      </c>
    </row>
    <row r="3548" spans="1:4" x14ac:dyDescent="0.2">
      <c r="A3548">
        <v>3547</v>
      </c>
      <c r="B3548" s="626">
        <v>0</v>
      </c>
      <c r="C3548" s="626">
        <v>1000000</v>
      </c>
      <c r="D3548" s="626">
        <v>0</v>
      </c>
    </row>
    <row r="3549" spans="1:4" x14ac:dyDescent="0.2">
      <c r="A3549">
        <v>3548</v>
      </c>
      <c r="B3549" s="626">
        <v>0</v>
      </c>
      <c r="C3549" s="626">
        <v>1000000</v>
      </c>
      <c r="D3549" s="626">
        <v>0</v>
      </c>
    </row>
    <row r="3550" spans="1:4" x14ac:dyDescent="0.2">
      <c r="A3550">
        <v>3549</v>
      </c>
      <c r="B3550" s="626">
        <v>0</v>
      </c>
      <c r="C3550" s="626">
        <v>1000000</v>
      </c>
      <c r="D3550" s="626">
        <v>0</v>
      </c>
    </row>
    <row r="3551" spans="1:4" x14ac:dyDescent="0.2">
      <c r="A3551">
        <v>3550</v>
      </c>
      <c r="B3551" s="626">
        <v>0</v>
      </c>
      <c r="C3551" s="626">
        <v>1000000</v>
      </c>
      <c r="D3551" s="626">
        <v>0</v>
      </c>
    </row>
    <row r="3552" spans="1:4" x14ac:dyDescent="0.2">
      <c r="A3552">
        <v>3551</v>
      </c>
      <c r="B3552" s="626">
        <v>0</v>
      </c>
      <c r="C3552" s="626">
        <v>1000000</v>
      </c>
      <c r="D3552" s="626">
        <v>0</v>
      </c>
    </row>
    <row r="3553" spans="1:4" x14ac:dyDescent="0.2">
      <c r="A3553">
        <v>3552</v>
      </c>
      <c r="B3553" s="626">
        <v>0</v>
      </c>
      <c r="C3553" s="626">
        <v>1000000</v>
      </c>
      <c r="D3553" s="626">
        <v>0</v>
      </c>
    </row>
    <row r="3554" spans="1:4" x14ac:dyDescent="0.2">
      <c r="A3554">
        <v>3553</v>
      </c>
      <c r="B3554" s="626">
        <v>0</v>
      </c>
      <c r="C3554" s="626">
        <v>1000000</v>
      </c>
      <c r="D3554" s="626">
        <v>0</v>
      </c>
    </row>
    <row r="3555" spans="1:4" x14ac:dyDescent="0.2">
      <c r="A3555">
        <v>3554</v>
      </c>
      <c r="B3555" s="626">
        <v>0</v>
      </c>
      <c r="C3555" s="626">
        <v>1000000</v>
      </c>
      <c r="D3555" s="626">
        <v>0</v>
      </c>
    </row>
    <row r="3556" spans="1:4" x14ac:dyDescent="0.2">
      <c r="A3556">
        <v>3555</v>
      </c>
      <c r="B3556" s="626">
        <v>0</v>
      </c>
      <c r="C3556" s="626">
        <v>1000000</v>
      </c>
      <c r="D3556" s="626">
        <v>0</v>
      </c>
    </row>
    <row r="3557" spans="1:4" x14ac:dyDescent="0.2">
      <c r="A3557">
        <v>3556</v>
      </c>
      <c r="B3557" s="626">
        <v>0</v>
      </c>
      <c r="C3557" s="626">
        <v>1000000</v>
      </c>
      <c r="D3557" s="626">
        <v>0</v>
      </c>
    </row>
    <row r="3558" spans="1:4" x14ac:dyDescent="0.2">
      <c r="A3558">
        <v>3557</v>
      </c>
      <c r="B3558" s="626">
        <v>0</v>
      </c>
      <c r="C3558" s="626">
        <v>1000000</v>
      </c>
      <c r="D3558" s="626">
        <v>0</v>
      </c>
    </row>
    <row r="3559" spans="1:4" x14ac:dyDescent="0.2">
      <c r="A3559">
        <v>3558</v>
      </c>
      <c r="B3559" s="626">
        <v>0</v>
      </c>
      <c r="C3559" s="626">
        <v>1000000</v>
      </c>
      <c r="D3559" s="626">
        <v>0</v>
      </c>
    </row>
    <row r="3560" spans="1:4" x14ac:dyDescent="0.2">
      <c r="A3560">
        <v>3559</v>
      </c>
      <c r="B3560" s="626">
        <v>0</v>
      </c>
      <c r="C3560" s="626">
        <v>1000000</v>
      </c>
      <c r="D3560" s="626">
        <v>0</v>
      </c>
    </row>
    <row r="3561" spans="1:4" x14ac:dyDescent="0.2">
      <c r="A3561">
        <v>3560</v>
      </c>
      <c r="B3561" s="626">
        <v>0</v>
      </c>
      <c r="C3561" s="626">
        <v>1000000</v>
      </c>
      <c r="D3561" s="626">
        <v>0</v>
      </c>
    </row>
    <row r="3562" spans="1:4" x14ac:dyDescent="0.2">
      <c r="A3562">
        <v>3561</v>
      </c>
      <c r="B3562" s="626">
        <v>0</v>
      </c>
      <c r="C3562" s="626">
        <v>1000000</v>
      </c>
      <c r="D3562" s="626">
        <v>0</v>
      </c>
    </row>
    <row r="3563" spans="1:4" x14ac:dyDescent="0.2">
      <c r="A3563">
        <v>3562</v>
      </c>
      <c r="B3563" s="626">
        <v>0</v>
      </c>
      <c r="C3563" s="626">
        <v>1000000</v>
      </c>
      <c r="D3563" s="626">
        <v>0</v>
      </c>
    </row>
    <row r="3564" spans="1:4" x14ac:dyDescent="0.2">
      <c r="A3564">
        <v>3563</v>
      </c>
      <c r="B3564" s="626">
        <v>0</v>
      </c>
      <c r="C3564" s="626">
        <v>1000000</v>
      </c>
      <c r="D3564" s="626">
        <v>0</v>
      </c>
    </row>
    <row r="3565" spans="1:4" x14ac:dyDescent="0.2">
      <c r="A3565">
        <v>3564</v>
      </c>
      <c r="B3565" s="626">
        <v>0</v>
      </c>
      <c r="C3565" s="626">
        <v>1000000</v>
      </c>
      <c r="D3565" s="626">
        <v>0</v>
      </c>
    </row>
    <row r="3566" spans="1:4" x14ac:dyDescent="0.2">
      <c r="A3566">
        <v>3565</v>
      </c>
      <c r="B3566" s="626">
        <v>0</v>
      </c>
      <c r="C3566" s="626">
        <v>1000000</v>
      </c>
      <c r="D3566" s="626">
        <v>0</v>
      </c>
    </row>
    <row r="3567" spans="1:4" x14ac:dyDescent="0.2">
      <c r="A3567">
        <v>3566</v>
      </c>
      <c r="B3567" s="626">
        <v>0</v>
      </c>
      <c r="C3567" s="626">
        <v>1000000</v>
      </c>
      <c r="D3567" s="626">
        <v>0</v>
      </c>
    </row>
    <row r="3568" spans="1:4" x14ac:dyDescent="0.2">
      <c r="A3568">
        <v>3567</v>
      </c>
      <c r="B3568" s="626">
        <v>0</v>
      </c>
      <c r="C3568" s="626">
        <v>1000000</v>
      </c>
      <c r="D3568" s="626">
        <v>0</v>
      </c>
    </row>
    <row r="3569" spans="1:4" x14ac:dyDescent="0.2">
      <c r="A3569">
        <v>3568</v>
      </c>
      <c r="B3569" s="626">
        <v>0</v>
      </c>
      <c r="C3569" s="626">
        <v>1000000</v>
      </c>
      <c r="D3569" s="626">
        <v>0</v>
      </c>
    </row>
    <row r="3570" spans="1:4" x14ac:dyDescent="0.2">
      <c r="A3570">
        <v>3569</v>
      </c>
      <c r="B3570" s="626">
        <v>0</v>
      </c>
      <c r="C3570" s="626">
        <v>1000000</v>
      </c>
      <c r="D3570" s="626">
        <v>0</v>
      </c>
    </row>
    <row r="3571" spans="1:4" x14ac:dyDescent="0.2">
      <c r="A3571">
        <v>3570</v>
      </c>
      <c r="B3571" s="626">
        <v>0</v>
      </c>
      <c r="C3571" s="626">
        <v>1000000</v>
      </c>
      <c r="D3571" s="626">
        <v>0</v>
      </c>
    </row>
    <row r="3572" spans="1:4" x14ac:dyDescent="0.2">
      <c r="A3572">
        <v>3571</v>
      </c>
      <c r="B3572" s="626">
        <v>0</v>
      </c>
      <c r="C3572" s="626">
        <v>1000000</v>
      </c>
      <c r="D3572" s="626">
        <v>0</v>
      </c>
    </row>
    <row r="3573" spans="1:4" x14ac:dyDescent="0.2">
      <c r="A3573">
        <v>3572</v>
      </c>
      <c r="B3573" s="626">
        <v>0</v>
      </c>
      <c r="C3573" s="626">
        <v>1000000</v>
      </c>
      <c r="D3573" s="626">
        <v>0</v>
      </c>
    </row>
    <row r="3574" spans="1:4" x14ac:dyDescent="0.2">
      <c r="A3574">
        <v>3573</v>
      </c>
      <c r="B3574" s="626">
        <v>0</v>
      </c>
      <c r="C3574" s="626">
        <v>1000000</v>
      </c>
      <c r="D3574" s="626">
        <v>0</v>
      </c>
    </row>
    <row r="3575" spans="1:4" x14ac:dyDescent="0.2">
      <c r="A3575">
        <v>3574</v>
      </c>
      <c r="B3575" s="626">
        <v>0</v>
      </c>
      <c r="C3575" s="626">
        <v>1000000</v>
      </c>
      <c r="D3575" s="626">
        <v>0</v>
      </c>
    </row>
    <row r="3576" spans="1:4" x14ac:dyDescent="0.2">
      <c r="A3576">
        <v>3575</v>
      </c>
      <c r="B3576" s="626">
        <v>0</v>
      </c>
      <c r="C3576" s="626">
        <v>1000000</v>
      </c>
      <c r="D3576" s="626">
        <v>0</v>
      </c>
    </row>
    <row r="3577" spans="1:4" x14ac:dyDescent="0.2">
      <c r="A3577">
        <v>3576</v>
      </c>
      <c r="B3577" s="626">
        <v>0</v>
      </c>
      <c r="C3577" s="626">
        <v>1000000</v>
      </c>
      <c r="D3577" s="626">
        <v>0</v>
      </c>
    </row>
    <row r="3578" spans="1:4" x14ac:dyDescent="0.2">
      <c r="A3578">
        <v>3577</v>
      </c>
      <c r="B3578" s="626">
        <v>0</v>
      </c>
      <c r="C3578" s="626">
        <v>1000000</v>
      </c>
      <c r="D3578" s="626">
        <v>0</v>
      </c>
    </row>
    <row r="3579" spans="1:4" x14ac:dyDescent="0.2">
      <c r="A3579">
        <v>3578</v>
      </c>
      <c r="B3579" s="626">
        <v>0</v>
      </c>
      <c r="C3579" s="626">
        <v>1000000</v>
      </c>
      <c r="D3579" s="626">
        <v>0</v>
      </c>
    </row>
    <row r="3580" spans="1:4" x14ac:dyDescent="0.2">
      <c r="A3580">
        <v>3579</v>
      </c>
      <c r="B3580" s="626">
        <v>0</v>
      </c>
      <c r="C3580" s="626">
        <v>1000000</v>
      </c>
      <c r="D3580" s="626">
        <v>0</v>
      </c>
    </row>
    <row r="3581" spans="1:4" x14ac:dyDescent="0.2">
      <c r="A3581">
        <v>3580</v>
      </c>
      <c r="B3581" s="626">
        <v>0</v>
      </c>
      <c r="C3581" s="626">
        <v>1000000</v>
      </c>
      <c r="D3581" s="626">
        <v>0</v>
      </c>
    </row>
    <row r="3582" spans="1:4" x14ac:dyDescent="0.2">
      <c r="A3582">
        <v>3581</v>
      </c>
      <c r="B3582" s="626">
        <v>0</v>
      </c>
      <c r="C3582" s="626">
        <v>1000000</v>
      </c>
      <c r="D3582" s="626">
        <v>0</v>
      </c>
    </row>
    <row r="3583" spans="1:4" x14ac:dyDescent="0.2">
      <c r="A3583">
        <v>3582</v>
      </c>
      <c r="B3583" s="626">
        <v>0</v>
      </c>
      <c r="C3583" s="626">
        <v>1000000</v>
      </c>
      <c r="D3583" s="626">
        <v>0</v>
      </c>
    </row>
    <row r="3584" spans="1:4" x14ac:dyDescent="0.2">
      <c r="A3584">
        <v>3583</v>
      </c>
      <c r="B3584" s="626">
        <v>0</v>
      </c>
      <c r="C3584" s="626">
        <v>1000000</v>
      </c>
      <c r="D3584" s="626">
        <v>0</v>
      </c>
    </row>
    <row r="3585" spans="1:4" x14ac:dyDescent="0.2">
      <c r="A3585">
        <v>3584</v>
      </c>
      <c r="B3585" s="626">
        <v>0</v>
      </c>
      <c r="C3585" s="626">
        <v>1000000</v>
      </c>
      <c r="D3585" s="626">
        <v>0</v>
      </c>
    </row>
    <row r="3586" spans="1:4" x14ac:dyDescent="0.2">
      <c r="A3586">
        <v>3585</v>
      </c>
      <c r="B3586" s="626">
        <v>0</v>
      </c>
      <c r="C3586" s="626">
        <v>1000000</v>
      </c>
      <c r="D3586" s="626">
        <v>0</v>
      </c>
    </row>
    <row r="3587" spans="1:4" x14ac:dyDescent="0.2">
      <c r="A3587">
        <v>3586</v>
      </c>
      <c r="B3587" s="626">
        <v>0</v>
      </c>
      <c r="C3587" s="626">
        <v>1000000</v>
      </c>
      <c r="D3587" s="626">
        <v>0</v>
      </c>
    </row>
    <row r="3588" spans="1:4" x14ac:dyDescent="0.2">
      <c r="A3588">
        <v>3587</v>
      </c>
      <c r="B3588" s="626">
        <v>0</v>
      </c>
      <c r="C3588" s="626">
        <v>1000000</v>
      </c>
      <c r="D3588" s="626">
        <v>0</v>
      </c>
    </row>
    <row r="3589" spans="1:4" x14ac:dyDescent="0.2">
      <c r="A3589">
        <v>3588</v>
      </c>
      <c r="B3589" s="626">
        <v>0</v>
      </c>
      <c r="C3589" s="626">
        <v>1000000</v>
      </c>
      <c r="D3589" s="626">
        <v>0</v>
      </c>
    </row>
    <row r="3590" spans="1:4" x14ac:dyDescent="0.2">
      <c r="A3590">
        <v>3589</v>
      </c>
      <c r="B3590" s="626">
        <v>0</v>
      </c>
      <c r="C3590" s="626">
        <v>1000000</v>
      </c>
      <c r="D3590" s="626">
        <v>0</v>
      </c>
    </row>
    <row r="3591" spans="1:4" x14ac:dyDescent="0.2">
      <c r="A3591">
        <v>3590</v>
      </c>
      <c r="B3591" s="626">
        <v>0</v>
      </c>
      <c r="C3591" s="626">
        <v>1000000</v>
      </c>
      <c r="D3591" s="626">
        <v>0</v>
      </c>
    </row>
    <row r="3592" spans="1:4" x14ac:dyDescent="0.2">
      <c r="A3592">
        <v>3591</v>
      </c>
      <c r="B3592" s="626">
        <v>0</v>
      </c>
      <c r="C3592" s="626">
        <v>1000000</v>
      </c>
      <c r="D3592" s="626">
        <v>0</v>
      </c>
    </row>
    <row r="3593" spans="1:4" x14ac:dyDescent="0.2">
      <c r="A3593">
        <v>3592</v>
      </c>
      <c r="B3593" s="626">
        <v>0</v>
      </c>
      <c r="C3593" s="626">
        <v>1000000</v>
      </c>
      <c r="D3593" s="626">
        <v>0</v>
      </c>
    </row>
    <row r="3594" spans="1:4" x14ac:dyDescent="0.2">
      <c r="A3594">
        <v>3593</v>
      </c>
      <c r="B3594" s="626">
        <v>0</v>
      </c>
      <c r="C3594" s="626">
        <v>1000000</v>
      </c>
      <c r="D3594" s="626">
        <v>0</v>
      </c>
    </row>
    <row r="3595" spans="1:4" x14ac:dyDescent="0.2">
      <c r="A3595">
        <v>3594</v>
      </c>
      <c r="B3595" s="626">
        <v>0</v>
      </c>
      <c r="C3595" s="626">
        <v>1000000</v>
      </c>
      <c r="D3595" s="626">
        <v>0</v>
      </c>
    </row>
    <row r="3596" spans="1:4" x14ac:dyDescent="0.2">
      <c r="A3596">
        <v>3595</v>
      </c>
      <c r="B3596" s="626">
        <v>0</v>
      </c>
      <c r="C3596" s="626">
        <v>1000000</v>
      </c>
      <c r="D3596" s="626">
        <v>0</v>
      </c>
    </row>
    <row r="3597" spans="1:4" x14ac:dyDescent="0.2">
      <c r="A3597">
        <v>3596</v>
      </c>
      <c r="B3597" s="626">
        <v>0</v>
      </c>
      <c r="C3597" s="626">
        <v>1000000</v>
      </c>
      <c r="D3597" s="626">
        <v>0</v>
      </c>
    </row>
    <row r="3598" spans="1:4" x14ac:dyDescent="0.2">
      <c r="A3598">
        <v>3597</v>
      </c>
      <c r="B3598" s="626">
        <v>0</v>
      </c>
      <c r="C3598" s="626">
        <v>1000000</v>
      </c>
      <c r="D3598" s="626">
        <v>0</v>
      </c>
    </row>
    <row r="3599" spans="1:4" x14ac:dyDescent="0.2">
      <c r="A3599">
        <v>3598</v>
      </c>
      <c r="B3599" s="626">
        <v>0</v>
      </c>
      <c r="C3599" s="626">
        <v>1000000</v>
      </c>
      <c r="D3599" s="626">
        <v>0</v>
      </c>
    </row>
    <row r="3600" spans="1:4" x14ac:dyDescent="0.2">
      <c r="A3600">
        <v>3599</v>
      </c>
      <c r="B3600" s="626">
        <v>0</v>
      </c>
      <c r="C3600" s="626">
        <v>1000000</v>
      </c>
      <c r="D3600" s="626">
        <v>0</v>
      </c>
    </row>
    <row r="3601" spans="1:4" x14ac:dyDescent="0.2">
      <c r="A3601">
        <v>3600</v>
      </c>
      <c r="B3601" s="626">
        <v>0</v>
      </c>
      <c r="C3601" s="626">
        <v>1000000</v>
      </c>
      <c r="D3601" s="626">
        <v>0</v>
      </c>
    </row>
    <row r="3602" spans="1:4" x14ac:dyDescent="0.2">
      <c r="A3602">
        <v>3601</v>
      </c>
      <c r="B3602" s="626">
        <v>0</v>
      </c>
      <c r="C3602" s="626">
        <v>1000000</v>
      </c>
      <c r="D3602" s="626">
        <v>0</v>
      </c>
    </row>
    <row r="3603" spans="1:4" x14ac:dyDescent="0.2">
      <c r="A3603">
        <v>3602</v>
      </c>
      <c r="B3603" s="626">
        <v>0</v>
      </c>
      <c r="C3603" s="626">
        <v>1000000</v>
      </c>
      <c r="D3603" s="626">
        <v>0</v>
      </c>
    </row>
    <row r="3604" spans="1:4" x14ac:dyDescent="0.2">
      <c r="A3604">
        <v>3603</v>
      </c>
      <c r="B3604" s="626">
        <v>0</v>
      </c>
      <c r="C3604" s="626">
        <v>1000000</v>
      </c>
      <c r="D3604" s="626">
        <v>0</v>
      </c>
    </row>
    <row r="3605" spans="1:4" x14ac:dyDescent="0.2">
      <c r="A3605">
        <v>3604</v>
      </c>
      <c r="B3605" s="626">
        <v>0</v>
      </c>
      <c r="C3605" s="626">
        <v>1000000</v>
      </c>
      <c r="D3605" s="626">
        <v>0</v>
      </c>
    </row>
    <row r="3606" spans="1:4" x14ac:dyDescent="0.2">
      <c r="A3606">
        <v>3605</v>
      </c>
      <c r="B3606" s="626">
        <v>0</v>
      </c>
      <c r="C3606" s="626">
        <v>1000000</v>
      </c>
      <c r="D3606" s="626">
        <v>0</v>
      </c>
    </row>
    <row r="3607" spans="1:4" x14ac:dyDescent="0.2">
      <c r="A3607">
        <v>3606</v>
      </c>
      <c r="B3607" s="626">
        <v>0</v>
      </c>
      <c r="C3607" s="626">
        <v>1000000</v>
      </c>
      <c r="D3607" s="626">
        <v>0</v>
      </c>
    </row>
    <row r="3608" spans="1:4" x14ac:dyDescent="0.2">
      <c r="A3608">
        <v>3607</v>
      </c>
      <c r="B3608" s="626">
        <v>0</v>
      </c>
      <c r="C3608" s="626">
        <v>1000000</v>
      </c>
      <c r="D3608" s="626">
        <v>0</v>
      </c>
    </row>
    <row r="3609" spans="1:4" x14ac:dyDescent="0.2">
      <c r="A3609">
        <v>3608</v>
      </c>
      <c r="B3609" s="626">
        <v>0</v>
      </c>
      <c r="C3609" s="626">
        <v>1000000</v>
      </c>
      <c r="D3609" s="626">
        <v>0</v>
      </c>
    </row>
    <row r="3610" spans="1:4" x14ac:dyDescent="0.2">
      <c r="A3610">
        <v>3609</v>
      </c>
      <c r="B3610" s="626">
        <v>0</v>
      </c>
      <c r="C3610" s="626">
        <v>1000000</v>
      </c>
      <c r="D3610" s="626">
        <v>0</v>
      </c>
    </row>
    <row r="3611" spans="1:4" x14ac:dyDescent="0.2">
      <c r="A3611">
        <v>3610</v>
      </c>
      <c r="B3611" s="626">
        <v>0</v>
      </c>
      <c r="C3611" s="626">
        <v>1000000</v>
      </c>
      <c r="D3611" s="626">
        <v>0</v>
      </c>
    </row>
    <row r="3612" spans="1:4" x14ac:dyDescent="0.2">
      <c r="A3612">
        <v>3611</v>
      </c>
      <c r="B3612" s="626">
        <v>0</v>
      </c>
      <c r="C3612" s="626">
        <v>1000000</v>
      </c>
      <c r="D3612" s="626">
        <v>0</v>
      </c>
    </row>
    <row r="3613" spans="1:4" x14ac:dyDescent="0.2">
      <c r="A3613">
        <v>3612</v>
      </c>
      <c r="B3613" s="626">
        <v>0</v>
      </c>
      <c r="C3613" s="626">
        <v>1000000</v>
      </c>
      <c r="D3613" s="626">
        <v>0</v>
      </c>
    </row>
    <row r="3614" spans="1:4" x14ac:dyDescent="0.2">
      <c r="A3614">
        <v>3613</v>
      </c>
      <c r="B3614" s="626">
        <v>0</v>
      </c>
      <c r="C3614" s="626">
        <v>1000000</v>
      </c>
      <c r="D3614" s="626">
        <v>0</v>
      </c>
    </row>
    <row r="3615" spans="1:4" x14ac:dyDescent="0.2">
      <c r="A3615">
        <v>3614</v>
      </c>
      <c r="B3615" s="626">
        <v>0</v>
      </c>
      <c r="C3615" s="626">
        <v>1000000</v>
      </c>
      <c r="D3615" s="626">
        <v>0</v>
      </c>
    </row>
    <row r="3616" spans="1:4" x14ac:dyDescent="0.2">
      <c r="A3616">
        <v>3615</v>
      </c>
      <c r="B3616" s="626">
        <v>0</v>
      </c>
      <c r="C3616" s="626">
        <v>1000000</v>
      </c>
      <c r="D3616" s="626">
        <v>0</v>
      </c>
    </row>
    <row r="3617" spans="1:4" x14ac:dyDescent="0.2">
      <c r="A3617">
        <v>3616</v>
      </c>
      <c r="B3617" s="626">
        <v>0</v>
      </c>
      <c r="C3617" s="626">
        <v>1000000</v>
      </c>
      <c r="D3617" s="626">
        <v>0</v>
      </c>
    </row>
    <row r="3618" spans="1:4" x14ac:dyDescent="0.2">
      <c r="A3618">
        <v>3617</v>
      </c>
      <c r="B3618" s="626">
        <v>0</v>
      </c>
      <c r="C3618" s="626">
        <v>1000000</v>
      </c>
      <c r="D3618" s="626">
        <v>0</v>
      </c>
    </row>
    <row r="3619" spans="1:4" x14ac:dyDescent="0.2">
      <c r="A3619">
        <v>3618</v>
      </c>
      <c r="B3619" s="626">
        <v>0</v>
      </c>
      <c r="C3619" s="626">
        <v>1000000</v>
      </c>
      <c r="D3619" s="626">
        <v>0</v>
      </c>
    </row>
    <row r="3620" spans="1:4" x14ac:dyDescent="0.2">
      <c r="A3620">
        <v>3619</v>
      </c>
      <c r="B3620" s="626">
        <v>0</v>
      </c>
      <c r="C3620" s="626">
        <v>1000000</v>
      </c>
      <c r="D3620" s="626">
        <v>0</v>
      </c>
    </row>
    <row r="3621" spans="1:4" x14ac:dyDescent="0.2">
      <c r="A3621">
        <v>3620</v>
      </c>
      <c r="B3621" s="626">
        <v>0</v>
      </c>
      <c r="C3621" s="626">
        <v>1000000</v>
      </c>
      <c r="D3621" s="626">
        <v>0</v>
      </c>
    </row>
    <row r="3622" spans="1:4" x14ac:dyDescent="0.2">
      <c r="A3622">
        <v>3621</v>
      </c>
      <c r="B3622" s="626">
        <v>0</v>
      </c>
      <c r="C3622" s="626">
        <v>1000000</v>
      </c>
      <c r="D3622" s="626">
        <v>0</v>
      </c>
    </row>
    <row r="3623" spans="1:4" x14ac:dyDescent="0.2">
      <c r="A3623">
        <v>3622</v>
      </c>
      <c r="B3623" s="626">
        <v>0</v>
      </c>
      <c r="C3623" s="626">
        <v>1000000</v>
      </c>
      <c r="D3623" s="626">
        <v>0</v>
      </c>
    </row>
    <row r="3624" spans="1:4" x14ac:dyDescent="0.2">
      <c r="A3624">
        <v>3623</v>
      </c>
      <c r="B3624" s="626">
        <v>0</v>
      </c>
      <c r="C3624" s="626">
        <v>1000000</v>
      </c>
      <c r="D3624" s="626">
        <v>0</v>
      </c>
    </row>
    <row r="3625" spans="1:4" x14ac:dyDescent="0.2">
      <c r="A3625">
        <v>3624</v>
      </c>
      <c r="B3625" s="626">
        <v>0</v>
      </c>
      <c r="C3625" s="626">
        <v>1000000</v>
      </c>
      <c r="D3625" s="626">
        <v>0</v>
      </c>
    </row>
    <row r="3626" spans="1:4" x14ac:dyDescent="0.2">
      <c r="A3626">
        <v>3625</v>
      </c>
      <c r="B3626" s="626">
        <v>0</v>
      </c>
      <c r="C3626" s="626">
        <v>1000000</v>
      </c>
      <c r="D3626" s="626">
        <v>0</v>
      </c>
    </row>
    <row r="3627" spans="1:4" x14ac:dyDescent="0.2">
      <c r="A3627">
        <v>3626</v>
      </c>
      <c r="B3627" s="626">
        <v>0</v>
      </c>
      <c r="C3627" s="626">
        <v>1000000</v>
      </c>
      <c r="D3627" s="626">
        <v>0</v>
      </c>
    </row>
    <row r="3628" spans="1:4" x14ac:dyDescent="0.2">
      <c r="A3628">
        <v>3627</v>
      </c>
      <c r="B3628" s="626">
        <v>0</v>
      </c>
      <c r="C3628" s="626">
        <v>1000000</v>
      </c>
      <c r="D3628" s="626">
        <v>0</v>
      </c>
    </row>
    <row r="3629" spans="1:4" x14ac:dyDescent="0.2">
      <c r="A3629">
        <v>3628</v>
      </c>
      <c r="B3629" s="626">
        <v>0</v>
      </c>
      <c r="C3629" s="626">
        <v>1000000</v>
      </c>
      <c r="D3629" s="626">
        <v>0</v>
      </c>
    </row>
    <row r="3630" spans="1:4" x14ac:dyDescent="0.2">
      <c r="A3630">
        <v>3629</v>
      </c>
      <c r="B3630" s="626">
        <v>0</v>
      </c>
      <c r="C3630" s="626">
        <v>1000000</v>
      </c>
      <c r="D3630" s="626">
        <v>0</v>
      </c>
    </row>
    <row r="3631" spans="1:4" x14ac:dyDescent="0.2">
      <c r="A3631">
        <v>3630</v>
      </c>
      <c r="B3631" s="626">
        <v>0</v>
      </c>
      <c r="C3631" s="626">
        <v>1000000</v>
      </c>
      <c r="D3631" s="626">
        <v>0</v>
      </c>
    </row>
    <row r="3632" spans="1:4" x14ac:dyDescent="0.2">
      <c r="A3632">
        <v>3631</v>
      </c>
      <c r="B3632" s="626">
        <v>0</v>
      </c>
      <c r="C3632" s="626">
        <v>1000000</v>
      </c>
      <c r="D3632" s="626">
        <v>0</v>
      </c>
    </row>
    <row r="3633" spans="1:4" x14ac:dyDescent="0.2">
      <c r="A3633">
        <v>3632</v>
      </c>
      <c r="B3633" s="626">
        <v>0</v>
      </c>
      <c r="C3633" s="626">
        <v>1000000</v>
      </c>
      <c r="D3633" s="626">
        <v>0</v>
      </c>
    </row>
    <row r="3634" spans="1:4" x14ac:dyDescent="0.2">
      <c r="A3634">
        <v>3633</v>
      </c>
      <c r="B3634" s="626">
        <v>0</v>
      </c>
      <c r="C3634" s="626">
        <v>1000000</v>
      </c>
      <c r="D3634" s="626">
        <v>0</v>
      </c>
    </row>
    <row r="3635" spans="1:4" x14ac:dyDescent="0.2">
      <c r="A3635">
        <v>3634</v>
      </c>
      <c r="B3635" s="626">
        <v>0</v>
      </c>
      <c r="C3635" s="626">
        <v>1000000</v>
      </c>
      <c r="D3635" s="626">
        <v>0</v>
      </c>
    </row>
    <row r="3636" spans="1:4" x14ac:dyDescent="0.2">
      <c r="A3636">
        <v>3635</v>
      </c>
      <c r="B3636" s="626">
        <v>0</v>
      </c>
      <c r="C3636" s="626">
        <v>1000000</v>
      </c>
      <c r="D3636" s="626">
        <v>0</v>
      </c>
    </row>
    <row r="3637" spans="1:4" x14ac:dyDescent="0.2">
      <c r="A3637">
        <v>3636</v>
      </c>
      <c r="B3637" s="626">
        <v>0</v>
      </c>
      <c r="C3637" s="626">
        <v>1000000</v>
      </c>
      <c r="D3637" s="626">
        <v>0</v>
      </c>
    </row>
    <row r="3638" spans="1:4" x14ac:dyDescent="0.2">
      <c r="A3638">
        <v>3637</v>
      </c>
      <c r="B3638" s="626">
        <v>0</v>
      </c>
      <c r="C3638" s="626">
        <v>1000000</v>
      </c>
      <c r="D3638" s="626">
        <v>0</v>
      </c>
    </row>
    <row r="3639" spans="1:4" x14ac:dyDescent="0.2">
      <c r="A3639">
        <v>3638</v>
      </c>
      <c r="B3639" s="626">
        <v>0</v>
      </c>
      <c r="C3639" s="626">
        <v>1000000</v>
      </c>
      <c r="D3639" s="626">
        <v>0</v>
      </c>
    </row>
    <row r="3640" spans="1:4" x14ac:dyDescent="0.2">
      <c r="A3640">
        <v>3639</v>
      </c>
      <c r="B3640" s="626">
        <v>0</v>
      </c>
      <c r="C3640" s="626">
        <v>1000000</v>
      </c>
      <c r="D3640" s="626">
        <v>0</v>
      </c>
    </row>
    <row r="3641" spans="1:4" x14ac:dyDescent="0.2">
      <c r="A3641">
        <v>3640</v>
      </c>
      <c r="B3641" s="626">
        <v>0</v>
      </c>
      <c r="C3641" s="626">
        <v>1000000</v>
      </c>
      <c r="D3641" s="626">
        <v>0</v>
      </c>
    </row>
    <row r="3642" spans="1:4" x14ac:dyDescent="0.2">
      <c r="A3642">
        <v>3641</v>
      </c>
      <c r="B3642" s="626">
        <v>0</v>
      </c>
      <c r="C3642" s="626">
        <v>1000000</v>
      </c>
      <c r="D3642" s="626">
        <v>0</v>
      </c>
    </row>
    <row r="3643" spans="1:4" x14ac:dyDescent="0.2">
      <c r="A3643">
        <v>3642</v>
      </c>
      <c r="B3643" s="626">
        <v>0</v>
      </c>
      <c r="C3643" s="626">
        <v>1000000</v>
      </c>
      <c r="D3643" s="626">
        <v>0</v>
      </c>
    </row>
    <row r="3644" spans="1:4" x14ac:dyDescent="0.2">
      <c r="A3644">
        <v>3643</v>
      </c>
      <c r="B3644" s="626">
        <v>0</v>
      </c>
      <c r="C3644" s="626">
        <v>1000000</v>
      </c>
      <c r="D3644" s="626">
        <v>0</v>
      </c>
    </row>
    <row r="3645" spans="1:4" x14ac:dyDescent="0.2">
      <c r="A3645">
        <v>3644</v>
      </c>
      <c r="B3645" s="626">
        <v>0</v>
      </c>
      <c r="C3645" s="626">
        <v>1000000</v>
      </c>
      <c r="D3645" s="626">
        <v>0</v>
      </c>
    </row>
    <row r="3646" spans="1:4" x14ac:dyDescent="0.2">
      <c r="A3646">
        <v>3645</v>
      </c>
      <c r="B3646" s="626">
        <v>0</v>
      </c>
      <c r="C3646" s="626">
        <v>1000000</v>
      </c>
      <c r="D3646" s="626">
        <v>0</v>
      </c>
    </row>
    <row r="3647" spans="1:4" x14ac:dyDescent="0.2">
      <c r="A3647">
        <v>3646</v>
      </c>
      <c r="B3647" s="626">
        <v>0</v>
      </c>
      <c r="C3647" s="626">
        <v>1000000</v>
      </c>
      <c r="D3647" s="626">
        <v>0</v>
      </c>
    </row>
    <row r="3648" spans="1:4" x14ac:dyDescent="0.2">
      <c r="A3648">
        <v>3647</v>
      </c>
      <c r="B3648" s="626">
        <v>0</v>
      </c>
      <c r="C3648" s="626">
        <v>1000000</v>
      </c>
      <c r="D3648" s="626">
        <v>0</v>
      </c>
    </row>
    <row r="3649" spans="1:4" x14ac:dyDescent="0.2">
      <c r="A3649">
        <v>3648</v>
      </c>
      <c r="B3649" s="626">
        <v>0</v>
      </c>
      <c r="C3649" s="626">
        <v>1000000</v>
      </c>
      <c r="D3649" s="626">
        <v>0</v>
      </c>
    </row>
    <row r="3650" spans="1:4" x14ac:dyDescent="0.2">
      <c r="A3650">
        <v>3649</v>
      </c>
      <c r="B3650" s="626">
        <v>0</v>
      </c>
      <c r="C3650" s="626">
        <v>1000000</v>
      </c>
      <c r="D3650" s="626">
        <v>0</v>
      </c>
    </row>
    <row r="3651" spans="1:4" x14ac:dyDescent="0.2">
      <c r="A3651">
        <v>3650</v>
      </c>
      <c r="B3651" s="626">
        <v>0</v>
      </c>
      <c r="C3651" s="626">
        <v>1000000</v>
      </c>
      <c r="D3651" s="626">
        <v>0</v>
      </c>
    </row>
    <row r="3652" spans="1:4" x14ac:dyDescent="0.2">
      <c r="A3652">
        <v>3651</v>
      </c>
      <c r="B3652" s="626">
        <v>0</v>
      </c>
      <c r="C3652" s="626">
        <v>1000000</v>
      </c>
      <c r="D3652" s="626">
        <v>0</v>
      </c>
    </row>
    <row r="3653" spans="1:4" x14ac:dyDescent="0.2">
      <c r="A3653">
        <v>3652</v>
      </c>
      <c r="B3653" s="626">
        <v>0</v>
      </c>
      <c r="C3653" s="626">
        <v>1000000</v>
      </c>
      <c r="D3653" s="626">
        <v>0</v>
      </c>
    </row>
    <row r="3654" spans="1:4" x14ac:dyDescent="0.2">
      <c r="A3654">
        <v>3653</v>
      </c>
      <c r="B3654" s="626">
        <v>0</v>
      </c>
      <c r="C3654" s="626">
        <v>1000000</v>
      </c>
      <c r="D3654" s="626">
        <v>0</v>
      </c>
    </row>
    <row r="3655" spans="1:4" x14ac:dyDescent="0.2">
      <c r="A3655">
        <v>3654</v>
      </c>
      <c r="B3655" s="626">
        <v>0</v>
      </c>
      <c r="C3655" s="626">
        <v>1000000</v>
      </c>
      <c r="D3655" s="626">
        <v>0</v>
      </c>
    </row>
    <row r="3656" spans="1:4" x14ac:dyDescent="0.2">
      <c r="A3656">
        <v>3655</v>
      </c>
      <c r="B3656" s="626">
        <v>0</v>
      </c>
      <c r="C3656" s="626">
        <v>1000000</v>
      </c>
      <c r="D3656" s="626">
        <v>0</v>
      </c>
    </row>
    <row r="3657" spans="1:4" x14ac:dyDescent="0.2">
      <c r="A3657">
        <v>3656</v>
      </c>
      <c r="B3657" s="626">
        <v>0</v>
      </c>
      <c r="C3657" s="626">
        <v>1000000</v>
      </c>
      <c r="D3657" s="626">
        <v>0</v>
      </c>
    </row>
    <row r="3658" spans="1:4" x14ac:dyDescent="0.2">
      <c r="A3658">
        <v>3657</v>
      </c>
      <c r="B3658" s="626">
        <v>0</v>
      </c>
      <c r="C3658" s="626">
        <v>1000000</v>
      </c>
      <c r="D3658" s="626">
        <v>0</v>
      </c>
    </row>
    <row r="3659" spans="1:4" x14ac:dyDescent="0.2">
      <c r="A3659">
        <v>3658</v>
      </c>
      <c r="B3659" s="626">
        <v>0</v>
      </c>
      <c r="C3659" s="626">
        <v>1000000</v>
      </c>
      <c r="D3659" s="626">
        <v>0</v>
      </c>
    </row>
    <row r="3660" spans="1:4" x14ac:dyDescent="0.2">
      <c r="A3660">
        <v>3659</v>
      </c>
      <c r="B3660" s="626">
        <v>0</v>
      </c>
      <c r="C3660" s="626">
        <v>1000000</v>
      </c>
      <c r="D3660" s="626">
        <v>0</v>
      </c>
    </row>
    <row r="3661" spans="1:4" x14ac:dyDescent="0.2">
      <c r="A3661">
        <v>3660</v>
      </c>
      <c r="B3661" s="626">
        <v>0</v>
      </c>
      <c r="C3661" s="626">
        <v>1000000</v>
      </c>
      <c r="D3661" s="626">
        <v>0</v>
      </c>
    </row>
    <row r="3662" spans="1:4" x14ac:dyDescent="0.2">
      <c r="A3662">
        <v>3661</v>
      </c>
      <c r="B3662" s="626">
        <v>0</v>
      </c>
      <c r="C3662" s="626">
        <v>1000000</v>
      </c>
      <c r="D3662" s="626">
        <v>0</v>
      </c>
    </row>
    <row r="3663" spans="1:4" x14ac:dyDescent="0.2">
      <c r="A3663">
        <v>3662</v>
      </c>
      <c r="B3663" s="626">
        <v>0</v>
      </c>
      <c r="C3663" s="626">
        <v>1000000</v>
      </c>
      <c r="D3663" s="626">
        <v>0</v>
      </c>
    </row>
    <row r="3664" spans="1:4" x14ac:dyDescent="0.2">
      <c r="A3664">
        <v>3663</v>
      </c>
      <c r="B3664" s="626">
        <v>0</v>
      </c>
      <c r="C3664" s="626">
        <v>1000000</v>
      </c>
      <c r="D3664" s="626">
        <v>0</v>
      </c>
    </row>
    <row r="3665" spans="1:4" x14ac:dyDescent="0.2">
      <c r="A3665">
        <v>3664</v>
      </c>
      <c r="B3665" s="626">
        <v>0</v>
      </c>
      <c r="C3665" s="626">
        <v>1000000</v>
      </c>
      <c r="D3665" s="626">
        <v>0</v>
      </c>
    </row>
    <row r="3666" spans="1:4" x14ac:dyDescent="0.2">
      <c r="A3666">
        <v>3665</v>
      </c>
      <c r="B3666" s="626">
        <v>0</v>
      </c>
      <c r="C3666" s="626">
        <v>1000000</v>
      </c>
      <c r="D3666" s="626">
        <v>0</v>
      </c>
    </row>
    <row r="3667" spans="1:4" x14ac:dyDescent="0.2">
      <c r="A3667">
        <v>3666</v>
      </c>
      <c r="B3667" s="626">
        <v>0</v>
      </c>
      <c r="C3667" s="626">
        <v>1000000</v>
      </c>
      <c r="D3667" s="626">
        <v>0</v>
      </c>
    </row>
    <row r="3668" spans="1:4" x14ac:dyDescent="0.2">
      <c r="A3668">
        <v>3667</v>
      </c>
      <c r="B3668" s="626">
        <v>0</v>
      </c>
      <c r="C3668" s="626">
        <v>1000000</v>
      </c>
      <c r="D3668" s="626">
        <v>0</v>
      </c>
    </row>
    <row r="3669" spans="1:4" x14ac:dyDescent="0.2">
      <c r="A3669">
        <v>3668</v>
      </c>
      <c r="B3669" s="626">
        <v>0</v>
      </c>
      <c r="C3669" s="626">
        <v>1000000</v>
      </c>
      <c r="D3669" s="626">
        <v>0</v>
      </c>
    </row>
    <row r="3670" spans="1:4" x14ac:dyDescent="0.2">
      <c r="A3670">
        <v>3669</v>
      </c>
      <c r="B3670" s="626">
        <v>0</v>
      </c>
      <c r="C3670" s="626">
        <v>1000000</v>
      </c>
      <c r="D3670" s="626">
        <v>0</v>
      </c>
    </row>
    <row r="3671" spans="1:4" x14ac:dyDescent="0.2">
      <c r="A3671">
        <v>3670</v>
      </c>
      <c r="B3671" s="626">
        <v>0</v>
      </c>
      <c r="C3671" s="626">
        <v>1000000</v>
      </c>
      <c r="D3671" s="626">
        <v>0</v>
      </c>
    </row>
    <row r="3672" spans="1:4" x14ac:dyDescent="0.2">
      <c r="A3672">
        <v>3671</v>
      </c>
      <c r="B3672" s="626">
        <v>0</v>
      </c>
      <c r="C3672" s="626">
        <v>1000000</v>
      </c>
      <c r="D3672" s="626">
        <v>0</v>
      </c>
    </row>
    <row r="3673" spans="1:4" x14ac:dyDescent="0.2">
      <c r="A3673">
        <v>3672</v>
      </c>
      <c r="B3673" s="626">
        <v>0</v>
      </c>
      <c r="C3673" s="626">
        <v>1000000</v>
      </c>
      <c r="D3673" s="626">
        <v>0</v>
      </c>
    </row>
    <row r="3674" spans="1:4" x14ac:dyDescent="0.2">
      <c r="A3674">
        <v>3673</v>
      </c>
      <c r="B3674" s="626">
        <v>0</v>
      </c>
      <c r="C3674" s="626">
        <v>1000000</v>
      </c>
      <c r="D3674" s="626">
        <v>0</v>
      </c>
    </row>
    <row r="3675" spans="1:4" x14ac:dyDescent="0.2">
      <c r="A3675">
        <v>3674</v>
      </c>
      <c r="B3675" s="626">
        <v>0</v>
      </c>
      <c r="C3675" s="626">
        <v>1000000</v>
      </c>
      <c r="D3675" s="626">
        <v>0</v>
      </c>
    </row>
    <row r="3676" spans="1:4" x14ac:dyDescent="0.2">
      <c r="A3676">
        <v>3675</v>
      </c>
      <c r="B3676" s="626">
        <v>0</v>
      </c>
      <c r="C3676" s="626">
        <v>1000000</v>
      </c>
      <c r="D3676" s="626">
        <v>0</v>
      </c>
    </row>
    <row r="3677" spans="1:4" x14ac:dyDescent="0.2">
      <c r="A3677">
        <v>3676</v>
      </c>
      <c r="B3677" s="626">
        <v>0</v>
      </c>
      <c r="C3677" s="626">
        <v>1000000</v>
      </c>
      <c r="D3677" s="626">
        <v>0</v>
      </c>
    </row>
    <row r="3678" spans="1:4" x14ac:dyDescent="0.2">
      <c r="A3678">
        <v>3677</v>
      </c>
      <c r="B3678" s="626">
        <v>0</v>
      </c>
      <c r="C3678" s="626">
        <v>1000000</v>
      </c>
      <c r="D3678" s="626">
        <v>0</v>
      </c>
    </row>
    <row r="3679" spans="1:4" x14ac:dyDescent="0.2">
      <c r="A3679">
        <v>3678</v>
      </c>
      <c r="B3679" s="626">
        <v>0</v>
      </c>
      <c r="C3679" s="626">
        <v>1000000</v>
      </c>
      <c r="D3679" s="626">
        <v>0</v>
      </c>
    </row>
    <row r="3680" spans="1:4" x14ac:dyDescent="0.2">
      <c r="A3680">
        <v>3679</v>
      </c>
      <c r="B3680" s="626">
        <v>0</v>
      </c>
      <c r="C3680" s="626">
        <v>1000000</v>
      </c>
      <c r="D3680" s="626">
        <v>0</v>
      </c>
    </row>
    <row r="3681" spans="1:4" x14ac:dyDescent="0.2">
      <c r="A3681">
        <v>3680</v>
      </c>
      <c r="B3681" s="626">
        <v>0</v>
      </c>
      <c r="C3681" s="626">
        <v>1000000</v>
      </c>
      <c r="D3681" s="626">
        <v>0</v>
      </c>
    </row>
    <row r="3682" spans="1:4" x14ac:dyDescent="0.2">
      <c r="A3682">
        <v>3681</v>
      </c>
      <c r="B3682" s="626">
        <v>0</v>
      </c>
      <c r="C3682" s="626">
        <v>1000000</v>
      </c>
      <c r="D3682" s="626">
        <v>0</v>
      </c>
    </row>
    <row r="3683" spans="1:4" x14ac:dyDescent="0.2">
      <c r="A3683">
        <v>3682</v>
      </c>
      <c r="B3683" s="626">
        <v>0</v>
      </c>
      <c r="C3683" s="626">
        <v>1000000</v>
      </c>
      <c r="D3683" s="626">
        <v>0</v>
      </c>
    </row>
    <row r="3684" spans="1:4" x14ac:dyDescent="0.2">
      <c r="A3684">
        <v>3683</v>
      </c>
      <c r="B3684" s="626">
        <v>0</v>
      </c>
      <c r="C3684" s="626">
        <v>1000000</v>
      </c>
      <c r="D3684" s="626">
        <v>0</v>
      </c>
    </row>
    <row r="3685" spans="1:4" x14ac:dyDescent="0.2">
      <c r="A3685">
        <v>3684</v>
      </c>
      <c r="B3685" s="626">
        <v>0</v>
      </c>
      <c r="C3685" s="626">
        <v>1000000</v>
      </c>
      <c r="D3685" s="626">
        <v>0</v>
      </c>
    </row>
    <row r="3686" spans="1:4" x14ac:dyDescent="0.2">
      <c r="A3686">
        <v>3685</v>
      </c>
      <c r="B3686" s="626">
        <v>0</v>
      </c>
      <c r="C3686" s="626">
        <v>1000000</v>
      </c>
      <c r="D3686" s="626">
        <v>0</v>
      </c>
    </row>
    <row r="3687" spans="1:4" x14ac:dyDescent="0.2">
      <c r="A3687">
        <v>3686</v>
      </c>
      <c r="B3687" s="626">
        <v>0</v>
      </c>
      <c r="C3687" s="626">
        <v>1000000</v>
      </c>
      <c r="D3687" s="626">
        <v>0</v>
      </c>
    </row>
    <row r="3688" spans="1:4" x14ac:dyDescent="0.2">
      <c r="A3688">
        <v>3687</v>
      </c>
      <c r="B3688" s="626">
        <v>0</v>
      </c>
      <c r="C3688" s="626">
        <v>1000000</v>
      </c>
      <c r="D3688" s="626">
        <v>0</v>
      </c>
    </row>
    <row r="3689" spans="1:4" x14ac:dyDescent="0.2">
      <c r="A3689">
        <v>3688</v>
      </c>
      <c r="B3689" s="626">
        <v>0</v>
      </c>
      <c r="C3689" s="626">
        <v>1000000</v>
      </c>
      <c r="D3689" s="626">
        <v>0</v>
      </c>
    </row>
    <row r="3690" spans="1:4" x14ac:dyDescent="0.2">
      <c r="A3690">
        <v>3689</v>
      </c>
      <c r="B3690" s="626">
        <v>0</v>
      </c>
      <c r="C3690" s="626">
        <v>1000000</v>
      </c>
      <c r="D3690" s="626">
        <v>0</v>
      </c>
    </row>
    <row r="3691" spans="1:4" x14ac:dyDescent="0.2">
      <c r="A3691">
        <v>3690</v>
      </c>
      <c r="B3691" s="626">
        <v>0</v>
      </c>
      <c r="C3691" s="626">
        <v>1000000</v>
      </c>
      <c r="D3691" s="626">
        <v>0</v>
      </c>
    </row>
    <row r="3692" spans="1:4" x14ac:dyDescent="0.2">
      <c r="A3692">
        <v>3691</v>
      </c>
      <c r="B3692" s="626">
        <v>0</v>
      </c>
      <c r="C3692" s="626">
        <v>1000000</v>
      </c>
      <c r="D3692" s="626">
        <v>0</v>
      </c>
    </row>
    <row r="3693" spans="1:4" x14ac:dyDescent="0.2">
      <c r="A3693">
        <v>3692</v>
      </c>
      <c r="B3693" s="626">
        <v>0</v>
      </c>
      <c r="C3693" s="626">
        <v>1000000</v>
      </c>
      <c r="D3693" s="626">
        <v>0</v>
      </c>
    </row>
    <row r="3694" spans="1:4" x14ac:dyDescent="0.2">
      <c r="A3694">
        <v>3693</v>
      </c>
      <c r="B3694" s="626">
        <v>0</v>
      </c>
      <c r="C3694" s="626">
        <v>1000000</v>
      </c>
      <c r="D3694" s="626">
        <v>0</v>
      </c>
    </row>
    <row r="3695" spans="1:4" x14ac:dyDescent="0.2">
      <c r="A3695">
        <v>3694</v>
      </c>
      <c r="B3695" s="626">
        <v>0</v>
      </c>
      <c r="C3695" s="626">
        <v>1000000</v>
      </c>
      <c r="D3695" s="626">
        <v>0</v>
      </c>
    </row>
    <row r="3696" spans="1:4" x14ac:dyDescent="0.2">
      <c r="A3696">
        <v>3695</v>
      </c>
      <c r="B3696" s="626">
        <v>0</v>
      </c>
      <c r="C3696" s="626">
        <v>1000000</v>
      </c>
      <c r="D3696" s="626">
        <v>0</v>
      </c>
    </row>
    <row r="3697" spans="1:4" x14ac:dyDescent="0.2">
      <c r="A3697">
        <v>3696</v>
      </c>
      <c r="B3697" s="626">
        <v>0</v>
      </c>
      <c r="C3697" s="626">
        <v>1000000</v>
      </c>
      <c r="D3697" s="626">
        <v>0</v>
      </c>
    </row>
    <row r="3698" spans="1:4" x14ac:dyDescent="0.2">
      <c r="A3698">
        <v>3697</v>
      </c>
      <c r="B3698" s="626">
        <v>0</v>
      </c>
      <c r="C3698" s="626">
        <v>1000000</v>
      </c>
      <c r="D3698" s="626">
        <v>0</v>
      </c>
    </row>
    <row r="3699" spans="1:4" x14ac:dyDescent="0.2">
      <c r="A3699">
        <v>3698</v>
      </c>
      <c r="B3699" s="626">
        <v>0</v>
      </c>
      <c r="C3699" s="626">
        <v>1000000</v>
      </c>
      <c r="D3699" s="626">
        <v>0</v>
      </c>
    </row>
    <row r="3700" spans="1:4" x14ac:dyDescent="0.2">
      <c r="A3700">
        <v>3699</v>
      </c>
      <c r="B3700" s="626">
        <v>0</v>
      </c>
      <c r="C3700" s="626">
        <v>1000000</v>
      </c>
      <c r="D3700" s="626">
        <v>0</v>
      </c>
    </row>
    <row r="3701" spans="1:4" x14ac:dyDescent="0.2">
      <c r="A3701">
        <v>3700</v>
      </c>
      <c r="B3701" s="626">
        <v>0</v>
      </c>
      <c r="C3701" s="626">
        <v>1000000</v>
      </c>
      <c r="D3701" s="626">
        <v>0</v>
      </c>
    </row>
    <row r="3702" spans="1:4" x14ac:dyDescent="0.2">
      <c r="A3702">
        <v>3701</v>
      </c>
      <c r="B3702" s="626">
        <v>0</v>
      </c>
      <c r="C3702" s="626">
        <v>1000000</v>
      </c>
      <c r="D3702" s="626">
        <v>0</v>
      </c>
    </row>
    <row r="3703" spans="1:4" x14ac:dyDescent="0.2">
      <c r="A3703">
        <v>3702</v>
      </c>
      <c r="B3703" s="626">
        <v>0</v>
      </c>
      <c r="C3703" s="626">
        <v>1000000</v>
      </c>
      <c r="D3703" s="626">
        <v>0</v>
      </c>
    </row>
    <row r="3704" spans="1:4" x14ac:dyDescent="0.2">
      <c r="A3704">
        <v>3703</v>
      </c>
      <c r="B3704" s="626">
        <v>0</v>
      </c>
      <c r="C3704" s="626">
        <v>1000000</v>
      </c>
      <c r="D3704" s="626">
        <v>0</v>
      </c>
    </row>
    <row r="3705" spans="1:4" x14ac:dyDescent="0.2">
      <c r="A3705">
        <v>3704</v>
      </c>
      <c r="B3705" s="626">
        <v>0</v>
      </c>
      <c r="C3705" s="626">
        <v>1000000</v>
      </c>
      <c r="D3705" s="626">
        <v>0</v>
      </c>
    </row>
    <row r="3706" spans="1:4" x14ac:dyDescent="0.2">
      <c r="A3706">
        <v>3705</v>
      </c>
      <c r="B3706" s="626">
        <v>0</v>
      </c>
      <c r="C3706" s="626">
        <v>1000000</v>
      </c>
      <c r="D3706" s="626">
        <v>0</v>
      </c>
    </row>
    <row r="3707" spans="1:4" x14ac:dyDescent="0.2">
      <c r="A3707">
        <v>3706</v>
      </c>
      <c r="B3707" s="626">
        <v>0</v>
      </c>
      <c r="C3707" s="626">
        <v>1000000</v>
      </c>
      <c r="D3707" s="626">
        <v>0</v>
      </c>
    </row>
    <row r="3708" spans="1:4" x14ac:dyDescent="0.2">
      <c r="A3708">
        <v>3707</v>
      </c>
      <c r="B3708" s="626">
        <v>0</v>
      </c>
      <c r="C3708" s="626">
        <v>1000000</v>
      </c>
      <c r="D3708" s="626">
        <v>0</v>
      </c>
    </row>
    <row r="3709" spans="1:4" x14ac:dyDescent="0.2">
      <c r="A3709">
        <v>3708</v>
      </c>
      <c r="B3709" s="626">
        <v>0</v>
      </c>
      <c r="C3709" s="626">
        <v>1000000</v>
      </c>
      <c r="D3709" s="626">
        <v>0</v>
      </c>
    </row>
    <row r="3710" spans="1:4" x14ac:dyDescent="0.2">
      <c r="A3710">
        <v>3709</v>
      </c>
      <c r="B3710" s="626">
        <v>0</v>
      </c>
      <c r="C3710" s="626">
        <v>1000000</v>
      </c>
      <c r="D3710" s="626">
        <v>0</v>
      </c>
    </row>
    <row r="3711" spans="1:4" x14ac:dyDescent="0.2">
      <c r="A3711">
        <v>3710</v>
      </c>
      <c r="B3711" s="626">
        <v>0</v>
      </c>
      <c r="C3711" s="626">
        <v>1000000</v>
      </c>
      <c r="D3711" s="626">
        <v>0</v>
      </c>
    </row>
    <row r="3712" spans="1:4" x14ac:dyDescent="0.2">
      <c r="A3712">
        <v>3711</v>
      </c>
      <c r="B3712" s="626">
        <v>0</v>
      </c>
      <c r="C3712" s="626">
        <v>1000000</v>
      </c>
      <c r="D3712" s="626">
        <v>0</v>
      </c>
    </row>
    <row r="3713" spans="1:4" x14ac:dyDescent="0.2">
      <c r="A3713">
        <v>3712</v>
      </c>
      <c r="B3713" s="626">
        <v>0</v>
      </c>
      <c r="C3713" s="626">
        <v>1000000</v>
      </c>
      <c r="D3713" s="626">
        <v>0</v>
      </c>
    </row>
    <row r="3714" spans="1:4" x14ac:dyDescent="0.2">
      <c r="A3714">
        <v>3713</v>
      </c>
      <c r="B3714" s="626">
        <v>0</v>
      </c>
      <c r="C3714" s="626">
        <v>1000000</v>
      </c>
      <c r="D3714" s="626">
        <v>0</v>
      </c>
    </row>
    <row r="3715" spans="1:4" x14ac:dyDescent="0.2">
      <c r="A3715">
        <v>3714</v>
      </c>
      <c r="B3715" s="626">
        <v>0</v>
      </c>
      <c r="C3715" s="626">
        <v>1000000</v>
      </c>
      <c r="D3715" s="626">
        <v>0</v>
      </c>
    </row>
    <row r="3716" spans="1:4" x14ac:dyDescent="0.2">
      <c r="A3716">
        <v>3715</v>
      </c>
      <c r="B3716" s="626">
        <v>0</v>
      </c>
      <c r="C3716" s="626">
        <v>1000000</v>
      </c>
      <c r="D3716" s="626">
        <v>0</v>
      </c>
    </row>
    <row r="3717" spans="1:4" x14ac:dyDescent="0.2">
      <c r="A3717">
        <v>3716</v>
      </c>
      <c r="B3717" s="626">
        <v>0</v>
      </c>
      <c r="C3717" s="626">
        <v>1000000</v>
      </c>
      <c r="D3717" s="626">
        <v>0</v>
      </c>
    </row>
    <row r="3718" spans="1:4" x14ac:dyDescent="0.2">
      <c r="A3718">
        <v>3717</v>
      </c>
      <c r="B3718" s="626">
        <v>0</v>
      </c>
      <c r="C3718" s="626">
        <v>1000000</v>
      </c>
      <c r="D3718" s="626">
        <v>0</v>
      </c>
    </row>
    <row r="3719" spans="1:4" x14ac:dyDescent="0.2">
      <c r="A3719">
        <v>3718</v>
      </c>
      <c r="B3719" s="626">
        <v>0</v>
      </c>
      <c r="C3719" s="626">
        <v>1000000</v>
      </c>
      <c r="D3719" s="626">
        <v>0</v>
      </c>
    </row>
    <row r="3720" spans="1:4" x14ac:dyDescent="0.2">
      <c r="A3720">
        <v>3719</v>
      </c>
      <c r="B3720" s="626">
        <v>0</v>
      </c>
      <c r="C3720" s="626">
        <v>1000000</v>
      </c>
      <c r="D3720" s="626">
        <v>0</v>
      </c>
    </row>
    <row r="3721" spans="1:4" x14ac:dyDescent="0.2">
      <c r="A3721">
        <v>3720</v>
      </c>
      <c r="B3721" s="626">
        <v>0</v>
      </c>
      <c r="C3721" s="626">
        <v>1000000</v>
      </c>
      <c r="D3721" s="626">
        <v>0</v>
      </c>
    </row>
    <row r="3722" spans="1:4" x14ac:dyDescent="0.2">
      <c r="A3722">
        <v>3721</v>
      </c>
      <c r="B3722" s="626">
        <v>0</v>
      </c>
      <c r="C3722" s="626">
        <v>1000000</v>
      </c>
      <c r="D3722" s="626">
        <v>0</v>
      </c>
    </row>
    <row r="3723" spans="1:4" x14ac:dyDescent="0.2">
      <c r="A3723">
        <v>3722</v>
      </c>
      <c r="B3723" s="626">
        <v>0</v>
      </c>
      <c r="C3723" s="626">
        <v>1000000</v>
      </c>
      <c r="D3723" s="626">
        <v>0</v>
      </c>
    </row>
    <row r="3724" spans="1:4" x14ac:dyDescent="0.2">
      <c r="A3724">
        <v>3723</v>
      </c>
      <c r="B3724" s="626">
        <v>0</v>
      </c>
      <c r="C3724" s="626">
        <v>1000000</v>
      </c>
      <c r="D3724" s="626">
        <v>0</v>
      </c>
    </row>
    <row r="3725" spans="1:4" x14ac:dyDescent="0.2">
      <c r="A3725">
        <v>3724</v>
      </c>
      <c r="B3725" s="626">
        <v>0</v>
      </c>
      <c r="C3725" s="626">
        <v>1000000</v>
      </c>
      <c r="D3725" s="626">
        <v>0</v>
      </c>
    </row>
    <row r="3726" spans="1:4" x14ac:dyDescent="0.2">
      <c r="A3726">
        <v>3725</v>
      </c>
      <c r="B3726" s="626">
        <v>0</v>
      </c>
      <c r="C3726" s="626">
        <v>1000000</v>
      </c>
      <c r="D3726" s="626">
        <v>0</v>
      </c>
    </row>
    <row r="3727" spans="1:4" x14ac:dyDescent="0.2">
      <c r="A3727">
        <v>3726</v>
      </c>
      <c r="B3727" s="626">
        <v>0</v>
      </c>
      <c r="C3727" s="626">
        <v>1000000</v>
      </c>
      <c r="D3727" s="626">
        <v>0</v>
      </c>
    </row>
    <row r="3728" spans="1:4" x14ac:dyDescent="0.2">
      <c r="A3728">
        <v>3727</v>
      </c>
      <c r="B3728" s="626">
        <v>0</v>
      </c>
      <c r="C3728" s="626">
        <v>1000000</v>
      </c>
      <c r="D3728" s="626">
        <v>0</v>
      </c>
    </row>
    <row r="3729" spans="1:4" x14ac:dyDescent="0.2">
      <c r="A3729">
        <v>3728</v>
      </c>
      <c r="B3729" s="626">
        <v>0</v>
      </c>
      <c r="C3729" s="626">
        <v>1000000</v>
      </c>
      <c r="D3729" s="626">
        <v>0</v>
      </c>
    </row>
    <row r="3730" spans="1:4" x14ac:dyDescent="0.2">
      <c r="A3730">
        <v>3729</v>
      </c>
      <c r="B3730" s="626">
        <v>0</v>
      </c>
      <c r="C3730" s="626">
        <v>1000000</v>
      </c>
      <c r="D3730" s="626">
        <v>0</v>
      </c>
    </row>
    <row r="3731" spans="1:4" x14ac:dyDescent="0.2">
      <c r="A3731">
        <v>3730</v>
      </c>
      <c r="B3731" s="626">
        <v>0</v>
      </c>
      <c r="C3731" s="626">
        <v>1000000</v>
      </c>
      <c r="D3731" s="626">
        <v>0</v>
      </c>
    </row>
    <row r="3732" spans="1:4" x14ac:dyDescent="0.2">
      <c r="A3732">
        <v>3731</v>
      </c>
      <c r="B3732" s="626">
        <v>0</v>
      </c>
      <c r="C3732" s="626">
        <v>1000000</v>
      </c>
      <c r="D3732" s="626">
        <v>0</v>
      </c>
    </row>
    <row r="3733" spans="1:4" x14ac:dyDescent="0.2">
      <c r="A3733">
        <v>3732</v>
      </c>
      <c r="B3733" s="626">
        <v>0</v>
      </c>
      <c r="C3733" s="626">
        <v>1000000</v>
      </c>
      <c r="D3733" s="626">
        <v>0</v>
      </c>
    </row>
    <row r="3734" spans="1:4" x14ac:dyDescent="0.2">
      <c r="A3734">
        <v>3733</v>
      </c>
      <c r="B3734" s="626">
        <v>0</v>
      </c>
      <c r="C3734" s="626">
        <v>1000000</v>
      </c>
      <c r="D3734" s="626">
        <v>0</v>
      </c>
    </row>
    <row r="3735" spans="1:4" x14ac:dyDescent="0.2">
      <c r="A3735">
        <v>3734</v>
      </c>
      <c r="B3735" s="626">
        <v>0</v>
      </c>
      <c r="C3735" s="626">
        <v>1000000</v>
      </c>
      <c r="D3735" s="626">
        <v>0</v>
      </c>
    </row>
    <row r="3736" spans="1:4" x14ac:dyDescent="0.2">
      <c r="A3736">
        <v>3735</v>
      </c>
      <c r="B3736" s="626">
        <v>0</v>
      </c>
      <c r="C3736" s="626">
        <v>1000000</v>
      </c>
      <c r="D3736" s="626">
        <v>0</v>
      </c>
    </row>
    <row r="3737" spans="1:4" x14ac:dyDescent="0.2">
      <c r="A3737">
        <v>3736</v>
      </c>
      <c r="B3737" s="626">
        <v>0</v>
      </c>
      <c r="C3737" s="626">
        <v>1000000</v>
      </c>
      <c r="D3737" s="626">
        <v>0</v>
      </c>
    </row>
    <row r="3738" spans="1:4" x14ac:dyDescent="0.2">
      <c r="A3738">
        <v>3737</v>
      </c>
      <c r="B3738" s="626">
        <v>0</v>
      </c>
      <c r="C3738" s="626">
        <v>1000000</v>
      </c>
      <c r="D3738" s="626">
        <v>0</v>
      </c>
    </row>
    <row r="3739" spans="1:4" x14ac:dyDescent="0.2">
      <c r="A3739">
        <v>3738</v>
      </c>
      <c r="B3739" s="626">
        <v>0</v>
      </c>
      <c r="C3739" s="626">
        <v>1000000</v>
      </c>
      <c r="D3739" s="626">
        <v>0</v>
      </c>
    </row>
    <row r="3740" spans="1:4" x14ac:dyDescent="0.2">
      <c r="A3740">
        <v>3739</v>
      </c>
      <c r="B3740" s="626">
        <v>0</v>
      </c>
      <c r="C3740" s="626">
        <v>1000000</v>
      </c>
      <c r="D3740" s="626">
        <v>0</v>
      </c>
    </row>
    <row r="3741" spans="1:4" x14ac:dyDescent="0.2">
      <c r="A3741">
        <v>3740</v>
      </c>
      <c r="B3741" s="626">
        <v>0</v>
      </c>
      <c r="C3741" s="626">
        <v>1000000</v>
      </c>
      <c r="D3741" s="626">
        <v>0</v>
      </c>
    </row>
    <row r="3742" spans="1:4" x14ac:dyDescent="0.2">
      <c r="A3742">
        <v>3741</v>
      </c>
      <c r="B3742" s="626">
        <v>0</v>
      </c>
      <c r="C3742" s="626">
        <v>1000000</v>
      </c>
      <c r="D3742" s="626">
        <v>0</v>
      </c>
    </row>
    <row r="3743" spans="1:4" x14ac:dyDescent="0.2">
      <c r="A3743">
        <v>3742</v>
      </c>
      <c r="B3743" s="626">
        <v>0</v>
      </c>
      <c r="C3743" s="626">
        <v>1000000</v>
      </c>
      <c r="D3743" s="626">
        <v>0</v>
      </c>
    </row>
    <row r="3744" spans="1:4" x14ac:dyDescent="0.2">
      <c r="A3744">
        <v>3743</v>
      </c>
      <c r="B3744" s="626">
        <v>0</v>
      </c>
      <c r="C3744" s="626">
        <v>1000000</v>
      </c>
      <c r="D3744" s="626">
        <v>0</v>
      </c>
    </row>
    <row r="3745" spans="1:4" x14ac:dyDescent="0.2">
      <c r="A3745">
        <v>3744</v>
      </c>
      <c r="B3745" s="626">
        <v>0</v>
      </c>
      <c r="C3745" s="626">
        <v>1000000</v>
      </c>
      <c r="D3745" s="626">
        <v>0</v>
      </c>
    </row>
    <row r="3746" spans="1:4" x14ac:dyDescent="0.2">
      <c r="A3746">
        <v>3745</v>
      </c>
      <c r="B3746" s="626">
        <v>0</v>
      </c>
      <c r="C3746" s="626">
        <v>1000000</v>
      </c>
      <c r="D3746" s="626">
        <v>0</v>
      </c>
    </row>
    <row r="3747" spans="1:4" x14ac:dyDescent="0.2">
      <c r="A3747">
        <v>3746</v>
      </c>
      <c r="B3747" s="626">
        <v>0</v>
      </c>
      <c r="C3747" s="626">
        <v>1000000</v>
      </c>
      <c r="D3747" s="626">
        <v>0</v>
      </c>
    </row>
    <row r="3748" spans="1:4" x14ac:dyDescent="0.2">
      <c r="A3748">
        <v>3747</v>
      </c>
      <c r="B3748" s="626">
        <v>0</v>
      </c>
      <c r="C3748" s="626">
        <v>1000000</v>
      </c>
      <c r="D3748" s="626">
        <v>0</v>
      </c>
    </row>
    <row r="3749" spans="1:4" x14ac:dyDescent="0.2">
      <c r="A3749">
        <v>3748</v>
      </c>
      <c r="B3749" s="626">
        <v>0</v>
      </c>
      <c r="C3749" s="626">
        <v>1000000</v>
      </c>
      <c r="D3749" s="626">
        <v>0</v>
      </c>
    </row>
    <row r="3750" spans="1:4" x14ac:dyDescent="0.2">
      <c r="A3750">
        <v>3749</v>
      </c>
      <c r="B3750" s="626">
        <v>0</v>
      </c>
      <c r="C3750" s="626">
        <v>1000000</v>
      </c>
      <c r="D3750" s="626">
        <v>0</v>
      </c>
    </row>
    <row r="3751" spans="1:4" x14ac:dyDescent="0.2">
      <c r="A3751">
        <v>3750</v>
      </c>
      <c r="B3751" s="626">
        <v>0</v>
      </c>
      <c r="C3751" s="626">
        <v>1000000</v>
      </c>
      <c r="D3751" s="626">
        <v>0</v>
      </c>
    </row>
    <row r="3752" spans="1:4" x14ac:dyDescent="0.2">
      <c r="A3752">
        <v>3751</v>
      </c>
      <c r="B3752" s="626">
        <v>0</v>
      </c>
      <c r="C3752" s="626">
        <v>1000000</v>
      </c>
      <c r="D3752" s="626">
        <v>0</v>
      </c>
    </row>
    <row r="3753" spans="1:4" x14ac:dyDescent="0.2">
      <c r="A3753">
        <v>3752</v>
      </c>
      <c r="B3753" s="626">
        <v>0</v>
      </c>
      <c r="C3753" s="626">
        <v>1000000</v>
      </c>
      <c r="D3753" s="626">
        <v>0</v>
      </c>
    </row>
    <row r="3754" spans="1:4" x14ac:dyDescent="0.2">
      <c r="A3754">
        <v>3753</v>
      </c>
      <c r="B3754" s="626">
        <v>0</v>
      </c>
      <c r="C3754" s="626">
        <v>1000000</v>
      </c>
      <c r="D3754" s="626">
        <v>0</v>
      </c>
    </row>
    <row r="3755" spans="1:4" x14ac:dyDescent="0.2">
      <c r="A3755">
        <v>3754</v>
      </c>
      <c r="B3755" s="626">
        <v>0</v>
      </c>
      <c r="C3755" s="626">
        <v>1000000</v>
      </c>
      <c r="D3755" s="626">
        <v>0</v>
      </c>
    </row>
    <row r="3756" spans="1:4" x14ac:dyDescent="0.2">
      <c r="A3756">
        <v>3755</v>
      </c>
      <c r="B3756" s="626">
        <v>0</v>
      </c>
      <c r="C3756" s="626">
        <v>1000000</v>
      </c>
      <c r="D3756" s="626">
        <v>0</v>
      </c>
    </row>
    <row r="3757" spans="1:4" x14ac:dyDescent="0.2">
      <c r="A3757">
        <v>3756</v>
      </c>
      <c r="B3757" s="626">
        <v>0</v>
      </c>
      <c r="C3757" s="626">
        <v>1000000</v>
      </c>
      <c r="D3757" s="626">
        <v>0</v>
      </c>
    </row>
    <row r="3758" spans="1:4" x14ac:dyDescent="0.2">
      <c r="A3758">
        <v>3757</v>
      </c>
      <c r="B3758" s="626">
        <v>0</v>
      </c>
      <c r="C3758" s="626">
        <v>1000000</v>
      </c>
      <c r="D3758" s="626">
        <v>0</v>
      </c>
    </row>
    <row r="3759" spans="1:4" x14ac:dyDescent="0.2">
      <c r="A3759">
        <v>3758</v>
      </c>
      <c r="B3759" s="626">
        <v>0</v>
      </c>
      <c r="C3759" s="626">
        <v>1000000</v>
      </c>
      <c r="D3759" s="626">
        <v>0</v>
      </c>
    </row>
    <row r="3760" spans="1:4" x14ac:dyDescent="0.2">
      <c r="A3760">
        <v>3759</v>
      </c>
      <c r="B3760" s="626">
        <v>0</v>
      </c>
      <c r="C3760" s="626">
        <v>1000000</v>
      </c>
      <c r="D3760" s="626">
        <v>0</v>
      </c>
    </row>
    <row r="3761" spans="1:4" x14ac:dyDescent="0.2">
      <c r="A3761">
        <v>3760</v>
      </c>
      <c r="B3761" s="626">
        <v>0</v>
      </c>
      <c r="C3761" s="626">
        <v>1000000</v>
      </c>
      <c r="D3761" s="626">
        <v>0</v>
      </c>
    </row>
    <row r="3762" spans="1:4" x14ac:dyDescent="0.2">
      <c r="A3762">
        <v>3761</v>
      </c>
      <c r="B3762" s="626">
        <v>0</v>
      </c>
      <c r="C3762" s="626">
        <v>1000000</v>
      </c>
      <c r="D3762" s="626">
        <v>0</v>
      </c>
    </row>
    <row r="3763" spans="1:4" x14ac:dyDescent="0.2">
      <c r="A3763">
        <v>3762</v>
      </c>
      <c r="B3763" s="626">
        <v>0</v>
      </c>
      <c r="C3763" s="626">
        <v>1000000</v>
      </c>
      <c r="D3763" s="626">
        <v>0</v>
      </c>
    </row>
    <row r="3764" spans="1:4" x14ac:dyDescent="0.2">
      <c r="A3764">
        <v>3763</v>
      </c>
      <c r="B3764" s="626">
        <v>0</v>
      </c>
      <c r="C3764" s="626">
        <v>1000000</v>
      </c>
      <c r="D3764" s="626">
        <v>0</v>
      </c>
    </row>
    <row r="3765" spans="1:4" x14ac:dyDescent="0.2">
      <c r="A3765">
        <v>3764</v>
      </c>
      <c r="B3765" s="626">
        <v>0</v>
      </c>
      <c r="C3765" s="626">
        <v>1000000</v>
      </c>
      <c r="D3765" s="626">
        <v>0</v>
      </c>
    </row>
    <row r="3766" spans="1:4" x14ac:dyDescent="0.2">
      <c r="A3766">
        <v>3765</v>
      </c>
      <c r="B3766" s="626">
        <v>0</v>
      </c>
      <c r="C3766" s="626">
        <v>1000000</v>
      </c>
      <c r="D3766" s="626">
        <v>0</v>
      </c>
    </row>
    <row r="3767" spans="1:4" x14ac:dyDescent="0.2">
      <c r="A3767">
        <v>3766</v>
      </c>
      <c r="B3767" s="626">
        <v>0</v>
      </c>
      <c r="C3767" s="626">
        <v>1000000</v>
      </c>
      <c r="D3767" s="626">
        <v>0</v>
      </c>
    </row>
    <row r="3768" spans="1:4" x14ac:dyDescent="0.2">
      <c r="A3768">
        <v>3767</v>
      </c>
      <c r="B3768" s="626">
        <v>0</v>
      </c>
      <c r="C3768" s="626">
        <v>1000000</v>
      </c>
      <c r="D3768" s="626">
        <v>0</v>
      </c>
    </row>
    <row r="3769" spans="1:4" x14ac:dyDescent="0.2">
      <c r="A3769">
        <v>3768</v>
      </c>
      <c r="B3769" s="626">
        <v>0</v>
      </c>
      <c r="C3769" s="626">
        <v>1000000</v>
      </c>
      <c r="D3769" s="626">
        <v>0</v>
      </c>
    </row>
    <row r="3770" spans="1:4" x14ac:dyDescent="0.2">
      <c r="A3770">
        <v>3769</v>
      </c>
      <c r="B3770" s="626">
        <v>0</v>
      </c>
      <c r="C3770" s="626">
        <v>1000000</v>
      </c>
      <c r="D3770" s="626">
        <v>0</v>
      </c>
    </row>
    <row r="3771" spans="1:4" x14ac:dyDescent="0.2">
      <c r="A3771">
        <v>3770</v>
      </c>
      <c r="B3771" s="626">
        <v>0</v>
      </c>
      <c r="C3771" s="626">
        <v>1000000</v>
      </c>
      <c r="D3771" s="626">
        <v>0</v>
      </c>
    </row>
    <row r="3772" spans="1:4" x14ac:dyDescent="0.2">
      <c r="A3772">
        <v>3771</v>
      </c>
      <c r="B3772" s="626">
        <v>0</v>
      </c>
      <c r="C3772" s="626">
        <v>1000000</v>
      </c>
      <c r="D3772" s="626">
        <v>0</v>
      </c>
    </row>
    <row r="3773" spans="1:4" x14ac:dyDescent="0.2">
      <c r="A3773">
        <v>3772</v>
      </c>
      <c r="B3773" s="626">
        <v>0</v>
      </c>
      <c r="C3773" s="626">
        <v>1000000</v>
      </c>
      <c r="D3773" s="626">
        <v>0</v>
      </c>
    </row>
    <row r="3774" spans="1:4" x14ac:dyDescent="0.2">
      <c r="A3774">
        <v>3773</v>
      </c>
      <c r="B3774" s="626">
        <v>0</v>
      </c>
      <c r="C3774" s="626">
        <v>1000000</v>
      </c>
      <c r="D3774" s="626">
        <v>0</v>
      </c>
    </row>
    <row r="3775" spans="1:4" x14ac:dyDescent="0.2">
      <c r="A3775">
        <v>3774</v>
      </c>
      <c r="B3775" s="626">
        <v>0</v>
      </c>
      <c r="C3775" s="626">
        <v>1000000</v>
      </c>
      <c r="D3775" s="626">
        <v>0</v>
      </c>
    </row>
    <row r="3776" spans="1:4" x14ac:dyDescent="0.2">
      <c r="A3776">
        <v>3775</v>
      </c>
      <c r="B3776" s="626">
        <v>0</v>
      </c>
      <c r="C3776" s="626">
        <v>1000000</v>
      </c>
      <c r="D3776" s="626">
        <v>0</v>
      </c>
    </row>
    <row r="3777" spans="1:4" x14ac:dyDescent="0.2">
      <c r="A3777">
        <v>3776</v>
      </c>
      <c r="B3777" s="626">
        <v>0</v>
      </c>
      <c r="C3777" s="626">
        <v>1000000</v>
      </c>
      <c r="D3777" s="626">
        <v>0</v>
      </c>
    </row>
    <row r="3778" spans="1:4" x14ac:dyDescent="0.2">
      <c r="A3778">
        <v>3777</v>
      </c>
      <c r="B3778" s="626">
        <v>0</v>
      </c>
      <c r="C3778" s="626">
        <v>1000000</v>
      </c>
      <c r="D3778" s="626">
        <v>0</v>
      </c>
    </row>
    <row r="3779" spans="1:4" x14ac:dyDescent="0.2">
      <c r="A3779">
        <v>3778</v>
      </c>
      <c r="B3779" s="626">
        <v>0</v>
      </c>
      <c r="C3779" s="626">
        <v>1000000</v>
      </c>
      <c r="D3779" s="626">
        <v>0</v>
      </c>
    </row>
    <row r="3780" spans="1:4" x14ac:dyDescent="0.2">
      <c r="A3780">
        <v>3779</v>
      </c>
      <c r="B3780" s="626">
        <v>0</v>
      </c>
      <c r="C3780" s="626">
        <v>1000000</v>
      </c>
      <c r="D3780" s="626">
        <v>0</v>
      </c>
    </row>
    <row r="3781" spans="1:4" x14ac:dyDescent="0.2">
      <c r="A3781">
        <v>3780</v>
      </c>
      <c r="B3781" s="626">
        <v>0</v>
      </c>
      <c r="C3781" s="626">
        <v>1000000</v>
      </c>
      <c r="D3781" s="626">
        <v>0</v>
      </c>
    </row>
    <row r="3782" spans="1:4" x14ac:dyDescent="0.2">
      <c r="A3782">
        <v>3781</v>
      </c>
      <c r="B3782" s="626">
        <v>0</v>
      </c>
      <c r="C3782" s="626">
        <v>1000000</v>
      </c>
      <c r="D3782" s="626">
        <v>0</v>
      </c>
    </row>
    <row r="3783" spans="1:4" x14ac:dyDescent="0.2">
      <c r="A3783">
        <v>3782</v>
      </c>
      <c r="B3783" s="626">
        <v>0</v>
      </c>
      <c r="C3783" s="626">
        <v>1000000</v>
      </c>
      <c r="D3783" s="626">
        <v>0</v>
      </c>
    </row>
    <row r="3784" spans="1:4" x14ac:dyDescent="0.2">
      <c r="A3784">
        <v>3783</v>
      </c>
      <c r="B3784" s="626">
        <v>0</v>
      </c>
      <c r="C3784" s="626">
        <v>1000000</v>
      </c>
      <c r="D3784" s="626">
        <v>0</v>
      </c>
    </row>
    <row r="3785" spans="1:4" x14ac:dyDescent="0.2">
      <c r="A3785">
        <v>3784</v>
      </c>
      <c r="B3785" s="626">
        <v>0</v>
      </c>
      <c r="C3785" s="626">
        <v>1000000</v>
      </c>
      <c r="D3785" s="626">
        <v>0</v>
      </c>
    </row>
    <row r="3786" spans="1:4" x14ac:dyDescent="0.2">
      <c r="A3786">
        <v>3785</v>
      </c>
      <c r="B3786" s="626">
        <v>0</v>
      </c>
      <c r="C3786" s="626">
        <v>1000000</v>
      </c>
      <c r="D3786" s="626">
        <v>0</v>
      </c>
    </row>
    <row r="3787" spans="1:4" x14ac:dyDescent="0.2">
      <c r="A3787">
        <v>3786</v>
      </c>
      <c r="B3787" s="626">
        <v>0</v>
      </c>
      <c r="C3787" s="626">
        <v>1000000</v>
      </c>
      <c r="D3787" s="626">
        <v>0</v>
      </c>
    </row>
    <row r="3788" spans="1:4" x14ac:dyDescent="0.2">
      <c r="A3788">
        <v>3787</v>
      </c>
      <c r="B3788" s="626">
        <v>0</v>
      </c>
      <c r="C3788" s="626">
        <v>1000000</v>
      </c>
      <c r="D3788" s="626">
        <v>0</v>
      </c>
    </row>
    <row r="3789" spans="1:4" x14ac:dyDescent="0.2">
      <c r="A3789">
        <v>3788</v>
      </c>
      <c r="B3789" s="626">
        <v>0</v>
      </c>
      <c r="C3789" s="626">
        <v>1000000</v>
      </c>
      <c r="D3789" s="626">
        <v>0</v>
      </c>
    </row>
    <row r="3790" spans="1:4" x14ac:dyDescent="0.2">
      <c r="A3790">
        <v>3789</v>
      </c>
      <c r="B3790" s="626">
        <v>0</v>
      </c>
      <c r="C3790" s="626">
        <v>1000000</v>
      </c>
      <c r="D3790" s="626">
        <v>0</v>
      </c>
    </row>
    <row r="3791" spans="1:4" x14ac:dyDescent="0.2">
      <c r="A3791">
        <v>3790</v>
      </c>
      <c r="B3791" s="626">
        <v>0</v>
      </c>
      <c r="C3791" s="626">
        <v>1000000</v>
      </c>
      <c r="D3791" s="626">
        <v>0</v>
      </c>
    </row>
    <row r="3792" spans="1:4" x14ac:dyDescent="0.2">
      <c r="A3792">
        <v>3791</v>
      </c>
      <c r="B3792" s="626">
        <v>0</v>
      </c>
      <c r="C3792" s="626">
        <v>1000000</v>
      </c>
      <c r="D3792" s="626">
        <v>0</v>
      </c>
    </row>
    <row r="3793" spans="1:4" x14ac:dyDescent="0.2">
      <c r="A3793">
        <v>3792</v>
      </c>
      <c r="B3793" s="626">
        <v>0</v>
      </c>
      <c r="C3793" s="626">
        <v>1000000</v>
      </c>
      <c r="D3793" s="626">
        <v>0</v>
      </c>
    </row>
    <row r="3794" spans="1:4" x14ac:dyDescent="0.2">
      <c r="A3794">
        <v>3793</v>
      </c>
      <c r="B3794" s="626">
        <v>0</v>
      </c>
      <c r="C3794" s="626">
        <v>1000000</v>
      </c>
      <c r="D3794" s="626">
        <v>0</v>
      </c>
    </row>
    <row r="3795" spans="1:4" x14ac:dyDescent="0.2">
      <c r="A3795">
        <v>3794</v>
      </c>
      <c r="B3795" s="626">
        <v>0</v>
      </c>
      <c r="C3795" s="626">
        <v>1000000</v>
      </c>
      <c r="D3795" s="626">
        <v>0</v>
      </c>
    </row>
    <row r="3796" spans="1:4" x14ac:dyDescent="0.2">
      <c r="A3796">
        <v>3795</v>
      </c>
      <c r="B3796" s="626">
        <v>0</v>
      </c>
      <c r="C3796" s="626">
        <v>1000000</v>
      </c>
      <c r="D3796" s="626">
        <v>0</v>
      </c>
    </row>
    <row r="3797" spans="1:4" x14ac:dyDescent="0.2">
      <c r="A3797">
        <v>3796</v>
      </c>
      <c r="B3797" s="626">
        <v>0</v>
      </c>
      <c r="C3797" s="626">
        <v>1000000</v>
      </c>
      <c r="D3797" s="626">
        <v>0</v>
      </c>
    </row>
    <row r="3798" spans="1:4" x14ac:dyDescent="0.2">
      <c r="A3798">
        <v>3797</v>
      </c>
      <c r="B3798" s="626">
        <v>0</v>
      </c>
      <c r="C3798" s="626">
        <v>1000000</v>
      </c>
      <c r="D3798" s="626">
        <v>0</v>
      </c>
    </row>
    <row r="3799" spans="1:4" x14ac:dyDescent="0.2">
      <c r="A3799">
        <v>3798</v>
      </c>
      <c r="B3799" s="626">
        <v>0</v>
      </c>
      <c r="C3799" s="626">
        <v>1000000</v>
      </c>
      <c r="D3799" s="626">
        <v>0</v>
      </c>
    </row>
    <row r="3800" spans="1:4" x14ac:dyDescent="0.2">
      <c r="A3800">
        <v>3799</v>
      </c>
      <c r="B3800" s="626">
        <v>0</v>
      </c>
      <c r="C3800" s="626">
        <v>1000000</v>
      </c>
      <c r="D3800" s="626">
        <v>0</v>
      </c>
    </row>
    <row r="3801" spans="1:4" x14ac:dyDescent="0.2">
      <c r="A3801">
        <v>3800</v>
      </c>
      <c r="B3801" s="626">
        <v>0</v>
      </c>
      <c r="C3801" s="626">
        <v>1000000</v>
      </c>
      <c r="D3801" s="626">
        <v>0</v>
      </c>
    </row>
    <row r="3802" spans="1:4" x14ac:dyDescent="0.2">
      <c r="A3802">
        <v>3801</v>
      </c>
      <c r="B3802" s="626">
        <v>0</v>
      </c>
      <c r="C3802" s="626">
        <v>1000000</v>
      </c>
      <c r="D3802" s="626">
        <v>0</v>
      </c>
    </row>
    <row r="3803" spans="1:4" x14ac:dyDescent="0.2">
      <c r="A3803">
        <v>3802</v>
      </c>
      <c r="B3803" s="626">
        <v>0</v>
      </c>
      <c r="C3803" s="626">
        <v>1000000</v>
      </c>
      <c r="D3803" s="626">
        <v>0</v>
      </c>
    </row>
    <row r="3804" spans="1:4" x14ac:dyDescent="0.2">
      <c r="A3804">
        <v>3803</v>
      </c>
      <c r="B3804" s="626">
        <v>0</v>
      </c>
      <c r="C3804" s="626">
        <v>1000000</v>
      </c>
      <c r="D3804" s="626">
        <v>0</v>
      </c>
    </row>
    <row r="3805" spans="1:4" x14ac:dyDescent="0.2">
      <c r="A3805">
        <v>3804</v>
      </c>
      <c r="B3805" s="626">
        <v>0</v>
      </c>
      <c r="C3805" s="626">
        <v>1000000</v>
      </c>
      <c r="D3805" s="626">
        <v>0</v>
      </c>
    </row>
    <row r="3806" spans="1:4" x14ac:dyDescent="0.2">
      <c r="A3806">
        <v>3805</v>
      </c>
      <c r="B3806" s="626">
        <v>0</v>
      </c>
      <c r="C3806" s="626">
        <v>1000000</v>
      </c>
      <c r="D3806" s="626">
        <v>0</v>
      </c>
    </row>
    <row r="3807" spans="1:4" x14ac:dyDescent="0.2">
      <c r="A3807">
        <v>3806</v>
      </c>
      <c r="B3807" s="626">
        <v>0</v>
      </c>
      <c r="C3807" s="626">
        <v>1000000</v>
      </c>
      <c r="D3807" s="626">
        <v>0</v>
      </c>
    </row>
    <row r="3808" spans="1:4" x14ac:dyDescent="0.2">
      <c r="A3808">
        <v>3807</v>
      </c>
      <c r="B3808" s="626">
        <v>0</v>
      </c>
      <c r="C3808" s="626">
        <v>1000000</v>
      </c>
      <c r="D3808" s="626">
        <v>0</v>
      </c>
    </row>
    <row r="3809" spans="1:4" x14ac:dyDescent="0.2">
      <c r="A3809">
        <v>3808</v>
      </c>
      <c r="B3809" s="626">
        <v>0</v>
      </c>
      <c r="C3809" s="626">
        <v>1000000</v>
      </c>
      <c r="D3809" s="626">
        <v>0</v>
      </c>
    </row>
    <row r="3810" spans="1:4" x14ac:dyDescent="0.2">
      <c r="A3810">
        <v>3809</v>
      </c>
      <c r="B3810" s="626">
        <v>0</v>
      </c>
      <c r="C3810" s="626">
        <v>1000000</v>
      </c>
      <c r="D3810" s="626">
        <v>0</v>
      </c>
    </row>
    <row r="3811" spans="1:4" x14ac:dyDescent="0.2">
      <c r="A3811">
        <v>3810</v>
      </c>
      <c r="B3811" s="626">
        <v>0</v>
      </c>
      <c r="C3811" s="626">
        <v>1000000</v>
      </c>
      <c r="D3811" s="626">
        <v>0</v>
      </c>
    </row>
    <row r="3812" spans="1:4" x14ac:dyDescent="0.2">
      <c r="A3812">
        <v>3811</v>
      </c>
      <c r="B3812" s="626">
        <v>0</v>
      </c>
      <c r="C3812" s="626">
        <v>1000000</v>
      </c>
      <c r="D3812" s="626">
        <v>0</v>
      </c>
    </row>
    <row r="3813" spans="1:4" x14ac:dyDescent="0.2">
      <c r="A3813">
        <v>3812</v>
      </c>
      <c r="B3813" s="626">
        <v>0</v>
      </c>
      <c r="C3813" s="626">
        <v>1000000</v>
      </c>
      <c r="D3813" s="626">
        <v>0</v>
      </c>
    </row>
    <row r="3814" spans="1:4" x14ac:dyDescent="0.2">
      <c r="A3814">
        <v>3813</v>
      </c>
      <c r="B3814" s="626">
        <v>0</v>
      </c>
      <c r="C3814" s="626">
        <v>1000000</v>
      </c>
      <c r="D3814" s="626">
        <v>0</v>
      </c>
    </row>
    <row r="3815" spans="1:4" x14ac:dyDescent="0.2">
      <c r="A3815">
        <v>3814</v>
      </c>
      <c r="B3815" s="626">
        <v>0</v>
      </c>
      <c r="C3815" s="626">
        <v>1000000</v>
      </c>
      <c r="D3815" s="626">
        <v>0</v>
      </c>
    </row>
    <row r="3816" spans="1:4" x14ac:dyDescent="0.2">
      <c r="A3816">
        <v>3815</v>
      </c>
      <c r="B3816" s="626">
        <v>0</v>
      </c>
      <c r="C3816" s="626">
        <v>1000000</v>
      </c>
      <c r="D3816" s="626">
        <v>0</v>
      </c>
    </row>
    <row r="3817" spans="1:4" x14ac:dyDescent="0.2">
      <c r="A3817">
        <v>3816</v>
      </c>
      <c r="B3817" s="626">
        <v>0</v>
      </c>
      <c r="C3817" s="626">
        <v>1000000</v>
      </c>
      <c r="D3817" s="626">
        <v>0</v>
      </c>
    </row>
    <row r="3818" spans="1:4" x14ac:dyDescent="0.2">
      <c r="A3818">
        <v>3817</v>
      </c>
      <c r="B3818" s="626">
        <v>0</v>
      </c>
      <c r="C3818" s="626">
        <v>1000000</v>
      </c>
      <c r="D3818" s="626">
        <v>0</v>
      </c>
    </row>
    <row r="3819" spans="1:4" x14ac:dyDescent="0.2">
      <c r="A3819">
        <v>3818</v>
      </c>
      <c r="B3819" s="626">
        <v>0</v>
      </c>
      <c r="C3819" s="626">
        <v>1000000</v>
      </c>
      <c r="D3819" s="626">
        <v>0</v>
      </c>
    </row>
    <row r="3820" spans="1:4" x14ac:dyDescent="0.2">
      <c r="A3820">
        <v>3819</v>
      </c>
      <c r="B3820" s="626">
        <v>0</v>
      </c>
      <c r="C3820" s="626">
        <v>1000000</v>
      </c>
      <c r="D3820" s="626">
        <v>0</v>
      </c>
    </row>
    <row r="3821" spans="1:4" x14ac:dyDescent="0.2">
      <c r="A3821">
        <v>3820</v>
      </c>
      <c r="B3821" s="626">
        <v>0</v>
      </c>
      <c r="C3821" s="626">
        <v>1000000</v>
      </c>
      <c r="D3821" s="626">
        <v>0</v>
      </c>
    </row>
    <row r="3822" spans="1:4" x14ac:dyDescent="0.2">
      <c r="A3822">
        <v>3821</v>
      </c>
      <c r="B3822" s="626">
        <v>0</v>
      </c>
      <c r="C3822" s="626">
        <v>1000000</v>
      </c>
      <c r="D3822" s="626">
        <v>0</v>
      </c>
    </row>
    <row r="3823" spans="1:4" x14ac:dyDescent="0.2">
      <c r="A3823">
        <v>3822</v>
      </c>
      <c r="B3823" s="626">
        <v>0</v>
      </c>
      <c r="C3823" s="626">
        <v>1000000</v>
      </c>
      <c r="D3823" s="626">
        <v>0</v>
      </c>
    </row>
    <row r="3824" spans="1:4" x14ac:dyDescent="0.2">
      <c r="A3824">
        <v>3823</v>
      </c>
      <c r="B3824" s="626">
        <v>0</v>
      </c>
      <c r="C3824" s="626">
        <v>1000000</v>
      </c>
      <c r="D3824" s="626">
        <v>0</v>
      </c>
    </row>
    <row r="3825" spans="1:4" x14ac:dyDescent="0.2">
      <c r="A3825">
        <v>3824</v>
      </c>
      <c r="B3825" s="626">
        <v>0</v>
      </c>
      <c r="C3825" s="626">
        <v>1000000</v>
      </c>
      <c r="D3825" s="626">
        <v>0</v>
      </c>
    </row>
    <row r="3826" spans="1:4" x14ac:dyDescent="0.2">
      <c r="A3826">
        <v>3825</v>
      </c>
      <c r="B3826" s="626">
        <v>0</v>
      </c>
      <c r="C3826" s="626">
        <v>1000000</v>
      </c>
      <c r="D3826" s="626">
        <v>0</v>
      </c>
    </row>
    <row r="3827" spans="1:4" x14ac:dyDescent="0.2">
      <c r="A3827">
        <v>3826</v>
      </c>
      <c r="B3827" s="626">
        <v>0</v>
      </c>
      <c r="C3827" s="626">
        <v>1000000</v>
      </c>
      <c r="D3827" s="626">
        <v>0</v>
      </c>
    </row>
    <row r="3828" spans="1:4" x14ac:dyDescent="0.2">
      <c r="A3828">
        <v>3827</v>
      </c>
      <c r="B3828" s="626">
        <v>0</v>
      </c>
      <c r="C3828" s="626">
        <v>1000000</v>
      </c>
      <c r="D3828" s="626">
        <v>0</v>
      </c>
    </row>
    <row r="3829" spans="1:4" x14ac:dyDescent="0.2">
      <c r="A3829">
        <v>3828</v>
      </c>
      <c r="B3829" s="626">
        <v>0</v>
      </c>
      <c r="C3829" s="626">
        <v>1000000</v>
      </c>
      <c r="D3829" s="626">
        <v>0</v>
      </c>
    </row>
    <row r="3830" spans="1:4" x14ac:dyDescent="0.2">
      <c r="A3830">
        <v>3829</v>
      </c>
      <c r="B3830" s="626">
        <v>0</v>
      </c>
      <c r="C3830" s="626">
        <v>1000000</v>
      </c>
      <c r="D3830" s="626">
        <v>0</v>
      </c>
    </row>
    <row r="3831" spans="1:4" x14ac:dyDescent="0.2">
      <c r="A3831">
        <v>3830</v>
      </c>
      <c r="B3831" s="626">
        <v>0</v>
      </c>
      <c r="C3831" s="626">
        <v>1000000</v>
      </c>
      <c r="D3831" s="626">
        <v>0</v>
      </c>
    </row>
    <row r="3832" spans="1:4" x14ac:dyDescent="0.2">
      <c r="A3832">
        <v>3831</v>
      </c>
      <c r="B3832" s="626">
        <v>0</v>
      </c>
      <c r="C3832" s="626">
        <v>1000000</v>
      </c>
      <c r="D3832" s="626">
        <v>0</v>
      </c>
    </row>
    <row r="3833" spans="1:4" x14ac:dyDescent="0.2">
      <c r="A3833">
        <v>3832</v>
      </c>
      <c r="B3833" s="626">
        <v>0</v>
      </c>
      <c r="C3833" s="626">
        <v>1000000</v>
      </c>
      <c r="D3833" s="626">
        <v>0</v>
      </c>
    </row>
    <row r="3834" spans="1:4" x14ac:dyDescent="0.2">
      <c r="A3834">
        <v>3833</v>
      </c>
      <c r="B3834" s="626">
        <v>0</v>
      </c>
      <c r="C3834" s="626">
        <v>1000000</v>
      </c>
      <c r="D3834" s="626">
        <v>0</v>
      </c>
    </row>
    <row r="3835" spans="1:4" x14ac:dyDescent="0.2">
      <c r="A3835">
        <v>3834</v>
      </c>
      <c r="B3835" s="626">
        <v>0</v>
      </c>
      <c r="C3835" s="626">
        <v>1000000</v>
      </c>
      <c r="D3835" s="626">
        <v>0</v>
      </c>
    </row>
    <row r="3836" spans="1:4" x14ac:dyDescent="0.2">
      <c r="A3836">
        <v>3835</v>
      </c>
      <c r="B3836" s="626">
        <v>0</v>
      </c>
      <c r="C3836" s="626">
        <v>1000000</v>
      </c>
      <c r="D3836" s="626">
        <v>0</v>
      </c>
    </row>
    <row r="3837" spans="1:4" x14ac:dyDescent="0.2">
      <c r="A3837">
        <v>3836</v>
      </c>
      <c r="B3837" s="626">
        <v>0</v>
      </c>
      <c r="C3837" s="626">
        <v>1000000</v>
      </c>
      <c r="D3837" s="626">
        <v>0</v>
      </c>
    </row>
    <row r="3838" spans="1:4" x14ac:dyDescent="0.2">
      <c r="A3838">
        <v>3837</v>
      </c>
      <c r="B3838" s="626">
        <v>0</v>
      </c>
      <c r="C3838" s="626">
        <v>1000000</v>
      </c>
      <c r="D3838" s="626">
        <v>0</v>
      </c>
    </row>
    <row r="3839" spans="1:4" x14ac:dyDescent="0.2">
      <c r="A3839">
        <v>3838</v>
      </c>
      <c r="B3839" s="626">
        <v>0</v>
      </c>
      <c r="C3839" s="626">
        <v>1000000</v>
      </c>
      <c r="D3839" s="626">
        <v>0</v>
      </c>
    </row>
    <row r="3840" spans="1:4" x14ac:dyDescent="0.2">
      <c r="A3840">
        <v>3839</v>
      </c>
      <c r="B3840" s="626">
        <v>0</v>
      </c>
      <c r="C3840" s="626">
        <v>1000000</v>
      </c>
      <c r="D3840" s="626">
        <v>0</v>
      </c>
    </row>
    <row r="3841" spans="1:4" x14ac:dyDescent="0.2">
      <c r="A3841">
        <v>3840</v>
      </c>
      <c r="B3841" s="626">
        <v>0</v>
      </c>
      <c r="C3841" s="626">
        <v>1000000</v>
      </c>
      <c r="D3841" s="626">
        <v>0</v>
      </c>
    </row>
    <row r="3842" spans="1:4" x14ac:dyDescent="0.2">
      <c r="A3842">
        <v>3841</v>
      </c>
      <c r="B3842" s="626">
        <v>0</v>
      </c>
      <c r="C3842" s="626">
        <v>1000000</v>
      </c>
      <c r="D3842" s="626">
        <v>0</v>
      </c>
    </row>
    <row r="3843" spans="1:4" x14ac:dyDescent="0.2">
      <c r="A3843">
        <v>3842</v>
      </c>
      <c r="B3843" s="626">
        <v>0</v>
      </c>
      <c r="C3843" s="626">
        <v>1000000</v>
      </c>
      <c r="D3843" s="626">
        <v>0</v>
      </c>
    </row>
    <row r="3844" spans="1:4" x14ac:dyDescent="0.2">
      <c r="A3844">
        <v>3843</v>
      </c>
      <c r="B3844" s="626">
        <v>0</v>
      </c>
      <c r="C3844" s="626">
        <v>1000000</v>
      </c>
      <c r="D3844" s="626">
        <v>0</v>
      </c>
    </row>
    <row r="3845" spans="1:4" x14ac:dyDescent="0.2">
      <c r="A3845">
        <v>3844</v>
      </c>
      <c r="B3845" s="626">
        <v>0</v>
      </c>
      <c r="C3845" s="626">
        <v>1000000</v>
      </c>
      <c r="D3845" s="626">
        <v>0</v>
      </c>
    </row>
    <row r="3846" spans="1:4" x14ac:dyDescent="0.2">
      <c r="A3846">
        <v>3845</v>
      </c>
      <c r="B3846" s="626">
        <v>0</v>
      </c>
      <c r="C3846" s="626">
        <v>1000000</v>
      </c>
      <c r="D3846" s="626">
        <v>0</v>
      </c>
    </row>
    <row r="3847" spans="1:4" x14ac:dyDescent="0.2">
      <c r="A3847">
        <v>3846</v>
      </c>
      <c r="B3847" s="626">
        <v>0</v>
      </c>
      <c r="C3847" s="626">
        <v>1000000</v>
      </c>
      <c r="D3847" s="626">
        <v>0</v>
      </c>
    </row>
    <row r="3848" spans="1:4" x14ac:dyDescent="0.2">
      <c r="A3848">
        <v>3847</v>
      </c>
      <c r="B3848" s="626">
        <v>0</v>
      </c>
      <c r="C3848" s="626">
        <v>1000000</v>
      </c>
      <c r="D3848" s="626">
        <v>0</v>
      </c>
    </row>
    <row r="3849" spans="1:4" x14ac:dyDescent="0.2">
      <c r="A3849">
        <v>3848</v>
      </c>
      <c r="B3849" s="626">
        <v>0</v>
      </c>
      <c r="C3849" s="626">
        <v>1000000</v>
      </c>
      <c r="D3849" s="626">
        <v>0</v>
      </c>
    </row>
    <row r="3850" spans="1:4" x14ac:dyDescent="0.2">
      <c r="A3850">
        <v>3849</v>
      </c>
      <c r="B3850" s="626">
        <v>0</v>
      </c>
      <c r="C3850" s="626">
        <v>1000000</v>
      </c>
      <c r="D3850" s="626">
        <v>0</v>
      </c>
    </row>
    <row r="3851" spans="1:4" x14ac:dyDescent="0.2">
      <c r="A3851">
        <v>3850</v>
      </c>
      <c r="B3851" s="626">
        <v>0</v>
      </c>
      <c r="C3851" s="626">
        <v>1000000</v>
      </c>
      <c r="D3851" s="626">
        <v>0</v>
      </c>
    </row>
    <row r="3852" spans="1:4" x14ac:dyDescent="0.2">
      <c r="A3852">
        <v>3851</v>
      </c>
      <c r="B3852" s="626">
        <v>0</v>
      </c>
      <c r="C3852" s="626">
        <v>1000000</v>
      </c>
      <c r="D3852" s="626">
        <v>0</v>
      </c>
    </row>
    <row r="3853" spans="1:4" x14ac:dyDescent="0.2">
      <c r="A3853">
        <v>3852</v>
      </c>
      <c r="B3853" s="626">
        <v>0</v>
      </c>
      <c r="C3853" s="626">
        <v>1000000</v>
      </c>
      <c r="D3853" s="626">
        <v>0</v>
      </c>
    </row>
    <row r="3854" spans="1:4" x14ac:dyDescent="0.2">
      <c r="A3854">
        <v>3853</v>
      </c>
      <c r="B3854" s="626">
        <v>0</v>
      </c>
      <c r="C3854" s="626">
        <v>1000000</v>
      </c>
      <c r="D3854" s="626">
        <v>0</v>
      </c>
    </row>
    <row r="3855" spans="1:4" x14ac:dyDescent="0.2">
      <c r="A3855">
        <v>3854</v>
      </c>
      <c r="B3855" s="626">
        <v>0</v>
      </c>
      <c r="C3855" s="626">
        <v>1000000</v>
      </c>
      <c r="D3855" s="626">
        <v>0</v>
      </c>
    </row>
    <row r="3856" spans="1:4" x14ac:dyDescent="0.2">
      <c r="A3856">
        <v>3855</v>
      </c>
      <c r="B3856" s="626">
        <v>0</v>
      </c>
      <c r="C3856" s="626">
        <v>1000000</v>
      </c>
      <c r="D3856" s="626">
        <v>0</v>
      </c>
    </row>
    <row r="3857" spans="1:4" x14ac:dyDescent="0.2">
      <c r="A3857">
        <v>3856</v>
      </c>
      <c r="B3857" s="626">
        <v>0</v>
      </c>
      <c r="C3857" s="626">
        <v>1000000</v>
      </c>
      <c r="D3857" s="626">
        <v>0</v>
      </c>
    </row>
    <row r="3858" spans="1:4" x14ac:dyDescent="0.2">
      <c r="A3858">
        <v>3857</v>
      </c>
      <c r="B3858" s="626">
        <v>0</v>
      </c>
      <c r="C3858" s="626">
        <v>1000000</v>
      </c>
      <c r="D3858" s="626">
        <v>0</v>
      </c>
    </row>
    <row r="3859" spans="1:4" x14ac:dyDescent="0.2">
      <c r="A3859">
        <v>3858</v>
      </c>
      <c r="B3859" s="626">
        <v>0</v>
      </c>
      <c r="C3859" s="626">
        <v>1000000</v>
      </c>
      <c r="D3859" s="626">
        <v>0</v>
      </c>
    </row>
    <row r="3860" spans="1:4" x14ac:dyDescent="0.2">
      <c r="A3860">
        <v>3859</v>
      </c>
      <c r="B3860" s="626">
        <v>0</v>
      </c>
      <c r="C3860" s="626">
        <v>1000000</v>
      </c>
      <c r="D3860" s="626">
        <v>0</v>
      </c>
    </row>
    <row r="3861" spans="1:4" x14ac:dyDescent="0.2">
      <c r="A3861">
        <v>3860</v>
      </c>
      <c r="B3861" s="626">
        <v>0</v>
      </c>
      <c r="C3861" s="626">
        <v>1000000</v>
      </c>
      <c r="D3861" s="626">
        <v>0</v>
      </c>
    </row>
    <row r="3862" spans="1:4" x14ac:dyDescent="0.2">
      <c r="A3862">
        <v>3861</v>
      </c>
      <c r="B3862" s="626">
        <v>0</v>
      </c>
      <c r="C3862" s="626">
        <v>1000000</v>
      </c>
      <c r="D3862" s="626">
        <v>0</v>
      </c>
    </row>
    <row r="3863" spans="1:4" x14ac:dyDescent="0.2">
      <c r="A3863">
        <v>3862</v>
      </c>
      <c r="B3863" s="626">
        <v>0</v>
      </c>
      <c r="C3863" s="626">
        <v>1000000</v>
      </c>
      <c r="D3863" s="626">
        <v>0</v>
      </c>
    </row>
    <row r="3864" spans="1:4" x14ac:dyDescent="0.2">
      <c r="A3864">
        <v>3863</v>
      </c>
      <c r="B3864" s="626">
        <v>0</v>
      </c>
      <c r="C3864" s="626">
        <v>1000000</v>
      </c>
      <c r="D3864" s="626">
        <v>0</v>
      </c>
    </row>
    <row r="3865" spans="1:4" x14ac:dyDescent="0.2">
      <c r="A3865">
        <v>3864</v>
      </c>
      <c r="B3865" s="626">
        <v>0</v>
      </c>
      <c r="C3865" s="626">
        <v>1000000</v>
      </c>
      <c r="D3865" s="626">
        <v>0</v>
      </c>
    </row>
    <row r="3866" spans="1:4" x14ac:dyDescent="0.2">
      <c r="A3866">
        <v>3865</v>
      </c>
      <c r="B3866" s="626">
        <v>0</v>
      </c>
      <c r="C3866" s="626">
        <v>1000000</v>
      </c>
      <c r="D3866" s="626">
        <v>0</v>
      </c>
    </row>
    <row r="3867" spans="1:4" x14ac:dyDescent="0.2">
      <c r="A3867">
        <v>3866</v>
      </c>
      <c r="B3867" s="626">
        <v>0</v>
      </c>
      <c r="C3867" s="626">
        <v>1000000</v>
      </c>
      <c r="D3867" s="626">
        <v>0</v>
      </c>
    </row>
    <row r="3868" spans="1:4" x14ac:dyDescent="0.2">
      <c r="A3868">
        <v>3867</v>
      </c>
      <c r="B3868" s="626">
        <v>0</v>
      </c>
      <c r="C3868" s="626">
        <v>1000000</v>
      </c>
      <c r="D3868" s="626">
        <v>0</v>
      </c>
    </row>
    <row r="3869" spans="1:4" x14ac:dyDescent="0.2">
      <c r="A3869">
        <v>3868</v>
      </c>
      <c r="B3869" s="626">
        <v>0</v>
      </c>
      <c r="C3869" s="626">
        <v>1000000</v>
      </c>
      <c r="D3869" s="626">
        <v>0</v>
      </c>
    </row>
    <row r="3870" spans="1:4" x14ac:dyDescent="0.2">
      <c r="A3870">
        <v>3869</v>
      </c>
      <c r="B3870" s="626">
        <v>0</v>
      </c>
      <c r="C3870" s="626">
        <v>1000000</v>
      </c>
      <c r="D3870" s="626">
        <v>0</v>
      </c>
    </row>
    <row r="3871" spans="1:4" x14ac:dyDescent="0.2">
      <c r="A3871">
        <v>3870</v>
      </c>
      <c r="B3871" s="626">
        <v>0</v>
      </c>
      <c r="C3871" s="626">
        <v>1000000</v>
      </c>
      <c r="D3871" s="626">
        <v>0</v>
      </c>
    </row>
    <row r="3872" spans="1:4" x14ac:dyDescent="0.2">
      <c r="A3872">
        <v>3871</v>
      </c>
      <c r="B3872" s="626">
        <v>0</v>
      </c>
      <c r="C3872" s="626">
        <v>1000000</v>
      </c>
      <c r="D3872" s="626">
        <v>0</v>
      </c>
    </row>
    <row r="3873" spans="1:4" x14ac:dyDescent="0.2">
      <c r="A3873">
        <v>3872</v>
      </c>
      <c r="B3873" s="626">
        <v>0</v>
      </c>
      <c r="C3873" s="626">
        <v>1000000</v>
      </c>
      <c r="D3873" s="626">
        <v>0</v>
      </c>
    </row>
    <row r="3874" spans="1:4" x14ac:dyDescent="0.2">
      <c r="A3874">
        <v>3873</v>
      </c>
      <c r="B3874" s="626">
        <v>0</v>
      </c>
      <c r="C3874" s="626">
        <v>1000000</v>
      </c>
      <c r="D3874" s="626">
        <v>0</v>
      </c>
    </row>
    <row r="3875" spans="1:4" x14ac:dyDescent="0.2">
      <c r="A3875">
        <v>3874</v>
      </c>
      <c r="B3875" s="626">
        <v>0</v>
      </c>
      <c r="C3875" s="626">
        <v>1000000</v>
      </c>
      <c r="D3875" s="626">
        <v>0</v>
      </c>
    </row>
    <row r="3876" spans="1:4" x14ac:dyDescent="0.2">
      <c r="A3876">
        <v>3875</v>
      </c>
      <c r="B3876" s="626">
        <v>0</v>
      </c>
      <c r="C3876" s="626">
        <v>1000000</v>
      </c>
      <c r="D3876" s="626">
        <v>0</v>
      </c>
    </row>
    <row r="3877" spans="1:4" x14ac:dyDescent="0.2">
      <c r="A3877">
        <v>3876</v>
      </c>
      <c r="B3877" s="626">
        <v>0</v>
      </c>
      <c r="C3877" s="626">
        <v>1000000</v>
      </c>
      <c r="D3877" s="626">
        <v>0</v>
      </c>
    </row>
    <row r="3878" spans="1:4" x14ac:dyDescent="0.2">
      <c r="A3878">
        <v>3877</v>
      </c>
      <c r="B3878" s="626">
        <v>0</v>
      </c>
      <c r="C3878" s="626">
        <v>1000000</v>
      </c>
      <c r="D3878" s="626">
        <v>0</v>
      </c>
    </row>
    <row r="3879" spans="1:4" x14ac:dyDescent="0.2">
      <c r="A3879">
        <v>3878</v>
      </c>
      <c r="B3879" s="626">
        <v>0</v>
      </c>
      <c r="C3879" s="626">
        <v>1000000</v>
      </c>
      <c r="D3879" s="626">
        <v>0</v>
      </c>
    </row>
    <row r="3880" spans="1:4" x14ac:dyDescent="0.2">
      <c r="A3880">
        <v>3879</v>
      </c>
      <c r="B3880" s="626">
        <v>0</v>
      </c>
      <c r="C3880" s="626">
        <v>1000000</v>
      </c>
      <c r="D3880" s="626">
        <v>0</v>
      </c>
    </row>
    <row r="3881" spans="1:4" x14ac:dyDescent="0.2">
      <c r="A3881">
        <v>3880</v>
      </c>
      <c r="B3881" s="626">
        <v>0</v>
      </c>
      <c r="C3881" s="626">
        <v>1000000</v>
      </c>
      <c r="D3881" s="626">
        <v>0</v>
      </c>
    </row>
    <row r="3882" spans="1:4" x14ac:dyDescent="0.2">
      <c r="A3882">
        <v>3881</v>
      </c>
      <c r="B3882" s="626">
        <v>0</v>
      </c>
      <c r="C3882" s="626">
        <v>1000000</v>
      </c>
      <c r="D3882" s="626">
        <v>0</v>
      </c>
    </row>
    <row r="3883" spans="1:4" x14ac:dyDescent="0.2">
      <c r="A3883">
        <v>3882</v>
      </c>
      <c r="B3883" s="626">
        <v>0</v>
      </c>
      <c r="C3883" s="626">
        <v>1000000</v>
      </c>
      <c r="D3883" s="626">
        <v>0</v>
      </c>
    </row>
    <row r="3884" spans="1:4" x14ac:dyDescent="0.2">
      <c r="A3884">
        <v>3883</v>
      </c>
      <c r="B3884" s="626">
        <v>0</v>
      </c>
      <c r="C3884" s="626">
        <v>1000000</v>
      </c>
      <c r="D3884" s="626">
        <v>0</v>
      </c>
    </row>
    <row r="3885" spans="1:4" x14ac:dyDescent="0.2">
      <c r="A3885">
        <v>3884</v>
      </c>
      <c r="B3885" s="626">
        <v>0</v>
      </c>
      <c r="C3885" s="626">
        <v>1000000</v>
      </c>
      <c r="D3885" s="626">
        <v>0</v>
      </c>
    </row>
    <row r="3886" spans="1:4" x14ac:dyDescent="0.2">
      <c r="A3886">
        <v>3885</v>
      </c>
      <c r="B3886" s="626">
        <v>0</v>
      </c>
      <c r="C3886" s="626">
        <v>1000000</v>
      </c>
      <c r="D3886" s="626">
        <v>0</v>
      </c>
    </row>
    <row r="3887" spans="1:4" x14ac:dyDescent="0.2">
      <c r="A3887">
        <v>3886</v>
      </c>
      <c r="B3887" s="626">
        <v>0</v>
      </c>
      <c r="C3887" s="626">
        <v>1000000</v>
      </c>
      <c r="D3887" s="626">
        <v>0</v>
      </c>
    </row>
    <row r="3888" spans="1:4" x14ac:dyDescent="0.2">
      <c r="A3888">
        <v>3887</v>
      </c>
      <c r="B3888" s="626">
        <v>0</v>
      </c>
      <c r="C3888" s="626">
        <v>1000000</v>
      </c>
      <c r="D3888" s="626">
        <v>0</v>
      </c>
    </row>
    <row r="3889" spans="1:4" x14ac:dyDescent="0.2">
      <c r="A3889">
        <v>3888</v>
      </c>
      <c r="B3889" s="626">
        <v>0</v>
      </c>
      <c r="C3889" s="626">
        <v>1000000</v>
      </c>
      <c r="D3889" s="626">
        <v>0</v>
      </c>
    </row>
    <row r="3890" spans="1:4" x14ac:dyDescent="0.2">
      <c r="A3890">
        <v>3889</v>
      </c>
      <c r="B3890" s="626">
        <v>0</v>
      </c>
      <c r="C3890" s="626">
        <v>1000000</v>
      </c>
      <c r="D3890" s="626">
        <v>0</v>
      </c>
    </row>
    <row r="3891" spans="1:4" x14ac:dyDescent="0.2">
      <c r="A3891">
        <v>3890</v>
      </c>
      <c r="B3891" s="626">
        <v>0</v>
      </c>
      <c r="C3891" s="626">
        <v>1000000</v>
      </c>
      <c r="D3891" s="626">
        <v>0</v>
      </c>
    </row>
    <row r="3892" spans="1:4" x14ac:dyDescent="0.2">
      <c r="A3892">
        <v>3891</v>
      </c>
      <c r="B3892" s="626">
        <v>0</v>
      </c>
      <c r="C3892" s="626">
        <v>1000000</v>
      </c>
      <c r="D3892" s="626">
        <v>0</v>
      </c>
    </row>
    <row r="3893" spans="1:4" x14ac:dyDescent="0.2">
      <c r="A3893">
        <v>3892</v>
      </c>
      <c r="B3893" s="626">
        <v>0</v>
      </c>
      <c r="C3893" s="626">
        <v>1000000</v>
      </c>
      <c r="D3893" s="626">
        <v>0</v>
      </c>
    </row>
    <row r="3894" spans="1:4" x14ac:dyDescent="0.2">
      <c r="A3894">
        <v>3893</v>
      </c>
      <c r="B3894" s="626">
        <v>0</v>
      </c>
      <c r="C3894" s="626">
        <v>1000000</v>
      </c>
      <c r="D3894" s="626">
        <v>0</v>
      </c>
    </row>
    <row r="3895" spans="1:4" x14ac:dyDescent="0.2">
      <c r="A3895">
        <v>3894</v>
      </c>
      <c r="B3895" s="626">
        <v>0</v>
      </c>
      <c r="C3895" s="626">
        <v>1000000</v>
      </c>
      <c r="D3895" s="626">
        <v>0</v>
      </c>
    </row>
    <row r="3896" spans="1:4" x14ac:dyDescent="0.2">
      <c r="A3896">
        <v>3895</v>
      </c>
      <c r="B3896" s="626">
        <v>0</v>
      </c>
      <c r="C3896" s="626">
        <v>1000000</v>
      </c>
      <c r="D3896" s="626">
        <v>0</v>
      </c>
    </row>
    <row r="3897" spans="1:4" x14ac:dyDescent="0.2">
      <c r="A3897">
        <v>3896</v>
      </c>
      <c r="B3897" s="626">
        <v>0</v>
      </c>
      <c r="C3897" s="626">
        <v>1000000</v>
      </c>
      <c r="D3897" s="626">
        <v>0</v>
      </c>
    </row>
    <row r="3898" spans="1:4" x14ac:dyDescent="0.2">
      <c r="A3898">
        <v>3897</v>
      </c>
      <c r="B3898" s="626">
        <v>0</v>
      </c>
      <c r="C3898" s="626">
        <v>1000000</v>
      </c>
      <c r="D3898" s="626">
        <v>0</v>
      </c>
    </row>
    <row r="3899" spans="1:4" x14ac:dyDescent="0.2">
      <c r="A3899">
        <v>3898</v>
      </c>
      <c r="B3899" s="626">
        <v>0</v>
      </c>
      <c r="C3899" s="626">
        <v>1000000</v>
      </c>
      <c r="D3899" s="626">
        <v>0</v>
      </c>
    </row>
    <row r="3900" spans="1:4" x14ac:dyDescent="0.2">
      <c r="A3900">
        <v>3899</v>
      </c>
      <c r="B3900" s="626">
        <v>0</v>
      </c>
      <c r="C3900" s="626">
        <v>1000000</v>
      </c>
      <c r="D3900" s="626">
        <v>0</v>
      </c>
    </row>
    <row r="3901" spans="1:4" x14ac:dyDescent="0.2">
      <c r="A3901">
        <v>3900</v>
      </c>
      <c r="B3901" s="626">
        <v>0</v>
      </c>
      <c r="C3901" s="626">
        <v>1000000</v>
      </c>
      <c r="D3901" s="626">
        <v>0</v>
      </c>
    </row>
    <row r="3902" spans="1:4" x14ac:dyDescent="0.2">
      <c r="A3902">
        <v>3901</v>
      </c>
      <c r="B3902" s="626">
        <v>0</v>
      </c>
      <c r="C3902" s="626">
        <v>1000000</v>
      </c>
      <c r="D3902" s="626">
        <v>0</v>
      </c>
    </row>
    <row r="3903" spans="1:4" x14ac:dyDescent="0.2">
      <c r="A3903">
        <v>3902</v>
      </c>
      <c r="B3903" s="626">
        <v>0</v>
      </c>
      <c r="C3903" s="626">
        <v>1000000</v>
      </c>
      <c r="D3903" s="626">
        <v>0</v>
      </c>
    </row>
    <row r="3904" spans="1:4" x14ac:dyDescent="0.2">
      <c r="A3904">
        <v>3903</v>
      </c>
      <c r="B3904" s="626">
        <v>0</v>
      </c>
      <c r="C3904" s="626">
        <v>1000000</v>
      </c>
      <c r="D3904" s="626">
        <v>0</v>
      </c>
    </row>
    <row r="3905" spans="1:4" x14ac:dyDescent="0.2">
      <c r="A3905">
        <v>3904</v>
      </c>
      <c r="B3905" s="626">
        <v>0</v>
      </c>
      <c r="C3905" s="626">
        <v>1000000</v>
      </c>
      <c r="D3905" s="626">
        <v>0</v>
      </c>
    </row>
    <row r="3906" spans="1:4" x14ac:dyDescent="0.2">
      <c r="A3906">
        <v>3905</v>
      </c>
      <c r="B3906" s="626">
        <v>0</v>
      </c>
      <c r="C3906" s="626">
        <v>1000000</v>
      </c>
      <c r="D3906" s="626">
        <v>0</v>
      </c>
    </row>
    <row r="3907" spans="1:4" x14ac:dyDescent="0.2">
      <c r="A3907">
        <v>3906</v>
      </c>
      <c r="B3907" s="626">
        <v>0</v>
      </c>
      <c r="C3907" s="626">
        <v>1000000</v>
      </c>
      <c r="D3907" s="626">
        <v>0</v>
      </c>
    </row>
    <row r="3908" spans="1:4" x14ac:dyDescent="0.2">
      <c r="A3908">
        <v>3907</v>
      </c>
      <c r="B3908" s="626">
        <v>0</v>
      </c>
      <c r="C3908" s="626">
        <v>1000000</v>
      </c>
      <c r="D3908" s="626">
        <v>0</v>
      </c>
    </row>
    <row r="3909" spans="1:4" x14ac:dyDescent="0.2">
      <c r="A3909">
        <v>3908</v>
      </c>
      <c r="B3909" s="626">
        <v>0</v>
      </c>
      <c r="C3909" s="626">
        <v>1000000</v>
      </c>
      <c r="D3909" s="626">
        <v>0</v>
      </c>
    </row>
    <row r="3910" spans="1:4" x14ac:dyDescent="0.2">
      <c r="A3910">
        <v>3909</v>
      </c>
      <c r="B3910" s="626">
        <v>0</v>
      </c>
      <c r="C3910" s="626">
        <v>1000000</v>
      </c>
      <c r="D3910" s="626">
        <v>0</v>
      </c>
    </row>
    <row r="3911" spans="1:4" x14ac:dyDescent="0.2">
      <c r="A3911">
        <v>3910</v>
      </c>
      <c r="B3911" s="626">
        <v>0</v>
      </c>
      <c r="C3911" s="626">
        <v>1000000</v>
      </c>
      <c r="D3911" s="626">
        <v>0</v>
      </c>
    </row>
    <row r="3912" spans="1:4" x14ac:dyDescent="0.2">
      <c r="A3912">
        <v>3911</v>
      </c>
      <c r="B3912" s="626">
        <v>0</v>
      </c>
      <c r="C3912" s="626">
        <v>1000000</v>
      </c>
      <c r="D3912" s="626">
        <v>0</v>
      </c>
    </row>
    <row r="3913" spans="1:4" x14ac:dyDescent="0.2">
      <c r="A3913">
        <v>3912</v>
      </c>
      <c r="B3913" s="626">
        <v>0</v>
      </c>
      <c r="C3913" s="626">
        <v>1000000</v>
      </c>
      <c r="D3913" s="626">
        <v>0</v>
      </c>
    </row>
    <row r="3914" spans="1:4" x14ac:dyDescent="0.2">
      <c r="A3914">
        <v>3913</v>
      </c>
      <c r="B3914" s="626">
        <v>0</v>
      </c>
      <c r="C3914" s="626">
        <v>1000000</v>
      </c>
      <c r="D3914" s="626">
        <v>0</v>
      </c>
    </row>
    <row r="3915" spans="1:4" x14ac:dyDescent="0.2">
      <c r="A3915">
        <v>3914</v>
      </c>
      <c r="B3915" s="626">
        <v>0</v>
      </c>
      <c r="C3915" s="626">
        <v>1000000</v>
      </c>
      <c r="D3915" s="626">
        <v>0</v>
      </c>
    </row>
    <row r="3916" spans="1:4" x14ac:dyDescent="0.2">
      <c r="A3916">
        <v>3915</v>
      </c>
      <c r="B3916" s="626">
        <v>0</v>
      </c>
      <c r="C3916" s="626">
        <v>1000000</v>
      </c>
      <c r="D3916" s="626">
        <v>0</v>
      </c>
    </row>
    <row r="3917" spans="1:4" x14ac:dyDescent="0.2">
      <c r="A3917">
        <v>3916</v>
      </c>
      <c r="B3917" s="626">
        <v>0</v>
      </c>
      <c r="C3917" s="626">
        <v>1000000</v>
      </c>
      <c r="D3917" s="626">
        <v>0</v>
      </c>
    </row>
    <row r="3918" spans="1:4" x14ac:dyDescent="0.2">
      <c r="A3918">
        <v>3917</v>
      </c>
      <c r="B3918" s="626">
        <v>0</v>
      </c>
      <c r="C3918" s="626">
        <v>1000000</v>
      </c>
      <c r="D3918" s="626">
        <v>0</v>
      </c>
    </row>
    <row r="3919" spans="1:4" x14ac:dyDescent="0.2">
      <c r="A3919">
        <v>3918</v>
      </c>
      <c r="B3919" s="626">
        <v>0</v>
      </c>
      <c r="C3919" s="626">
        <v>1000000</v>
      </c>
      <c r="D3919" s="626">
        <v>0</v>
      </c>
    </row>
    <row r="3920" spans="1:4" x14ac:dyDescent="0.2">
      <c r="A3920">
        <v>3919</v>
      </c>
      <c r="B3920" s="626">
        <v>0</v>
      </c>
      <c r="C3920" s="626">
        <v>1000000</v>
      </c>
      <c r="D3920" s="626">
        <v>0</v>
      </c>
    </row>
    <row r="3921" spans="1:4" x14ac:dyDescent="0.2">
      <c r="A3921">
        <v>3920</v>
      </c>
      <c r="B3921" s="626">
        <v>0</v>
      </c>
      <c r="C3921" s="626">
        <v>1000000</v>
      </c>
      <c r="D3921" s="626">
        <v>0</v>
      </c>
    </row>
    <row r="3922" spans="1:4" x14ac:dyDescent="0.2">
      <c r="A3922">
        <v>3921</v>
      </c>
      <c r="B3922" s="626">
        <v>0</v>
      </c>
      <c r="C3922" s="626">
        <v>1000000</v>
      </c>
      <c r="D3922" s="626">
        <v>0</v>
      </c>
    </row>
    <row r="3923" spans="1:4" x14ac:dyDescent="0.2">
      <c r="A3923">
        <v>3922</v>
      </c>
      <c r="B3923" s="626">
        <v>0</v>
      </c>
      <c r="C3923" s="626">
        <v>1000000</v>
      </c>
      <c r="D3923" s="626">
        <v>0</v>
      </c>
    </row>
    <row r="3924" spans="1:4" x14ac:dyDescent="0.2">
      <c r="A3924">
        <v>3923</v>
      </c>
      <c r="B3924" s="626">
        <v>0</v>
      </c>
      <c r="C3924" s="626">
        <v>1000000</v>
      </c>
      <c r="D3924" s="626">
        <v>0</v>
      </c>
    </row>
    <row r="3925" spans="1:4" x14ac:dyDescent="0.2">
      <c r="A3925">
        <v>3924</v>
      </c>
      <c r="B3925" s="626">
        <v>0</v>
      </c>
      <c r="C3925" s="626">
        <v>1000000</v>
      </c>
      <c r="D3925" s="626">
        <v>0</v>
      </c>
    </row>
    <row r="3926" spans="1:4" x14ac:dyDescent="0.2">
      <c r="A3926">
        <v>3925</v>
      </c>
      <c r="B3926" s="626">
        <v>0</v>
      </c>
      <c r="C3926" s="626">
        <v>1000000</v>
      </c>
      <c r="D3926" s="626">
        <v>0</v>
      </c>
    </row>
    <row r="3927" spans="1:4" x14ac:dyDescent="0.2">
      <c r="A3927">
        <v>3926</v>
      </c>
      <c r="B3927" s="626">
        <v>0</v>
      </c>
      <c r="C3927" s="626">
        <v>1000000</v>
      </c>
      <c r="D3927" s="626">
        <v>0</v>
      </c>
    </row>
    <row r="3928" spans="1:4" x14ac:dyDescent="0.2">
      <c r="A3928">
        <v>3927</v>
      </c>
      <c r="B3928" s="626">
        <v>0</v>
      </c>
      <c r="C3928" s="626">
        <v>1000000</v>
      </c>
      <c r="D3928" s="626">
        <v>0</v>
      </c>
    </row>
    <row r="3929" spans="1:4" x14ac:dyDescent="0.2">
      <c r="A3929">
        <v>3928</v>
      </c>
      <c r="B3929" s="626">
        <v>0</v>
      </c>
      <c r="C3929" s="626">
        <v>1000000</v>
      </c>
      <c r="D3929" s="626">
        <v>0</v>
      </c>
    </row>
    <row r="3930" spans="1:4" x14ac:dyDescent="0.2">
      <c r="A3930">
        <v>3929</v>
      </c>
      <c r="B3930" s="626">
        <v>0</v>
      </c>
      <c r="C3930" s="626">
        <v>1000000</v>
      </c>
      <c r="D3930" s="626">
        <v>0</v>
      </c>
    </row>
    <row r="3931" spans="1:4" x14ac:dyDescent="0.2">
      <c r="A3931">
        <v>3930</v>
      </c>
      <c r="B3931" s="626">
        <v>0</v>
      </c>
      <c r="C3931" s="626">
        <v>1000000</v>
      </c>
      <c r="D3931" s="626">
        <v>0</v>
      </c>
    </row>
    <row r="3932" spans="1:4" x14ac:dyDescent="0.2">
      <c r="A3932">
        <v>3931</v>
      </c>
      <c r="B3932" s="626">
        <v>0</v>
      </c>
      <c r="C3932" s="626">
        <v>1000000</v>
      </c>
      <c r="D3932" s="626">
        <v>0</v>
      </c>
    </row>
    <row r="3933" spans="1:4" x14ac:dyDescent="0.2">
      <c r="A3933">
        <v>3932</v>
      </c>
      <c r="B3933" s="626">
        <v>0</v>
      </c>
      <c r="C3933" s="626">
        <v>1000000</v>
      </c>
      <c r="D3933" s="626">
        <v>0</v>
      </c>
    </row>
    <row r="3934" spans="1:4" x14ac:dyDescent="0.2">
      <c r="A3934">
        <v>3933</v>
      </c>
      <c r="B3934" s="626">
        <v>0</v>
      </c>
      <c r="C3934" s="626">
        <v>1000000</v>
      </c>
      <c r="D3934" s="626">
        <v>0</v>
      </c>
    </row>
    <row r="3935" spans="1:4" x14ac:dyDescent="0.2">
      <c r="A3935">
        <v>3934</v>
      </c>
      <c r="B3935" s="626">
        <v>0</v>
      </c>
      <c r="C3935" s="626">
        <v>1000000</v>
      </c>
      <c r="D3935" s="626">
        <v>0</v>
      </c>
    </row>
    <row r="3936" spans="1:4" x14ac:dyDescent="0.2">
      <c r="A3936">
        <v>3935</v>
      </c>
      <c r="B3936" s="626">
        <v>0</v>
      </c>
      <c r="C3936" s="626">
        <v>1000000</v>
      </c>
      <c r="D3936" s="626">
        <v>0</v>
      </c>
    </row>
    <row r="3937" spans="1:4" x14ac:dyDescent="0.2">
      <c r="A3937">
        <v>3936</v>
      </c>
      <c r="B3937" s="626">
        <v>0</v>
      </c>
      <c r="C3937" s="626">
        <v>1000000</v>
      </c>
      <c r="D3937" s="626">
        <v>0</v>
      </c>
    </row>
    <row r="3938" spans="1:4" x14ac:dyDescent="0.2">
      <c r="A3938">
        <v>3937</v>
      </c>
      <c r="B3938" s="626">
        <v>0</v>
      </c>
      <c r="C3938" s="626">
        <v>1000000</v>
      </c>
      <c r="D3938" s="626">
        <v>0</v>
      </c>
    </row>
    <row r="3939" spans="1:4" x14ac:dyDescent="0.2">
      <c r="A3939">
        <v>3938</v>
      </c>
      <c r="B3939" s="626">
        <v>0</v>
      </c>
      <c r="C3939" s="626">
        <v>1000000</v>
      </c>
      <c r="D3939" s="626">
        <v>0</v>
      </c>
    </row>
    <row r="3940" spans="1:4" x14ac:dyDescent="0.2">
      <c r="A3940">
        <v>3939</v>
      </c>
      <c r="B3940" s="626">
        <v>0</v>
      </c>
      <c r="C3940" s="626">
        <v>1000000</v>
      </c>
      <c r="D3940" s="626">
        <v>0</v>
      </c>
    </row>
    <row r="3941" spans="1:4" x14ac:dyDescent="0.2">
      <c r="A3941">
        <v>3940</v>
      </c>
      <c r="B3941" s="626">
        <v>0</v>
      </c>
      <c r="C3941" s="626">
        <v>1000000</v>
      </c>
      <c r="D3941" s="626">
        <v>0</v>
      </c>
    </row>
    <row r="3942" spans="1:4" x14ac:dyDescent="0.2">
      <c r="A3942">
        <v>3941</v>
      </c>
      <c r="B3942" s="626">
        <v>0</v>
      </c>
      <c r="C3942" s="626">
        <v>1000000</v>
      </c>
      <c r="D3942" s="626">
        <v>0</v>
      </c>
    </row>
    <row r="3943" spans="1:4" x14ac:dyDescent="0.2">
      <c r="A3943">
        <v>3942</v>
      </c>
      <c r="B3943" s="626">
        <v>0</v>
      </c>
      <c r="C3943" s="626">
        <v>1000000</v>
      </c>
      <c r="D3943" s="626">
        <v>0</v>
      </c>
    </row>
    <row r="3944" spans="1:4" x14ac:dyDescent="0.2">
      <c r="A3944">
        <v>3943</v>
      </c>
      <c r="B3944" s="626">
        <v>0</v>
      </c>
      <c r="C3944" s="626">
        <v>1000000</v>
      </c>
      <c r="D3944" s="626">
        <v>0</v>
      </c>
    </row>
    <row r="3945" spans="1:4" x14ac:dyDescent="0.2">
      <c r="A3945">
        <v>3944</v>
      </c>
      <c r="B3945" s="626">
        <v>0</v>
      </c>
      <c r="C3945" s="626">
        <v>1000000</v>
      </c>
      <c r="D3945" s="626">
        <v>0</v>
      </c>
    </row>
    <row r="3946" spans="1:4" x14ac:dyDescent="0.2">
      <c r="A3946">
        <v>3945</v>
      </c>
      <c r="B3946" s="626">
        <v>0</v>
      </c>
      <c r="C3946" s="626">
        <v>1000000</v>
      </c>
      <c r="D3946" s="626">
        <v>0</v>
      </c>
    </row>
    <row r="3947" spans="1:4" x14ac:dyDescent="0.2">
      <c r="A3947">
        <v>3946</v>
      </c>
      <c r="B3947" s="626">
        <v>0</v>
      </c>
      <c r="C3947" s="626">
        <v>1000000</v>
      </c>
      <c r="D3947" s="626">
        <v>0</v>
      </c>
    </row>
    <row r="3948" spans="1:4" x14ac:dyDescent="0.2">
      <c r="A3948">
        <v>3947</v>
      </c>
      <c r="B3948" s="626">
        <v>0</v>
      </c>
      <c r="C3948" s="626">
        <v>1000000</v>
      </c>
      <c r="D3948" s="626">
        <v>0</v>
      </c>
    </row>
    <row r="3949" spans="1:4" x14ac:dyDescent="0.2">
      <c r="A3949">
        <v>3948</v>
      </c>
      <c r="B3949" s="626">
        <v>0</v>
      </c>
      <c r="C3949" s="626">
        <v>1000000</v>
      </c>
      <c r="D3949" s="626">
        <v>0</v>
      </c>
    </row>
    <row r="3950" spans="1:4" x14ac:dyDescent="0.2">
      <c r="A3950">
        <v>3949</v>
      </c>
      <c r="B3950" s="626">
        <v>0</v>
      </c>
      <c r="C3950" s="626">
        <v>1000000</v>
      </c>
      <c r="D3950" s="626">
        <v>0</v>
      </c>
    </row>
    <row r="3951" spans="1:4" x14ac:dyDescent="0.2">
      <c r="A3951">
        <v>3950</v>
      </c>
      <c r="B3951" s="626">
        <v>0</v>
      </c>
      <c r="C3951" s="626">
        <v>1000000</v>
      </c>
      <c r="D3951" s="626">
        <v>0</v>
      </c>
    </row>
    <row r="3952" spans="1:4" x14ac:dyDescent="0.2">
      <c r="A3952">
        <v>3951</v>
      </c>
      <c r="B3952" s="626">
        <v>0</v>
      </c>
      <c r="C3952" s="626">
        <v>1000000</v>
      </c>
      <c r="D3952" s="626">
        <v>0</v>
      </c>
    </row>
    <row r="3953" spans="1:4" x14ac:dyDescent="0.2">
      <c r="A3953">
        <v>3952</v>
      </c>
      <c r="B3953" s="626">
        <v>0</v>
      </c>
      <c r="C3953" s="626">
        <v>1000000</v>
      </c>
      <c r="D3953" s="626">
        <v>0</v>
      </c>
    </row>
    <row r="3954" spans="1:4" x14ac:dyDescent="0.2">
      <c r="A3954">
        <v>3953</v>
      </c>
      <c r="B3954" s="626">
        <v>0</v>
      </c>
      <c r="C3954" s="626">
        <v>1000000</v>
      </c>
      <c r="D3954" s="626">
        <v>0</v>
      </c>
    </row>
    <row r="3955" spans="1:4" x14ac:dyDescent="0.2">
      <c r="A3955">
        <v>3954</v>
      </c>
      <c r="B3955" s="626">
        <v>0</v>
      </c>
      <c r="C3955" s="626">
        <v>1000000</v>
      </c>
      <c r="D3955" s="626">
        <v>0</v>
      </c>
    </row>
    <row r="3956" spans="1:4" x14ac:dyDescent="0.2">
      <c r="A3956">
        <v>3955</v>
      </c>
      <c r="B3956" s="626">
        <v>0</v>
      </c>
      <c r="C3956" s="626">
        <v>1000000</v>
      </c>
      <c r="D3956" s="626">
        <v>0</v>
      </c>
    </row>
    <row r="3957" spans="1:4" x14ac:dyDescent="0.2">
      <c r="A3957">
        <v>3956</v>
      </c>
      <c r="B3957" s="626">
        <v>0</v>
      </c>
      <c r="C3957" s="626">
        <v>1000000</v>
      </c>
      <c r="D3957" s="626">
        <v>0</v>
      </c>
    </row>
    <row r="3958" spans="1:4" x14ac:dyDescent="0.2">
      <c r="A3958">
        <v>3957</v>
      </c>
      <c r="B3958" s="626">
        <v>0</v>
      </c>
      <c r="C3958" s="626">
        <v>1000000</v>
      </c>
      <c r="D3958" s="626">
        <v>0</v>
      </c>
    </row>
    <row r="3959" spans="1:4" x14ac:dyDescent="0.2">
      <c r="A3959">
        <v>3958</v>
      </c>
      <c r="B3959" s="626">
        <v>0</v>
      </c>
      <c r="C3959" s="626">
        <v>1000000</v>
      </c>
      <c r="D3959" s="626">
        <v>0</v>
      </c>
    </row>
    <row r="3960" spans="1:4" x14ac:dyDescent="0.2">
      <c r="A3960">
        <v>3959</v>
      </c>
      <c r="B3960" s="626">
        <v>0</v>
      </c>
      <c r="C3960" s="626">
        <v>1000000</v>
      </c>
      <c r="D3960" s="626">
        <v>0</v>
      </c>
    </row>
    <row r="3961" spans="1:4" x14ac:dyDescent="0.2">
      <c r="A3961">
        <v>3960</v>
      </c>
      <c r="B3961" s="626">
        <v>0</v>
      </c>
      <c r="C3961" s="626">
        <v>1000000</v>
      </c>
      <c r="D3961" s="626">
        <v>0</v>
      </c>
    </row>
    <row r="3962" spans="1:4" x14ac:dyDescent="0.2">
      <c r="A3962">
        <v>3961</v>
      </c>
      <c r="B3962" s="626">
        <v>0</v>
      </c>
      <c r="C3962" s="626">
        <v>1000000</v>
      </c>
      <c r="D3962" s="626">
        <v>0</v>
      </c>
    </row>
    <row r="3963" spans="1:4" x14ac:dyDescent="0.2">
      <c r="A3963">
        <v>3962</v>
      </c>
      <c r="B3963" s="626">
        <v>0</v>
      </c>
      <c r="C3963" s="626">
        <v>1000000</v>
      </c>
      <c r="D3963" s="626">
        <v>0</v>
      </c>
    </row>
    <row r="3964" spans="1:4" x14ac:dyDescent="0.2">
      <c r="A3964">
        <v>3963</v>
      </c>
      <c r="B3964" s="626">
        <v>0</v>
      </c>
      <c r="C3964" s="626">
        <v>1000000</v>
      </c>
      <c r="D3964" s="626">
        <v>0</v>
      </c>
    </row>
    <row r="3965" spans="1:4" x14ac:dyDescent="0.2">
      <c r="A3965">
        <v>3964</v>
      </c>
      <c r="B3965" s="626">
        <v>0</v>
      </c>
      <c r="C3965" s="626">
        <v>1000000</v>
      </c>
      <c r="D3965" s="626">
        <v>0</v>
      </c>
    </row>
    <row r="3966" spans="1:4" x14ac:dyDescent="0.2">
      <c r="A3966">
        <v>3965</v>
      </c>
      <c r="B3966" s="626">
        <v>0</v>
      </c>
      <c r="C3966" s="626">
        <v>1000000</v>
      </c>
      <c r="D3966" s="626">
        <v>0</v>
      </c>
    </row>
    <row r="3967" spans="1:4" x14ac:dyDescent="0.2">
      <c r="A3967">
        <v>3966</v>
      </c>
      <c r="B3967" s="626">
        <v>0</v>
      </c>
      <c r="C3967" s="626">
        <v>1000000</v>
      </c>
      <c r="D3967" s="626">
        <v>0</v>
      </c>
    </row>
    <row r="3968" spans="1:4" x14ac:dyDescent="0.2">
      <c r="A3968">
        <v>3967</v>
      </c>
      <c r="B3968" s="626">
        <v>0</v>
      </c>
      <c r="C3968" s="626">
        <v>1000000</v>
      </c>
      <c r="D3968" s="626">
        <v>0</v>
      </c>
    </row>
    <row r="3969" spans="1:4" x14ac:dyDescent="0.2">
      <c r="A3969">
        <v>3968</v>
      </c>
      <c r="B3969" s="626">
        <v>0</v>
      </c>
      <c r="C3969" s="626">
        <v>1000000</v>
      </c>
      <c r="D3969" s="626">
        <v>0</v>
      </c>
    </row>
    <row r="3970" spans="1:4" x14ac:dyDescent="0.2">
      <c r="A3970">
        <v>3969</v>
      </c>
      <c r="B3970" s="626">
        <v>0</v>
      </c>
      <c r="C3970" s="626">
        <v>1000000</v>
      </c>
      <c r="D3970" s="626">
        <v>0</v>
      </c>
    </row>
    <row r="3971" spans="1:4" x14ac:dyDescent="0.2">
      <c r="A3971">
        <v>3970</v>
      </c>
      <c r="B3971" s="626">
        <v>0</v>
      </c>
      <c r="C3971" s="626">
        <v>1000000</v>
      </c>
      <c r="D3971" s="626">
        <v>0</v>
      </c>
    </row>
    <row r="3972" spans="1:4" x14ac:dyDescent="0.2">
      <c r="A3972">
        <v>3971</v>
      </c>
      <c r="B3972" s="626">
        <v>0</v>
      </c>
      <c r="C3972" s="626">
        <v>1000000</v>
      </c>
      <c r="D3972" s="626">
        <v>0</v>
      </c>
    </row>
    <row r="3973" spans="1:4" x14ac:dyDescent="0.2">
      <c r="A3973">
        <v>3972</v>
      </c>
      <c r="B3973" s="626">
        <v>0</v>
      </c>
      <c r="C3973" s="626">
        <v>1000000</v>
      </c>
      <c r="D3973" s="626">
        <v>0</v>
      </c>
    </row>
    <row r="3974" spans="1:4" x14ac:dyDescent="0.2">
      <c r="A3974">
        <v>3973</v>
      </c>
      <c r="B3974" s="626">
        <v>0</v>
      </c>
      <c r="C3974" s="626">
        <v>1000000</v>
      </c>
      <c r="D3974" s="626">
        <v>0</v>
      </c>
    </row>
    <row r="3975" spans="1:4" x14ac:dyDescent="0.2">
      <c r="A3975">
        <v>3974</v>
      </c>
      <c r="B3975" s="626">
        <v>0</v>
      </c>
      <c r="C3975" s="626">
        <v>1000000</v>
      </c>
      <c r="D3975" s="626">
        <v>0</v>
      </c>
    </row>
    <row r="3976" spans="1:4" x14ac:dyDescent="0.2">
      <c r="A3976">
        <v>3975</v>
      </c>
      <c r="B3976" s="626">
        <v>0</v>
      </c>
      <c r="C3976" s="626">
        <v>1000000</v>
      </c>
      <c r="D3976" s="626">
        <v>0</v>
      </c>
    </row>
    <row r="3977" spans="1:4" x14ac:dyDescent="0.2">
      <c r="A3977">
        <v>3976</v>
      </c>
      <c r="B3977" s="626">
        <v>0</v>
      </c>
      <c r="C3977" s="626">
        <v>1000000</v>
      </c>
      <c r="D3977" s="626">
        <v>0</v>
      </c>
    </row>
    <row r="3978" spans="1:4" x14ac:dyDescent="0.2">
      <c r="A3978">
        <v>3977</v>
      </c>
      <c r="B3978" s="626">
        <v>0</v>
      </c>
      <c r="C3978" s="626">
        <v>1000000</v>
      </c>
      <c r="D3978" s="626">
        <v>0</v>
      </c>
    </row>
    <row r="3979" spans="1:4" x14ac:dyDescent="0.2">
      <c r="A3979">
        <v>3978</v>
      </c>
      <c r="B3979" s="626">
        <v>0</v>
      </c>
      <c r="C3979" s="626">
        <v>1000000</v>
      </c>
      <c r="D3979" s="626">
        <v>0</v>
      </c>
    </row>
    <row r="3980" spans="1:4" x14ac:dyDescent="0.2">
      <c r="A3980">
        <v>3979</v>
      </c>
      <c r="B3980" s="626">
        <v>0</v>
      </c>
      <c r="C3980" s="626">
        <v>1000000</v>
      </c>
      <c r="D3980" s="626">
        <v>0</v>
      </c>
    </row>
    <row r="3981" spans="1:4" x14ac:dyDescent="0.2">
      <c r="A3981">
        <v>3980</v>
      </c>
      <c r="B3981" s="626">
        <v>0</v>
      </c>
      <c r="C3981" s="626">
        <v>1000000</v>
      </c>
      <c r="D3981" s="626">
        <v>0</v>
      </c>
    </row>
    <row r="3982" spans="1:4" x14ac:dyDescent="0.2">
      <c r="A3982">
        <v>3981</v>
      </c>
      <c r="B3982" s="626">
        <v>0</v>
      </c>
      <c r="C3982" s="626">
        <v>1000000</v>
      </c>
      <c r="D3982" s="626">
        <v>0</v>
      </c>
    </row>
    <row r="3983" spans="1:4" x14ac:dyDescent="0.2">
      <c r="A3983">
        <v>3982</v>
      </c>
      <c r="B3983" s="626">
        <v>0</v>
      </c>
      <c r="C3983" s="626">
        <v>1000000</v>
      </c>
      <c r="D3983" s="626">
        <v>0</v>
      </c>
    </row>
    <row r="3984" spans="1:4" x14ac:dyDescent="0.2">
      <c r="A3984">
        <v>3983</v>
      </c>
      <c r="B3984" s="626">
        <v>0</v>
      </c>
      <c r="C3984" s="626">
        <v>1000000</v>
      </c>
      <c r="D3984" s="626">
        <v>0</v>
      </c>
    </row>
    <row r="3985" spans="1:4" x14ac:dyDescent="0.2">
      <c r="A3985">
        <v>3984</v>
      </c>
      <c r="B3985" s="626">
        <v>0</v>
      </c>
      <c r="C3985" s="626">
        <v>1000000</v>
      </c>
      <c r="D3985" s="626">
        <v>0</v>
      </c>
    </row>
    <row r="3986" spans="1:4" x14ac:dyDescent="0.2">
      <c r="A3986">
        <v>3985</v>
      </c>
      <c r="B3986" s="626">
        <v>0</v>
      </c>
      <c r="C3986" s="626">
        <v>1000000</v>
      </c>
      <c r="D3986" s="626">
        <v>0</v>
      </c>
    </row>
    <row r="3987" spans="1:4" x14ac:dyDescent="0.2">
      <c r="A3987">
        <v>3986</v>
      </c>
      <c r="B3987" s="626">
        <v>0</v>
      </c>
      <c r="C3987" s="626">
        <v>1000000</v>
      </c>
      <c r="D3987" s="626">
        <v>0</v>
      </c>
    </row>
    <row r="3988" spans="1:4" x14ac:dyDescent="0.2">
      <c r="A3988">
        <v>3987</v>
      </c>
      <c r="B3988" s="626">
        <v>0</v>
      </c>
      <c r="C3988" s="626">
        <v>1000000</v>
      </c>
      <c r="D3988" s="626">
        <v>0</v>
      </c>
    </row>
    <row r="3989" spans="1:4" x14ac:dyDescent="0.2">
      <c r="A3989">
        <v>3988</v>
      </c>
      <c r="B3989" s="626">
        <v>0</v>
      </c>
      <c r="C3989" s="626">
        <v>1000000</v>
      </c>
      <c r="D3989" s="626">
        <v>0</v>
      </c>
    </row>
    <row r="3990" spans="1:4" x14ac:dyDescent="0.2">
      <c r="A3990">
        <v>3989</v>
      </c>
      <c r="B3990" s="626">
        <v>0</v>
      </c>
      <c r="C3990" s="626">
        <v>1000000</v>
      </c>
      <c r="D3990" s="626">
        <v>0</v>
      </c>
    </row>
    <row r="3991" spans="1:4" x14ac:dyDescent="0.2">
      <c r="A3991">
        <v>3990</v>
      </c>
      <c r="B3991" s="626">
        <v>0</v>
      </c>
      <c r="C3991" s="626">
        <v>1000000</v>
      </c>
      <c r="D3991" s="626">
        <v>0</v>
      </c>
    </row>
    <row r="3992" spans="1:4" x14ac:dyDescent="0.2">
      <c r="A3992">
        <v>3991</v>
      </c>
      <c r="B3992" s="626">
        <v>0</v>
      </c>
      <c r="C3992" s="626">
        <v>1000000</v>
      </c>
      <c r="D3992" s="626">
        <v>0</v>
      </c>
    </row>
    <row r="3993" spans="1:4" x14ac:dyDescent="0.2">
      <c r="A3993">
        <v>3992</v>
      </c>
      <c r="B3993" s="626">
        <v>0</v>
      </c>
      <c r="C3993" s="626">
        <v>1000000</v>
      </c>
      <c r="D3993" s="626">
        <v>0</v>
      </c>
    </row>
    <row r="3994" spans="1:4" x14ac:dyDescent="0.2">
      <c r="A3994">
        <v>3993</v>
      </c>
      <c r="B3994" s="626">
        <v>0</v>
      </c>
      <c r="C3994" s="626">
        <v>1000000</v>
      </c>
      <c r="D3994" s="626">
        <v>0</v>
      </c>
    </row>
    <row r="3995" spans="1:4" x14ac:dyDescent="0.2">
      <c r="A3995">
        <v>3994</v>
      </c>
      <c r="B3995" s="626">
        <v>0</v>
      </c>
      <c r="C3995" s="626">
        <v>1000000</v>
      </c>
      <c r="D3995" s="626">
        <v>0</v>
      </c>
    </row>
    <row r="3996" spans="1:4" x14ac:dyDescent="0.2">
      <c r="A3996">
        <v>3995</v>
      </c>
      <c r="B3996" s="626">
        <v>0</v>
      </c>
      <c r="C3996" s="626">
        <v>1000000</v>
      </c>
      <c r="D3996" s="626">
        <v>0</v>
      </c>
    </row>
    <row r="3997" spans="1:4" x14ac:dyDescent="0.2">
      <c r="A3997">
        <v>3996</v>
      </c>
      <c r="B3997" s="626">
        <v>0</v>
      </c>
      <c r="C3997" s="626">
        <v>1000000</v>
      </c>
      <c r="D3997" s="626">
        <v>0</v>
      </c>
    </row>
    <row r="3998" spans="1:4" x14ac:dyDescent="0.2">
      <c r="A3998">
        <v>3997</v>
      </c>
      <c r="B3998" s="626">
        <v>0</v>
      </c>
      <c r="C3998" s="626">
        <v>1000000</v>
      </c>
      <c r="D3998" s="626">
        <v>0</v>
      </c>
    </row>
    <row r="3999" spans="1:4" x14ac:dyDescent="0.2">
      <c r="A3999">
        <v>3998</v>
      </c>
      <c r="B3999" s="626">
        <v>0</v>
      </c>
      <c r="C3999" s="626">
        <v>1000000</v>
      </c>
      <c r="D3999" s="626">
        <v>0</v>
      </c>
    </row>
    <row r="4000" spans="1:4" x14ac:dyDescent="0.2">
      <c r="A4000">
        <v>3999</v>
      </c>
      <c r="B4000" s="626">
        <v>0</v>
      </c>
      <c r="C4000" s="626">
        <v>1000000</v>
      </c>
      <c r="D4000" s="626">
        <v>0</v>
      </c>
    </row>
    <row r="4001" spans="1:4" x14ac:dyDescent="0.2">
      <c r="A4001">
        <v>4000</v>
      </c>
      <c r="B4001" s="626">
        <v>0</v>
      </c>
      <c r="C4001" s="626">
        <v>1000000</v>
      </c>
      <c r="D4001" s="626">
        <v>0</v>
      </c>
    </row>
    <row r="4002" spans="1:4" x14ac:dyDescent="0.2">
      <c r="A4002">
        <v>4001</v>
      </c>
      <c r="B4002" s="626">
        <v>0</v>
      </c>
      <c r="C4002" s="626">
        <v>1000000</v>
      </c>
      <c r="D4002" s="626">
        <v>0</v>
      </c>
    </row>
    <row r="4003" spans="1:4" x14ac:dyDescent="0.2">
      <c r="A4003">
        <v>4002</v>
      </c>
      <c r="B4003" s="626">
        <v>0</v>
      </c>
      <c r="C4003" s="626">
        <v>1000000</v>
      </c>
      <c r="D4003" s="626">
        <v>0</v>
      </c>
    </row>
    <row r="4004" spans="1:4" x14ac:dyDescent="0.2">
      <c r="A4004">
        <v>4003</v>
      </c>
      <c r="B4004" s="626">
        <v>0</v>
      </c>
      <c r="C4004" s="626">
        <v>1000000</v>
      </c>
      <c r="D4004" s="626">
        <v>0</v>
      </c>
    </row>
    <row r="4005" spans="1:4" x14ac:dyDescent="0.2">
      <c r="A4005">
        <v>4004</v>
      </c>
      <c r="B4005" s="626">
        <v>0</v>
      </c>
      <c r="C4005" s="626">
        <v>1000000</v>
      </c>
      <c r="D4005" s="626">
        <v>0</v>
      </c>
    </row>
    <row r="4006" spans="1:4" x14ac:dyDescent="0.2">
      <c r="A4006">
        <v>4005</v>
      </c>
      <c r="B4006" s="626">
        <v>0</v>
      </c>
      <c r="C4006" s="626">
        <v>1000000</v>
      </c>
      <c r="D4006" s="626">
        <v>0</v>
      </c>
    </row>
    <row r="4007" spans="1:4" x14ac:dyDescent="0.2">
      <c r="A4007">
        <v>4006</v>
      </c>
      <c r="B4007" s="626">
        <v>0</v>
      </c>
      <c r="C4007" s="626">
        <v>1000000</v>
      </c>
      <c r="D4007" s="626">
        <v>0</v>
      </c>
    </row>
    <row r="4008" spans="1:4" x14ac:dyDescent="0.2">
      <c r="A4008">
        <v>4007</v>
      </c>
      <c r="B4008" s="626">
        <v>0</v>
      </c>
      <c r="C4008" s="626">
        <v>1000000</v>
      </c>
      <c r="D4008" s="626">
        <v>0</v>
      </c>
    </row>
    <row r="4009" spans="1:4" x14ac:dyDescent="0.2">
      <c r="A4009">
        <v>4008</v>
      </c>
      <c r="B4009" s="626">
        <v>0</v>
      </c>
      <c r="C4009" s="626">
        <v>1000000</v>
      </c>
      <c r="D4009" s="626">
        <v>0</v>
      </c>
    </row>
    <row r="4010" spans="1:4" x14ac:dyDescent="0.2">
      <c r="A4010">
        <v>4009</v>
      </c>
      <c r="B4010" s="626">
        <v>0</v>
      </c>
      <c r="C4010" s="626">
        <v>1000000</v>
      </c>
      <c r="D4010" s="626">
        <v>0</v>
      </c>
    </row>
    <row r="4011" spans="1:4" x14ac:dyDescent="0.2">
      <c r="A4011">
        <v>4010</v>
      </c>
      <c r="B4011" s="626">
        <v>0</v>
      </c>
      <c r="C4011" s="626">
        <v>1000000</v>
      </c>
      <c r="D4011" s="626">
        <v>0</v>
      </c>
    </row>
    <row r="4012" spans="1:4" x14ac:dyDescent="0.2">
      <c r="A4012">
        <v>4011</v>
      </c>
      <c r="B4012" s="626">
        <v>0</v>
      </c>
      <c r="C4012" s="626">
        <v>1000000</v>
      </c>
      <c r="D4012" s="626">
        <v>0</v>
      </c>
    </row>
    <row r="4013" spans="1:4" x14ac:dyDescent="0.2">
      <c r="A4013">
        <v>4012</v>
      </c>
      <c r="B4013" s="626">
        <v>0</v>
      </c>
      <c r="C4013" s="626">
        <v>1000000</v>
      </c>
      <c r="D4013" s="626">
        <v>0</v>
      </c>
    </row>
    <row r="4014" spans="1:4" x14ac:dyDescent="0.2">
      <c r="A4014">
        <v>4013</v>
      </c>
      <c r="B4014" s="626">
        <v>0</v>
      </c>
      <c r="C4014" s="626">
        <v>1000000</v>
      </c>
      <c r="D4014" s="626">
        <v>0</v>
      </c>
    </row>
    <row r="4015" spans="1:4" x14ac:dyDescent="0.2">
      <c r="A4015">
        <v>4014</v>
      </c>
      <c r="B4015" s="626">
        <v>0</v>
      </c>
      <c r="C4015" s="626">
        <v>1000000</v>
      </c>
      <c r="D4015" s="626">
        <v>0</v>
      </c>
    </row>
    <row r="4016" spans="1:4" x14ac:dyDescent="0.2">
      <c r="A4016">
        <v>4015</v>
      </c>
      <c r="B4016" s="626">
        <v>0</v>
      </c>
      <c r="C4016" s="626">
        <v>1000000</v>
      </c>
      <c r="D4016" s="626">
        <v>0</v>
      </c>
    </row>
    <row r="4017" spans="1:4" x14ac:dyDescent="0.2">
      <c r="A4017">
        <v>4016</v>
      </c>
      <c r="B4017" s="626">
        <v>0</v>
      </c>
      <c r="C4017" s="626">
        <v>1000000</v>
      </c>
      <c r="D4017" s="626">
        <v>0</v>
      </c>
    </row>
    <row r="4018" spans="1:4" x14ac:dyDescent="0.2">
      <c r="A4018">
        <v>4017</v>
      </c>
      <c r="B4018" s="626">
        <v>0</v>
      </c>
      <c r="C4018" s="626">
        <v>1000000</v>
      </c>
      <c r="D4018" s="626">
        <v>0</v>
      </c>
    </row>
    <row r="4019" spans="1:4" x14ac:dyDescent="0.2">
      <c r="A4019">
        <v>4018</v>
      </c>
      <c r="B4019" s="626">
        <v>0</v>
      </c>
      <c r="C4019" s="626">
        <v>1000000</v>
      </c>
      <c r="D4019" s="626">
        <v>0</v>
      </c>
    </row>
    <row r="4020" spans="1:4" x14ac:dyDescent="0.2">
      <c r="A4020">
        <v>4019</v>
      </c>
      <c r="B4020" s="626">
        <v>0</v>
      </c>
      <c r="C4020" s="626">
        <v>1000000</v>
      </c>
      <c r="D4020" s="626">
        <v>0</v>
      </c>
    </row>
    <row r="4021" spans="1:4" x14ac:dyDescent="0.2">
      <c r="A4021">
        <v>4020</v>
      </c>
      <c r="B4021" s="626">
        <v>0</v>
      </c>
      <c r="C4021" s="626">
        <v>1000000</v>
      </c>
      <c r="D4021" s="626">
        <v>0</v>
      </c>
    </row>
    <row r="4022" spans="1:4" x14ac:dyDescent="0.2">
      <c r="A4022">
        <v>4021</v>
      </c>
      <c r="B4022" s="626">
        <v>0</v>
      </c>
      <c r="C4022" s="626">
        <v>1000000</v>
      </c>
      <c r="D4022" s="626">
        <v>0</v>
      </c>
    </row>
    <row r="4023" spans="1:4" x14ac:dyDescent="0.2">
      <c r="A4023">
        <v>4022</v>
      </c>
      <c r="B4023" s="626">
        <v>0</v>
      </c>
      <c r="C4023" s="626">
        <v>1000000</v>
      </c>
      <c r="D4023" s="626">
        <v>0</v>
      </c>
    </row>
    <row r="4024" spans="1:4" x14ac:dyDescent="0.2">
      <c r="A4024">
        <v>4023</v>
      </c>
      <c r="B4024" s="626">
        <v>0</v>
      </c>
      <c r="C4024" s="626">
        <v>1000000</v>
      </c>
      <c r="D4024" s="626">
        <v>0</v>
      </c>
    </row>
    <row r="4025" spans="1:4" x14ac:dyDescent="0.2">
      <c r="A4025">
        <v>4024</v>
      </c>
      <c r="B4025" s="626">
        <v>0</v>
      </c>
      <c r="C4025" s="626">
        <v>1000000</v>
      </c>
      <c r="D4025" s="626">
        <v>0</v>
      </c>
    </row>
    <row r="4026" spans="1:4" x14ac:dyDescent="0.2">
      <c r="A4026">
        <v>4025</v>
      </c>
      <c r="B4026" s="626">
        <v>0</v>
      </c>
      <c r="C4026" s="626">
        <v>1000000</v>
      </c>
      <c r="D4026" s="626">
        <v>0</v>
      </c>
    </row>
    <row r="4027" spans="1:4" x14ac:dyDescent="0.2">
      <c r="A4027">
        <v>4026</v>
      </c>
      <c r="B4027" s="626">
        <v>0</v>
      </c>
      <c r="C4027" s="626">
        <v>1000000</v>
      </c>
      <c r="D4027" s="626">
        <v>0</v>
      </c>
    </row>
    <row r="4028" spans="1:4" x14ac:dyDescent="0.2">
      <c r="A4028">
        <v>4027</v>
      </c>
      <c r="B4028" s="626">
        <v>0</v>
      </c>
      <c r="C4028" s="626">
        <v>1000000</v>
      </c>
      <c r="D4028" s="626">
        <v>0</v>
      </c>
    </row>
    <row r="4029" spans="1:4" x14ac:dyDescent="0.2">
      <c r="A4029">
        <v>4028</v>
      </c>
      <c r="B4029" s="626">
        <v>0</v>
      </c>
      <c r="C4029" s="626">
        <v>1000000</v>
      </c>
      <c r="D4029" s="626">
        <v>0</v>
      </c>
    </row>
    <row r="4030" spans="1:4" x14ac:dyDescent="0.2">
      <c r="A4030">
        <v>4029</v>
      </c>
      <c r="B4030" s="626">
        <v>0</v>
      </c>
      <c r="C4030" s="626">
        <v>1000000</v>
      </c>
      <c r="D4030" s="626">
        <v>0</v>
      </c>
    </row>
    <row r="4031" spans="1:4" x14ac:dyDescent="0.2">
      <c r="A4031">
        <v>4030</v>
      </c>
      <c r="B4031" s="626">
        <v>0</v>
      </c>
      <c r="C4031" s="626">
        <v>1000000</v>
      </c>
      <c r="D4031" s="626">
        <v>0</v>
      </c>
    </row>
    <row r="4032" spans="1:4" x14ac:dyDescent="0.2">
      <c r="A4032">
        <v>4031</v>
      </c>
      <c r="B4032" s="626">
        <v>0</v>
      </c>
      <c r="C4032" s="626">
        <v>1000000</v>
      </c>
      <c r="D4032" s="626">
        <v>0</v>
      </c>
    </row>
    <row r="4033" spans="1:4" x14ac:dyDescent="0.2">
      <c r="A4033">
        <v>4032</v>
      </c>
      <c r="B4033" s="626">
        <v>0</v>
      </c>
      <c r="C4033" s="626">
        <v>1000000</v>
      </c>
      <c r="D4033" s="626">
        <v>0</v>
      </c>
    </row>
    <row r="4034" spans="1:4" x14ac:dyDescent="0.2">
      <c r="A4034">
        <v>4033</v>
      </c>
      <c r="B4034" s="626">
        <v>0</v>
      </c>
      <c r="C4034" s="626">
        <v>1000000</v>
      </c>
      <c r="D4034" s="626">
        <v>0</v>
      </c>
    </row>
    <row r="4035" spans="1:4" x14ac:dyDescent="0.2">
      <c r="A4035">
        <v>4034</v>
      </c>
      <c r="B4035" s="626">
        <v>0</v>
      </c>
      <c r="C4035" s="626">
        <v>1000000</v>
      </c>
      <c r="D4035" s="626">
        <v>0</v>
      </c>
    </row>
    <row r="4036" spans="1:4" x14ac:dyDescent="0.2">
      <c r="A4036">
        <v>4035</v>
      </c>
      <c r="B4036" s="626">
        <v>0</v>
      </c>
      <c r="C4036" s="626">
        <v>1000000</v>
      </c>
      <c r="D4036" s="626">
        <v>0</v>
      </c>
    </row>
    <row r="4037" spans="1:4" x14ac:dyDescent="0.2">
      <c r="A4037">
        <v>4036</v>
      </c>
      <c r="B4037" s="626">
        <v>0</v>
      </c>
      <c r="C4037" s="626">
        <v>1000000</v>
      </c>
      <c r="D4037" s="626">
        <v>0</v>
      </c>
    </row>
    <row r="4038" spans="1:4" x14ac:dyDescent="0.2">
      <c r="A4038">
        <v>4037</v>
      </c>
      <c r="B4038" s="626">
        <v>0</v>
      </c>
      <c r="C4038" s="626">
        <v>1000000</v>
      </c>
      <c r="D4038" s="626">
        <v>0</v>
      </c>
    </row>
    <row r="4039" spans="1:4" x14ac:dyDescent="0.2">
      <c r="A4039">
        <v>4038</v>
      </c>
      <c r="B4039" s="626">
        <v>0</v>
      </c>
      <c r="C4039" s="626">
        <v>1000000</v>
      </c>
      <c r="D4039" s="626">
        <v>0</v>
      </c>
    </row>
    <row r="4040" spans="1:4" x14ac:dyDescent="0.2">
      <c r="A4040">
        <v>4039</v>
      </c>
      <c r="B4040" s="626">
        <v>0</v>
      </c>
      <c r="C4040" s="626">
        <v>1000000</v>
      </c>
      <c r="D4040" s="626">
        <v>0</v>
      </c>
    </row>
    <row r="4041" spans="1:4" x14ac:dyDescent="0.2">
      <c r="A4041">
        <v>4040</v>
      </c>
      <c r="B4041" s="626">
        <v>0</v>
      </c>
      <c r="C4041" s="626">
        <v>1000000</v>
      </c>
      <c r="D4041" s="626">
        <v>0</v>
      </c>
    </row>
    <row r="4042" spans="1:4" x14ac:dyDescent="0.2">
      <c r="A4042">
        <v>4041</v>
      </c>
      <c r="B4042" s="626">
        <v>0</v>
      </c>
      <c r="C4042" s="626">
        <v>1000000</v>
      </c>
      <c r="D4042" s="626">
        <v>0</v>
      </c>
    </row>
    <row r="4043" spans="1:4" x14ac:dyDescent="0.2">
      <c r="A4043">
        <v>4042</v>
      </c>
      <c r="B4043" s="626">
        <v>0</v>
      </c>
      <c r="C4043" s="626">
        <v>1000000</v>
      </c>
      <c r="D4043" s="626">
        <v>0</v>
      </c>
    </row>
    <row r="4044" spans="1:4" x14ac:dyDescent="0.2">
      <c r="A4044">
        <v>4043</v>
      </c>
      <c r="B4044" s="626">
        <v>0</v>
      </c>
      <c r="C4044" s="626">
        <v>1000000</v>
      </c>
      <c r="D4044" s="626">
        <v>0</v>
      </c>
    </row>
    <row r="4045" spans="1:4" x14ac:dyDescent="0.2">
      <c r="A4045">
        <v>4044</v>
      </c>
      <c r="B4045" s="626">
        <v>0</v>
      </c>
      <c r="C4045" s="626">
        <v>1000000</v>
      </c>
      <c r="D4045" s="626">
        <v>0</v>
      </c>
    </row>
    <row r="4046" spans="1:4" x14ac:dyDescent="0.2">
      <c r="A4046">
        <v>4045</v>
      </c>
      <c r="B4046" s="626">
        <v>0</v>
      </c>
      <c r="C4046" s="626">
        <v>1000000</v>
      </c>
      <c r="D4046" s="626">
        <v>0</v>
      </c>
    </row>
    <row r="4047" spans="1:4" x14ac:dyDescent="0.2">
      <c r="A4047">
        <v>4046</v>
      </c>
      <c r="B4047" s="626">
        <v>0</v>
      </c>
      <c r="C4047" s="626">
        <v>1000000</v>
      </c>
      <c r="D4047" s="626">
        <v>0</v>
      </c>
    </row>
    <row r="4048" spans="1:4" x14ac:dyDescent="0.2">
      <c r="A4048">
        <v>4047</v>
      </c>
      <c r="B4048" s="626">
        <v>0</v>
      </c>
      <c r="C4048" s="626">
        <v>1000000</v>
      </c>
      <c r="D4048" s="626">
        <v>0</v>
      </c>
    </row>
    <row r="4049" spans="1:4" x14ac:dyDescent="0.2">
      <c r="A4049">
        <v>4048</v>
      </c>
      <c r="B4049" s="626">
        <v>0</v>
      </c>
      <c r="C4049" s="626">
        <v>1000000</v>
      </c>
      <c r="D4049" s="626">
        <v>0</v>
      </c>
    </row>
    <row r="4050" spans="1:4" x14ac:dyDescent="0.2">
      <c r="A4050">
        <v>4049</v>
      </c>
      <c r="B4050" s="626">
        <v>0</v>
      </c>
      <c r="C4050" s="626">
        <v>1000000</v>
      </c>
      <c r="D4050" s="626">
        <v>0</v>
      </c>
    </row>
    <row r="4051" spans="1:4" x14ac:dyDescent="0.2">
      <c r="A4051">
        <v>4050</v>
      </c>
      <c r="B4051" s="626">
        <v>0</v>
      </c>
      <c r="C4051" s="626">
        <v>1000000</v>
      </c>
      <c r="D4051" s="626">
        <v>0</v>
      </c>
    </row>
    <row r="4052" spans="1:4" x14ac:dyDescent="0.2">
      <c r="A4052">
        <v>4051</v>
      </c>
      <c r="B4052" s="626">
        <v>0</v>
      </c>
      <c r="C4052" s="626">
        <v>1000000</v>
      </c>
      <c r="D4052" s="626">
        <v>0</v>
      </c>
    </row>
    <row r="4053" spans="1:4" x14ac:dyDescent="0.2">
      <c r="A4053">
        <v>4052</v>
      </c>
      <c r="B4053" s="626">
        <v>0</v>
      </c>
      <c r="C4053" s="626">
        <v>1000000</v>
      </c>
      <c r="D4053" s="626">
        <v>0</v>
      </c>
    </row>
    <row r="4054" spans="1:4" x14ac:dyDescent="0.2">
      <c r="A4054">
        <v>4053</v>
      </c>
      <c r="B4054" s="626">
        <v>0</v>
      </c>
      <c r="C4054" s="626">
        <v>1000000</v>
      </c>
      <c r="D4054" s="626">
        <v>0</v>
      </c>
    </row>
    <row r="4055" spans="1:4" x14ac:dyDescent="0.2">
      <c r="A4055">
        <v>4054</v>
      </c>
      <c r="B4055" s="626">
        <v>0</v>
      </c>
      <c r="C4055" s="626">
        <v>1000000</v>
      </c>
      <c r="D4055" s="626">
        <v>0</v>
      </c>
    </row>
    <row r="4056" spans="1:4" x14ac:dyDescent="0.2">
      <c r="A4056">
        <v>4055</v>
      </c>
      <c r="B4056" s="626">
        <v>0</v>
      </c>
      <c r="C4056" s="626">
        <v>1000000</v>
      </c>
      <c r="D4056" s="626">
        <v>0</v>
      </c>
    </row>
    <row r="4057" spans="1:4" x14ac:dyDescent="0.2">
      <c r="A4057">
        <v>4056</v>
      </c>
      <c r="B4057" s="626">
        <v>0</v>
      </c>
      <c r="C4057" s="626">
        <v>1000000</v>
      </c>
      <c r="D4057" s="626">
        <v>0</v>
      </c>
    </row>
    <row r="4058" spans="1:4" x14ac:dyDescent="0.2">
      <c r="A4058">
        <v>4057</v>
      </c>
      <c r="B4058" s="626">
        <v>0</v>
      </c>
      <c r="C4058" s="626">
        <v>1000000</v>
      </c>
      <c r="D4058" s="626">
        <v>0</v>
      </c>
    </row>
    <row r="4059" spans="1:4" x14ac:dyDescent="0.2">
      <c r="A4059">
        <v>4058</v>
      </c>
      <c r="B4059" s="626">
        <v>0</v>
      </c>
      <c r="C4059" s="626">
        <v>1000000</v>
      </c>
      <c r="D4059" s="626">
        <v>0</v>
      </c>
    </row>
    <row r="4060" spans="1:4" x14ac:dyDescent="0.2">
      <c r="A4060">
        <v>4059</v>
      </c>
      <c r="B4060" s="626">
        <v>0</v>
      </c>
      <c r="C4060" s="626">
        <v>1000000</v>
      </c>
      <c r="D4060" s="626">
        <v>0</v>
      </c>
    </row>
    <row r="4061" spans="1:4" x14ac:dyDescent="0.2">
      <c r="A4061">
        <v>4060</v>
      </c>
      <c r="B4061" s="626">
        <v>0</v>
      </c>
      <c r="C4061" s="626">
        <v>1000000</v>
      </c>
      <c r="D4061" s="626">
        <v>0</v>
      </c>
    </row>
    <row r="4062" spans="1:4" x14ac:dyDescent="0.2">
      <c r="A4062">
        <v>4061</v>
      </c>
      <c r="B4062" s="626">
        <v>0</v>
      </c>
      <c r="C4062" s="626">
        <v>1000000</v>
      </c>
      <c r="D4062" s="626">
        <v>0</v>
      </c>
    </row>
    <row r="4063" spans="1:4" x14ac:dyDescent="0.2">
      <c r="A4063">
        <v>4062</v>
      </c>
      <c r="B4063" s="626">
        <v>0</v>
      </c>
      <c r="C4063" s="626">
        <v>1000000</v>
      </c>
      <c r="D4063" s="626">
        <v>0</v>
      </c>
    </row>
    <row r="4064" spans="1:4" x14ac:dyDescent="0.2">
      <c r="A4064">
        <v>4063</v>
      </c>
      <c r="B4064" s="626">
        <v>0</v>
      </c>
      <c r="C4064" s="626">
        <v>1000000</v>
      </c>
      <c r="D4064" s="626">
        <v>0</v>
      </c>
    </row>
    <row r="4065" spans="1:4" x14ac:dyDescent="0.2">
      <c r="A4065">
        <v>4064</v>
      </c>
      <c r="B4065" s="626">
        <v>0</v>
      </c>
      <c r="C4065" s="626">
        <v>1000000</v>
      </c>
      <c r="D4065" s="626">
        <v>0</v>
      </c>
    </row>
    <row r="4066" spans="1:4" x14ac:dyDescent="0.2">
      <c r="A4066">
        <v>4065</v>
      </c>
      <c r="B4066" s="626">
        <v>0</v>
      </c>
      <c r="C4066" s="626">
        <v>1000000</v>
      </c>
      <c r="D4066" s="626">
        <v>0</v>
      </c>
    </row>
    <row r="4067" spans="1:4" x14ac:dyDescent="0.2">
      <c r="A4067">
        <v>4066</v>
      </c>
      <c r="B4067" s="626">
        <v>0</v>
      </c>
      <c r="C4067" s="626">
        <v>1000000</v>
      </c>
      <c r="D4067" s="626">
        <v>0</v>
      </c>
    </row>
    <row r="4068" spans="1:4" x14ac:dyDescent="0.2">
      <c r="A4068">
        <v>4067</v>
      </c>
      <c r="B4068" s="626">
        <v>0</v>
      </c>
      <c r="C4068" s="626">
        <v>1000000</v>
      </c>
      <c r="D4068" s="626">
        <v>0</v>
      </c>
    </row>
    <row r="4069" spans="1:4" x14ac:dyDescent="0.2">
      <c r="A4069">
        <v>4068</v>
      </c>
      <c r="B4069" s="626">
        <v>0</v>
      </c>
      <c r="C4069" s="626">
        <v>1000000</v>
      </c>
      <c r="D4069" s="626">
        <v>0</v>
      </c>
    </row>
    <row r="4070" spans="1:4" x14ac:dyDescent="0.2">
      <c r="A4070">
        <v>4069</v>
      </c>
      <c r="B4070" s="626">
        <v>0</v>
      </c>
      <c r="C4070" s="626">
        <v>1000000</v>
      </c>
      <c r="D4070" s="626">
        <v>0</v>
      </c>
    </row>
    <row r="4071" spans="1:4" x14ac:dyDescent="0.2">
      <c r="A4071">
        <v>4070</v>
      </c>
      <c r="B4071" s="626">
        <v>0</v>
      </c>
      <c r="C4071" s="626">
        <v>1000000</v>
      </c>
      <c r="D4071" s="626">
        <v>0</v>
      </c>
    </row>
    <row r="4072" spans="1:4" x14ac:dyDescent="0.2">
      <c r="A4072">
        <v>4071</v>
      </c>
      <c r="B4072" s="626">
        <v>0</v>
      </c>
      <c r="C4072" s="626">
        <v>1000000</v>
      </c>
      <c r="D4072" s="626">
        <v>0</v>
      </c>
    </row>
    <row r="4073" spans="1:4" x14ac:dyDescent="0.2">
      <c r="A4073">
        <v>4072</v>
      </c>
      <c r="B4073" s="626">
        <v>0</v>
      </c>
      <c r="C4073" s="626">
        <v>1000000</v>
      </c>
      <c r="D4073" s="626">
        <v>0</v>
      </c>
    </row>
    <row r="4074" spans="1:4" x14ac:dyDescent="0.2">
      <c r="A4074">
        <v>4073</v>
      </c>
      <c r="B4074" s="626">
        <v>0</v>
      </c>
      <c r="C4074" s="626">
        <v>1000000</v>
      </c>
      <c r="D4074" s="626">
        <v>0</v>
      </c>
    </row>
    <row r="4075" spans="1:4" x14ac:dyDescent="0.2">
      <c r="A4075">
        <v>4074</v>
      </c>
      <c r="B4075" s="626">
        <v>0</v>
      </c>
      <c r="C4075" s="626">
        <v>1000000</v>
      </c>
      <c r="D4075" s="626">
        <v>0</v>
      </c>
    </row>
    <row r="4076" spans="1:4" x14ac:dyDescent="0.2">
      <c r="A4076">
        <v>4075</v>
      </c>
      <c r="B4076" s="626">
        <v>0</v>
      </c>
      <c r="C4076" s="626">
        <v>1000000</v>
      </c>
      <c r="D4076" s="626">
        <v>0</v>
      </c>
    </row>
    <row r="4077" spans="1:4" x14ac:dyDescent="0.2">
      <c r="A4077">
        <v>4076</v>
      </c>
      <c r="B4077" s="626">
        <v>0</v>
      </c>
      <c r="C4077" s="626">
        <v>1000000</v>
      </c>
      <c r="D4077" s="626">
        <v>0</v>
      </c>
    </row>
    <row r="4078" spans="1:4" x14ac:dyDescent="0.2">
      <c r="A4078">
        <v>4077</v>
      </c>
      <c r="B4078" s="626">
        <v>0</v>
      </c>
      <c r="C4078" s="626">
        <v>1000000</v>
      </c>
      <c r="D4078" s="626">
        <v>0</v>
      </c>
    </row>
    <row r="4079" spans="1:4" x14ac:dyDescent="0.2">
      <c r="A4079">
        <v>4078</v>
      </c>
      <c r="B4079" s="626">
        <v>0</v>
      </c>
      <c r="C4079" s="626">
        <v>1000000</v>
      </c>
      <c r="D4079" s="626">
        <v>0</v>
      </c>
    </row>
    <row r="4080" spans="1:4" x14ac:dyDescent="0.2">
      <c r="A4080">
        <v>4079</v>
      </c>
      <c r="B4080" s="626">
        <v>0</v>
      </c>
      <c r="C4080" s="626">
        <v>1000000</v>
      </c>
      <c r="D4080" s="626">
        <v>0</v>
      </c>
    </row>
    <row r="4081" spans="1:4" x14ac:dyDescent="0.2">
      <c r="A4081">
        <v>4080</v>
      </c>
      <c r="B4081" s="626">
        <v>0</v>
      </c>
      <c r="C4081" s="626">
        <v>1000000</v>
      </c>
      <c r="D4081" s="626">
        <v>0</v>
      </c>
    </row>
    <row r="4082" spans="1:4" x14ac:dyDescent="0.2">
      <c r="A4082">
        <v>4081</v>
      </c>
      <c r="B4082" s="626">
        <v>0</v>
      </c>
      <c r="C4082" s="626">
        <v>1000000</v>
      </c>
      <c r="D4082" s="626">
        <v>0</v>
      </c>
    </row>
    <row r="4083" spans="1:4" x14ac:dyDescent="0.2">
      <c r="A4083">
        <v>4082</v>
      </c>
      <c r="B4083" s="626">
        <v>0</v>
      </c>
      <c r="C4083" s="626">
        <v>1000000</v>
      </c>
      <c r="D4083" s="626">
        <v>0</v>
      </c>
    </row>
    <row r="4084" spans="1:4" x14ac:dyDescent="0.2">
      <c r="A4084">
        <v>4083</v>
      </c>
      <c r="B4084" s="626">
        <v>0</v>
      </c>
      <c r="C4084" s="626">
        <v>1000000</v>
      </c>
      <c r="D4084" s="626">
        <v>0</v>
      </c>
    </row>
    <row r="4085" spans="1:4" x14ac:dyDescent="0.2">
      <c r="A4085">
        <v>4084</v>
      </c>
      <c r="B4085" s="626">
        <v>0</v>
      </c>
      <c r="C4085" s="626">
        <v>1000000</v>
      </c>
      <c r="D4085" s="626">
        <v>0</v>
      </c>
    </row>
    <row r="4086" spans="1:4" x14ac:dyDescent="0.2">
      <c r="A4086">
        <v>4085</v>
      </c>
      <c r="B4086" s="626">
        <v>0</v>
      </c>
      <c r="C4086" s="626">
        <v>1000000</v>
      </c>
      <c r="D4086" s="626">
        <v>0</v>
      </c>
    </row>
    <row r="4087" spans="1:4" x14ac:dyDescent="0.2">
      <c r="A4087">
        <v>4086</v>
      </c>
      <c r="B4087" s="626">
        <v>0</v>
      </c>
      <c r="C4087" s="626">
        <v>1000000</v>
      </c>
      <c r="D4087" s="626">
        <v>0</v>
      </c>
    </row>
    <row r="4088" spans="1:4" x14ac:dyDescent="0.2">
      <c r="A4088">
        <v>4087</v>
      </c>
      <c r="B4088" s="626">
        <v>0</v>
      </c>
      <c r="C4088" s="626">
        <v>1000000</v>
      </c>
      <c r="D4088" s="626">
        <v>0</v>
      </c>
    </row>
    <row r="4089" spans="1:4" x14ac:dyDescent="0.2">
      <c r="A4089">
        <v>4088</v>
      </c>
      <c r="B4089" s="626">
        <v>0</v>
      </c>
      <c r="C4089" s="626">
        <v>1000000</v>
      </c>
      <c r="D4089" s="626">
        <v>0</v>
      </c>
    </row>
    <row r="4090" spans="1:4" x14ac:dyDescent="0.2">
      <c r="A4090">
        <v>4089</v>
      </c>
      <c r="B4090" s="626">
        <v>0</v>
      </c>
      <c r="C4090" s="626">
        <v>1000000</v>
      </c>
      <c r="D4090" s="626">
        <v>0</v>
      </c>
    </row>
    <row r="4091" spans="1:4" x14ac:dyDescent="0.2">
      <c r="A4091">
        <v>4090</v>
      </c>
      <c r="B4091" s="626">
        <v>0</v>
      </c>
      <c r="C4091" s="626">
        <v>1000000</v>
      </c>
      <c r="D4091" s="626">
        <v>0</v>
      </c>
    </row>
    <row r="4092" spans="1:4" x14ac:dyDescent="0.2">
      <c r="A4092">
        <v>4091</v>
      </c>
      <c r="B4092" s="626">
        <v>0</v>
      </c>
      <c r="C4092" s="626">
        <v>1000000</v>
      </c>
      <c r="D4092" s="626">
        <v>0</v>
      </c>
    </row>
    <row r="4093" spans="1:4" x14ac:dyDescent="0.2">
      <c r="A4093">
        <v>4092</v>
      </c>
      <c r="B4093" s="626">
        <v>0</v>
      </c>
      <c r="C4093" s="626">
        <v>1000000</v>
      </c>
      <c r="D4093" s="626">
        <v>0</v>
      </c>
    </row>
    <row r="4094" spans="1:4" x14ac:dyDescent="0.2">
      <c r="A4094">
        <v>4093</v>
      </c>
      <c r="B4094" s="626">
        <v>0</v>
      </c>
      <c r="C4094" s="626">
        <v>1000000</v>
      </c>
      <c r="D4094" s="626">
        <v>0</v>
      </c>
    </row>
    <row r="4095" spans="1:4" x14ac:dyDescent="0.2">
      <c r="A4095">
        <v>4094</v>
      </c>
      <c r="B4095" s="626">
        <v>0</v>
      </c>
      <c r="C4095" s="626">
        <v>1000000</v>
      </c>
      <c r="D4095" s="626">
        <v>0</v>
      </c>
    </row>
    <row r="4096" spans="1:4" x14ac:dyDescent="0.2">
      <c r="A4096">
        <v>4095</v>
      </c>
      <c r="B4096" s="626">
        <v>0</v>
      </c>
      <c r="C4096" s="626">
        <v>1000000</v>
      </c>
      <c r="D4096" s="626">
        <v>0</v>
      </c>
    </row>
    <row r="4097" spans="1:4" x14ac:dyDescent="0.2">
      <c r="A4097">
        <v>4096</v>
      </c>
      <c r="B4097" s="626">
        <v>0</v>
      </c>
      <c r="C4097" s="626">
        <v>1000000</v>
      </c>
      <c r="D4097" s="626">
        <v>0</v>
      </c>
    </row>
    <row r="4098" spans="1:4" x14ac:dyDescent="0.2">
      <c r="A4098">
        <v>4097</v>
      </c>
      <c r="B4098" s="626">
        <v>0</v>
      </c>
      <c r="C4098" s="626">
        <v>1000000</v>
      </c>
      <c r="D4098" s="626">
        <v>0</v>
      </c>
    </row>
    <row r="4099" spans="1:4" x14ac:dyDescent="0.2">
      <c r="A4099">
        <v>4098</v>
      </c>
      <c r="B4099" s="626">
        <v>0</v>
      </c>
      <c r="C4099" s="626">
        <v>1000000</v>
      </c>
      <c r="D4099" s="626">
        <v>0</v>
      </c>
    </row>
    <row r="4100" spans="1:4" x14ac:dyDescent="0.2">
      <c r="A4100">
        <v>4099</v>
      </c>
      <c r="B4100" s="626">
        <v>0</v>
      </c>
      <c r="C4100" s="626">
        <v>1000000</v>
      </c>
      <c r="D4100" s="626">
        <v>0</v>
      </c>
    </row>
    <row r="4101" spans="1:4" x14ac:dyDescent="0.2">
      <c r="A4101">
        <v>4100</v>
      </c>
      <c r="B4101" s="626">
        <v>0</v>
      </c>
      <c r="C4101" s="626">
        <v>1000000</v>
      </c>
      <c r="D4101" s="626">
        <v>0</v>
      </c>
    </row>
    <row r="4102" spans="1:4" x14ac:dyDescent="0.2">
      <c r="A4102">
        <v>4101</v>
      </c>
      <c r="B4102" s="626">
        <v>0</v>
      </c>
      <c r="C4102" s="626">
        <v>1000000</v>
      </c>
      <c r="D4102" s="626">
        <v>0</v>
      </c>
    </row>
    <row r="4103" spans="1:4" x14ac:dyDescent="0.2">
      <c r="A4103">
        <v>4102</v>
      </c>
      <c r="B4103" s="626">
        <v>0</v>
      </c>
      <c r="C4103" s="626">
        <v>1000000</v>
      </c>
      <c r="D4103" s="626">
        <v>0</v>
      </c>
    </row>
    <row r="4104" spans="1:4" x14ac:dyDescent="0.2">
      <c r="A4104">
        <v>4103</v>
      </c>
      <c r="B4104" s="626">
        <v>0</v>
      </c>
      <c r="C4104" s="626">
        <v>1000000</v>
      </c>
      <c r="D4104" s="626">
        <v>0</v>
      </c>
    </row>
    <row r="4105" spans="1:4" x14ac:dyDescent="0.2">
      <c r="A4105">
        <v>4104</v>
      </c>
      <c r="B4105" s="626">
        <v>0</v>
      </c>
      <c r="C4105" s="626">
        <v>1000000</v>
      </c>
      <c r="D4105" s="626">
        <v>0</v>
      </c>
    </row>
    <row r="4106" spans="1:4" x14ac:dyDescent="0.2">
      <c r="A4106">
        <v>4105</v>
      </c>
      <c r="B4106" s="626">
        <v>0</v>
      </c>
      <c r="C4106" s="626">
        <v>1000000</v>
      </c>
      <c r="D4106" s="626">
        <v>0</v>
      </c>
    </row>
    <row r="4107" spans="1:4" x14ac:dyDescent="0.2">
      <c r="A4107">
        <v>4106</v>
      </c>
      <c r="B4107" s="626">
        <v>0</v>
      </c>
      <c r="C4107" s="626">
        <v>1000000</v>
      </c>
      <c r="D4107" s="626">
        <v>0</v>
      </c>
    </row>
    <row r="4108" spans="1:4" x14ac:dyDescent="0.2">
      <c r="A4108">
        <v>4107</v>
      </c>
      <c r="B4108" s="626">
        <v>0</v>
      </c>
      <c r="C4108" s="626">
        <v>1000000</v>
      </c>
      <c r="D4108" s="626">
        <v>0</v>
      </c>
    </row>
    <row r="4109" spans="1:4" x14ac:dyDescent="0.2">
      <c r="A4109">
        <v>4108</v>
      </c>
      <c r="B4109" s="626">
        <v>0</v>
      </c>
      <c r="C4109" s="626">
        <v>1000000</v>
      </c>
      <c r="D4109" s="626">
        <v>0</v>
      </c>
    </row>
    <row r="4110" spans="1:4" x14ac:dyDescent="0.2">
      <c r="A4110">
        <v>4109</v>
      </c>
      <c r="B4110" s="626">
        <v>0</v>
      </c>
      <c r="C4110" s="626">
        <v>1000000</v>
      </c>
      <c r="D4110" s="626">
        <v>0</v>
      </c>
    </row>
    <row r="4111" spans="1:4" x14ac:dyDescent="0.2">
      <c r="A4111">
        <v>4110</v>
      </c>
      <c r="B4111" s="626">
        <v>0</v>
      </c>
      <c r="C4111" s="626">
        <v>1000000</v>
      </c>
      <c r="D4111" s="626">
        <v>0</v>
      </c>
    </row>
    <row r="4112" spans="1:4" x14ac:dyDescent="0.2">
      <c r="A4112">
        <v>4111</v>
      </c>
      <c r="B4112" s="626">
        <v>0</v>
      </c>
      <c r="C4112" s="626">
        <v>1000000</v>
      </c>
      <c r="D4112" s="626">
        <v>0</v>
      </c>
    </row>
    <row r="4113" spans="1:4" x14ac:dyDescent="0.2">
      <c r="A4113">
        <v>4112</v>
      </c>
      <c r="B4113" s="626">
        <v>0</v>
      </c>
      <c r="C4113" s="626">
        <v>1000000</v>
      </c>
      <c r="D4113" s="626">
        <v>0</v>
      </c>
    </row>
    <row r="4114" spans="1:4" x14ac:dyDescent="0.2">
      <c r="A4114">
        <v>4113</v>
      </c>
      <c r="B4114" s="626">
        <v>0</v>
      </c>
      <c r="C4114" s="626">
        <v>1000000</v>
      </c>
      <c r="D4114" s="626">
        <v>0</v>
      </c>
    </row>
    <row r="4115" spans="1:4" x14ac:dyDescent="0.2">
      <c r="A4115">
        <v>4114</v>
      </c>
      <c r="B4115" s="626">
        <v>0</v>
      </c>
      <c r="C4115" s="626">
        <v>1000000</v>
      </c>
      <c r="D4115" s="626">
        <v>0</v>
      </c>
    </row>
    <row r="4116" spans="1:4" x14ac:dyDescent="0.2">
      <c r="A4116">
        <v>4115</v>
      </c>
      <c r="B4116" s="626">
        <v>0</v>
      </c>
      <c r="C4116" s="626">
        <v>1000000</v>
      </c>
      <c r="D4116" s="626">
        <v>0</v>
      </c>
    </row>
    <row r="4117" spans="1:4" x14ac:dyDescent="0.2">
      <c r="A4117">
        <v>4116</v>
      </c>
      <c r="B4117" s="626">
        <v>0</v>
      </c>
      <c r="C4117" s="626">
        <v>1000000</v>
      </c>
      <c r="D4117" s="626">
        <v>0</v>
      </c>
    </row>
    <row r="4118" spans="1:4" x14ac:dyDescent="0.2">
      <c r="A4118">
        <v>4117</v>
      </c>
      <c r="B4118" s="626">
        <v>0</v>
      </c>
      <c r="C4118" s="626">
        <v>1000000</v>
      </c>
      <c r="D4118" s="626">
        <v>0</v>
      </c>
    </row>
    <row r="4119" spans="1:4" x14ac:dyDescent="0.2">
      <c r="A4119">
        <v>4118</v>
      </c>
      <c r="B4119" s="626">
        <v>0</v>
      </c>
      <c r="C4119" s="626">
        <v>1000000</v>
      </c>
      <c r="D4119" s="626">
        <v>0</v>
      </c>
    </row>
    <row r="4120" spans="1:4" x14ac:dyDescent="0.2">
      <c r="A4120">
        <v>4119</v>
      </c>
      <c r="B4120" s="626">
        <v>0</v>
      </c>
      <c r="C4120" s="626">
        <v>1000000</v>
      </c>
      <c r="D4120" s="626">
        <v>0</v>
      </c>
    </row>
    <row r="4121" spans="1:4" x14ac:dyDescent="0.2">
      <c r="A4121">
        <v>4120</v>
      </c>
      <c r="B4121" s="626">
        <v>0</v>
      </c>
      <c r="C4121" s="626">
        <v>1000000</v>
      </c>
      <c r="D4121" s="626">
        <v>0</v>
      </c>
    </row>
    <row r="4122" spans="1:4" x14ac:dyDescent="0.2">
      <c r="A4122">
        <v>4121</v>
      </c>
      <c r="B4122" s="626">
        <v>0</v>
      </c>
      <c r="C4122" s="626">
        <v>1000000</v>
      </c>
      <c r="D4122" s="626">
        <v>0</v>
      </c>
    </row>
    <row r="4123" spans="1:4" x14ac:dyDescent="0.2">
      <c r="A4123">
        <v>4122</v>
      </c>
      <c r="B4123" s="626">
        <v>0</v>
      </c>
      <c r="C4123" s="626">
        <v>1000000</v>
      </c>
      <c r="D4123" s="626">
        <v>0</v>
      </c>
    </row>
    <row r="4124" spans="1:4" x14ac:dyDescent="0.2">
      <c r="A4124">
        <v>4123</v>
      </c>
      <c r="B4124" s="626">
        <v>0</v>
      </c>
      <c r="C4124" s="626">
        <v>1000000</v>
      </c>
      <c r="D4124" s="626">
        <v>0</v>
      </c>
    </row>
    <row r="4125" spans="1:4" x14ac:dyDescent="0.2">
      <c r="A4125">
        <v>4124</v>
      </c>
      <c r="B4125" s="626">
        <v>0</v>
      </c>
      <c r="C4125" s="626">
        <v>1000000</v>
      </c>
      <c r="D4125" s="626">
        <v>0</v>
      </c>
    </row>
    <row r="4126" spans="1:4" x14ac:dyDescent="0.2">
      <c r="A4126">
        <v>4125</v>
      </c>
      <c r="B4126" s="626">
        <v>0</v>
      </c>
      <c r="C4126" s="626">
        <v>1000000</v>
      </c>
      <c r="D4126" s="626">
        <v>0</v>
      </c>
    </row>
    <row r="4127" spans="1:4" x14ac:dyDescent="0.2">
      <c r="A4127">
        <v>4126</v>
      </c>
      <c r="B4127" s="626">
        <v>0</v>
      </c>
      <c r="C4127" s="626">
        <v>1000000</v>
      </c>
      <c r="D4127" s="626">
        <v>0</v>
      </c>
    </row>
    <row r="4128" spans="1:4" x14ac:dyDescent="0.2">
      <c r="A4128">
        <v>4127</v>
      </c>
      <c r="B4128" s="626">
        <v>0</v>
      </c>
      <c r="C4128" s="626">
        <v>1000000</v>
      </c>
      <c r="D4128" s="626">
        <v>0</v>
      </c>
    </row>
    <row r="4129" spans="1:4" x14ac:dyDescent="0.2">
      <c r="A4129">
        <v>4128</v>
      </c>
      <c r="B4129" s="626">
        <v>0</v>
      </c>
      <c r="C4129" s="626">
        <v>1000000</v>
      </c>
      <c r="D4129" s="626">
        <v>0</v>
      </c>
    </row>
    <row r="4130" spans="1:4" x14ac:dyDescent="0.2">
      <c r="A4130">
        <v>4129</v>
      </c>
      <c r="B4130" s="626">
        <v>0</v>
      </c>
      <c r="C4130" s="626">
        <v>1000000</v>
      </c>
      <c r="D4130" s="626">
        <v>0</v>
      </c>
    </row>
    <row r="4131" spans="1:4" x14ac:dyDescent="0.2">
      <c r="A4131">
        <v>4130</v>
      </c>
      <c r="B4131" s="626">
        <v>0</v>
      </c>
      <c r="C4131" s="626">
        <v>1000000</v>
      </c>
      <c r="D4131" s="626">
        <v>0</v>
      </c>
    </row>
    <row r="4132" spans="1:4" x14ac:dyDescent="0.2">
      <c r="A4132">
        <v>4131</v>
      </c>
      <c r="B4132" s="626">
        <v>0</v>
      </c>
      <c r="C4132" s="626">
        <v>1000000</v>
      </c>
      <c r="D4132" s="626">
        <v>0</v>
      </c>
    </row>
    <row r="4133" spans="1:4" x14ac:dyDescent="0.2">
      <c r="A4133">
        <v>4132</v>
      </c>
      <c r="B4133" s="626">
        <v>0</v>
      </c>
      <c r="C4133" s="626">
        <v>1000000</v>
      </c>
      <c r="D4133" s="626">
        <v>0</v>
      </c>
    </row>
    <row r="4134" spans="1:4" x14ac:dyDescent="0.2">
      <c r="A4134">
        <v>4133</v>
      </c>
      <c r="B4134" s="626">
        <v>0</v>
      </c>
      <c r="C4134" s="626">
        <v>1000000</v>
      </c>
      <c r="D4134" s="626">
        <v>0</v>
      </c>
    </row>
    <row r="4135" spans="1:4" x14ac:dyDescent="0.2">
      <c r="A4135">
        <v>4134</v>
      </c>
      <c r="B4135" s="626">
        <v>0</v>
      </c>
      <c r="C4135" s="626">
        <v>1000000</v>
      </c>
      <c r="D4135" s="626">
        <v>0</v>
      </c>
    </row>
    <row r="4136" spans="1:4" x14ac:dyDescent="0.2">
      <c r="A4136">
        <v>4135</v>
      </c>
      <c r="B4136" s="626">
        <v>0</v>
      </c>
      <c r="C4136" s="626">
        <v>1000000</v>
      </c>
      <c r="D4136" s="626">
        <v>0</v>
      </c>
    </row>
    <row r="4137" spans="1:4" x14ac:dyDescent="0.2">
      <c r="A4137">
        <v>4136</v>
      </c>
      <c r="B4137" s="626">
        <v>0</v>
      </c>
      <c r="C4137" s="626">
        <v>1000000</v>
      </c>
      <c r="D4137" s="626">
        <v>0</v>
      </c>
    </row>
    <row r="4138" spans="1:4" x14ac:dyDescent="0.2">
      <c r="A4138">
        <v>4137</v>
      </c>
      <c r="B4138" s="626">
        <v>0</v>
      </c>
      <c r="C4138" s="626">
        <v>1000000</v>
      </c>
      <c r="D4138" s="626">
        <v>0</v>
      </c>
    </row>
    <row r="4139" spans="1:4" x14ac:dyDescent="0.2">
      <c r="A4139">
        <v>4138</v>
      </c>
      <c r="B4139" s="626">
        <v>0</v>
      </c>
      <c r="C4139" s="626">
        <v>1000000</v>
      </c>
      <c r="D4139" s="626">
        <v>0</v>
      </c>
    </row>
    <row r="4140" spans="1:4" x14ac:dyDescent="0.2">
      <c r="A4140">
        <v>4139</v>
      </c>
      <c r="B4140" s="626">
        <v>0</v>
      </c>
      <c r="C4140" s="626">
        <v>1000000</v>
      </c>
      <c r="D4140" s="626">
        <v>0</v>
      </c>
    </row>
    <row r="4141" spans="1:4" x14ac:dyDescent="0.2">
      <c r="A4141">
        <v>4140</v>
      </c>
      <c r="B4141" s="626">
        <v>0</v>
      </c>
      <c r="C4141" s="626">
        <v>1000000</v>
      </c>
      <c r="D4141" s="626">
        <v>0</v>
      </c>
    </row>
    <row r="4142" spans="1:4" x14ac:dyDescent="0.2">
      <c r="A4142">
        <v>4141</v>
      </c>
      <c r="B4142" s="626">
        <v>0</v>
      </c>
      <c r="C4142" s="626">
        <v>1000000</v>
      </c>
      <c r="D4142" s="626">
        <v>0</v>
      </c>
    </row>
    <row r="4143" spans="1:4" x14ac:dyDescent="0.2">
      <c r="A4143">
        <v>4142</v>
      </c>
      <c r="B4143" s="626">
        <v>0</v>
      </c>
      <c r="C4143" s="626">
        <v>1000000</v>
      </c>
      <c r="D4143" s="626">
        <v>0</v>
      </c>
    </row>
    <row r="4144" spans="1:4" x14ac:dyDescent="0.2">
      <c r="A4144">
        <v>4143</v>
      </c>
      <c r="B4144" s="626">
        <v>0</v>
      </c>
      <c r="C4144" s="626">
        <v>1000000</v>
      </c>
      <c r="D4144" s="626">
        <v>0</v>
      </c>
    </row>
    <row r="4145" spans="1:4" x14ac:dyDescent="0.2">
      <c r="A4145">
        <v>4144</v>
      </c>
      <c r="B4145" s="626">
        <v>0</v>
      </c>
      <c r="C4145" s="626">
        <v>1000000</v>
      </c>
      <c r="D4145" s="626">
        <v>0</v>
      </c>
    </row>
    <row r="4146" spans="1:4" x14ac:dyDescent="0.2">
      <c r="A4146">
        <v>4145</v>
      </c>
      <c r="B4146" s="626">
        <v>0</v>
      </c>
      <c r="C4146" s="626">
        <v>1000000</v>
      </c>
      <c r="D4146" s="626">
        <v>0</v>
      </c>
    </row>
    <row r="4147" spans="1:4" x14ac:dyDescent="0.2">
      <c r="A4147">
        <v>4146</v>
      </c>
      <c r="B4147" s="626">
        <v>0</v>
      </c>
      <c r="C4147" s="626">
        <v>1000000</v>
      </c>
      <c r="D4147" s="626">
        <v>0</v>
      </c>
    </row>
    <row r="4148" spans="1:4" x14ac:dyDescent="0.2">
      <c r="A4148">
        <v>4147</v>
      </c>
      <c r="B4148" s="626">
        <v>0</v>
      </c>
      <c r="C4148" s="626">
        <v>1000000</v>
      </c>
      <c r="D4148" s="626">
        <v>0</v>
      </c>
    </row>
    <row r="4149" spans="1:4" x14ac:dyDescent="0.2">
      <c r="A4149">
        <v>4148</v>
      </c>
      <c r="B4149" s="626">
        <v>0</v>
      </c>
      <c r="C4149" s="626">
        <v>1000000</v>
      </c>
      <c r="D4149" s="626">
        <v>0</v>
      </c>
    </row>
    <row r="4150" spans="1:4" x14ac:dyDescent="0.2">
      <c r="A4150">
        <v>4149</v>
      </c>
      <c r="B4150" s="626">
        <v>0</v>
      </c>
      <c r="C4150" s="626">
        <v>1000000</v>
      </c>
      <c r="D4150" s="626">
        <v>0</v>
      </c>
    </row>
    <row r="4151" spans="1:4" x14ac:dyDescent="0.2">
      <c r="A4151">
        <v>4150</v>
      </c>
      <c r="B4151" s="626">
        <v>0</v>
      </c>
      <c r="C4151" s="626">
        <v>1000000</v>
      </c>
      <c r="D4151" s="626">
        <v>0</v>
      </c>
    </row>
    <row r="4152" spans="1:4" x14ac:dyDescent="0.2">
      <c r="A4152">
        <v>4151</v>
      </c>
      <c r="B4152" s="626">
        <v>0</v>
      </c>
      <c r="C4152" s="626">
        <v>1000000</v>
      </c>
      <c r="D4152" s="626">
        <v>0</v>
      </c>
    </row>
    <row r="4153" spans="1:4" x14ac:dyDescent="0.2">
      <c r="A4153">
        <v>4152</v>
      </c>
      <c r="B4153" s="626">
        <v>0</v>
      </c>
      <c r="C4153" s="626">
        <v>1000000</v>
      </c>
      <c r="D4153" s="626">
        <v>0</v>
      </c>
    </row>
    <row r="4154" spans="1:4" x14ac:dyDescent="0.2">
      <c r="A4154">
        <v>4153</v>
      </c>
      <c r="B4154" s="626">
        <v>0</v>
      </c>
      <c r="C4154" s="626">
        <v>1000000</v>
      </c>
      <c r="D4154" s="626">
        <v>0</v>
      </c>
    </row>
    <row r="4155" spans="1:4" x14ac:dyDescent="0.2">
      <c r="A4155">
        <v>4154</v>
      </c>
      <c r="B4155" s="626">
        <v>0</v>
      </c>
      <c r="C4155" s="626">
        <v>1000000</v>
      </c>
      <c r="D4155" s="626">
        <v>0</v>
      </c>
    </row>
    <row r="4156" spans="1:4" x14ac:dyDescent="0.2">
      <c r="A4156">
        <v>4155</v>
      </c>
      <c r="B4156" s="626">
        <v>0</v>
      </c>
      <c r="C4156" s="626">
        <v>1000000</v>
      </c>
      <c r="D4156" s="626">
        <v>0</v>
      </c>
    </row>
    <row r="4157" spans="1:4" x14ac:dyDescent="0.2">
      <c r="A4157">
        <v>4156</v>
      </c>
      <c r="B4157" s="626">
        <v>0</v>
      </c>
      <c r="C4157" s="626">
        <v>1000000</v>
      </c>
      <c r="D4157" s="626">
        <v>0</v>
      </c>
    </row>
    <row r="4158" spans="1:4" x14ac:dyDescent="0.2">
      <c r="A4158">
        <v>4157</v>
      </c>
      <c r="B4158" s="626">
        <v>0</v>
      </c>
      <c r="C4158" s="626">
        <v>1000000</v>
      </c>
      <c r="D4158" s="626">
        <v>0</v>
      </c>
    </row>
    <row r="4159" spans="1:4" x14ac:dyDescent="0.2">
      <c r="A4159">
        <v>4158</v>
      </c>
      <c r="B4159" s="626">
        <v>0</v>
      </c>
      <c r="C4159" s="626">
        <v>1000000</v>
      </c>
      <c r="D4159" s="626">
        <v>0</v>
      </c>
    </row>
    <row r="4160" spans="1:4" x14ac:dyDescent="0.2">
      <c r="A4160">
        <v>4159</v>
      </c>
      <c r="B4160" s="626">
        <v>0</v>
      </c>
      <c r="C4160" s="626">
        <v>1000000</v>
      </c>
      <c r="D4160" s="626">
        <v>0</v>
      </c>
    </row>
    <row r="4161" spans="1:4" x14ac:dyDescent="0.2">
      <c r="A4161">
        <v>4160</v>
      </c>
      <c r="B4161" s="626">
        <v>0</v>
      </c>
      <c r="C4161" s="626">
        <v>1000000</v>
      </c>
      <c r="D4161" s="626">
        <v>0</v>
      </c>
    </row>
    <row r="4162" spans="1:4" x14ac:dyDescent="0.2">
      <c r="A4162">
        <v>4161</v>
      </c>
      <c r="B4162" s="626">
        <v>0</v>
      </c>
      <c r="C4162" s="626">
        <v>1000000</v>
      </c>
      <c r="D4162" s="626">
        <v>0</v>
      </c>
    </row>
    <row r="4163" spans="1:4" x14ac:dyDescent="0.2">
      <c r="A4163">
        <v>4162</v>
      </c>
      <c r="B4163" s="626">
        <v>0</v>
      </c>
      <c r="C4163" s="626">
        <v>1000000</v>
      </c>
      <c r="D4163" s="626">
        <v>0</v>
      </c>
    </row>
    <row r="4164" spans="1:4" x14ac:dyDescent="0.2">
      <c r="A4164">
        <v>4163</v>
      </c>
      <c r="B4164" s="626">
        <v>0</v>
      </c>
      <c r="C4164" s="626">
        <v>1000000</v>
      </c>
      <c r="D4164" s="626">
        <v>0</v>
      </c>
    </row>
    <row r="4165" spans="1:4" x14ac:dyDescent="0.2">
      <c r="A4165">
        <v>4164</v>
      </c>
      <c r="B4165" s="626">
        <v>0</v>
      </c>
      <c r="C4165" s="626">
        <v>1000000</v>
      </c>
      <c r="D4165" s="626">
        <v>0</v>
      </c>
    </row>
    <row r="4166" spans="1:4" x14ac:dyDescent="0.2">
      <c r="A4166">
        <v>4165</v>
      </c>
      <c r="B4166" s="626">
        <v>0</v>
      </c>
      <c r="C4166" s="626">
        <v>1000000</v>
      </c>
      <c r="D4166" s="626">
        <v>0</v>
      </c>
    </row>
    <row r="4167" spans="1:4" x14ac:dyDescent="0.2">
      <c r="A4167">
        <v>4166</v>
      </c>
      <c r="B4167" s="626">
        <v>0</v>
      </c>
      <c r="C4167" s="626">
        <v>1000000</v>
      </c>
      <c r="D4167" s="626">
        <v>0</v>
      </c>
    </row>
    <row r="4168" spans="1:4" x14ac:dyDescent="0.2">
      <c r="A4168">
        <v>4167</v>
      </c>
      <c r="B4168" s="626">
        <v>0</v>
      </c>
      <c r="C4168" s="626">
        <v>1000000</v>
      </c>
      <c r="D4168" s="626">
        <v>0</v>
      </c>
    </row>
    <row r="4169" spans="1:4" x14ac:dyDescent="0.2">
      <c r="A4169">
        <v>4168</v>
      </c>
      <c r="B4169" s="626">
        <v>0</v>
      </c>
      <c r="C4169" s="626">
        <v>1000000</v>
      </c>
      <c r="D4169" s="626">
        <v>0</v>
      </c>
    </row>
    <row r="4170" spans="1:4" x14ac:dyDescent="0.2">
      <c r="A4170">
        <v>4169</v>
      </c>
      <c r="B4170" s="626">
        <v>0</v>
      </c>
      <c r="C4170" s="626">
        <v>1000000</v>
      </c>
      <c r="D4170" s="626">
        <v>0</v>
      </c>
    </row>
    <row r="4171" spans="1:4" x14ac:dyDescent="0.2">
      <c r="A4171">
        <v>4170</v>
      </c>
      <c r="B4171" s="626">
        <v>0</v>
      </c>
      <c r="C4171" s="626">
        <v>1000000</v>
      </c>
      <c r="D4171" s="626">
        <v>0</v>
      </c>
    </row>
    <row r="4172" spans="1:4" x14ac:dyDescent="0.2">
      <c r="A4172">
        <v>4171</v>
      </c>
      <c r="B4172" s="626">
        <v>0</v>
      </c>
      <c r="C4172" s="626">
        <v>1000000</v>
      </c>
      <c r="D4172" s="626">
        <v>0</v>
      </c>
    </row>
    <row r="4173" spans="1:4" x14ac:dyDescent="0.2">
      <c r="A4173">
        <v>4172</v>
      </c>
      <c r="B4173" s="626">
        <v>0</v>
      </c>
      <c r="C4173" s="626">
        <v>1000000</v>
      </c>
      <c r="D4173" s="626">
        <v>0</v>
      </c>
    </row>
    <row r="4174" spans="1:4" x14ac:dyDescent="0.2">
      <c r="A4174">
        <v>4173</v>
      </c>
      <c r="B4174" s="626">
        <v>0</v>
      </c>
      <c r="C4174" s="626">
        <v>1000000</v>
      </c>
      <c r="D4174" s="626">
        <v>0</v>
      </c>
    </row>
    <row r="4175" spans="1:4" x14ac:dyDescent="0.2">
      <c r="A4175">
        <v>4174</v>
      </c>
      <c r="B4175" s="626">
        <v>0</v>
      </c>
      <c r="C4175" s="626">
        <v>1000000</v>
      </c>
      <c r="D4175" s="626">
        <v>0</v>
      </c>
    </row>
    <row r="4176" spans="1:4" x14ac:dyDescent="0.2">
      <c r="A4176">
        <v>4175</v>
      </c>
      <c r="B4176" s="626">
        <v>0</v>
      </c>
      <c r="C4176" s="626">
        <v>1000000</v>
      </c>
      <c r="D4176" s="626">
        <v>0</v>
      </c>
    </row>
    <row r="4177" spans="1:4" x14ac:dyDescent="0.2">
      <c r="A4177">
        <v>4176</v>
      </c>
      <c r="B4177" s="626">
        <v>0</v>
      </c>
      <c r="C4177" s="626">
        <v>1000000</v>
      </c>
      <c r="D4177" s="626">
        <v>0</v>
      </c>
    </row>
    <row r="4178" spans="1:4" x14ac:dyDescent="0.2">
      <c r="A4178">
        <v>4177</v>
      </c>
      <c r="B4178" s="626">
        <v>0</v>
      </c>
      <c r="C4178" s="626">
        <v>1000000</v>
      </c>
      <c r="D4178" s="626">
        <v>0</v>
      </c>
    </row>
    <row r="4179" spans="1:4" x14ac:dyDescent="0.2">
      <c r="A4179">
        <v>4178</v>
      </c>
      <c r="B4179" s="626">
        <v>0</v>
      </c>
      <c r="C4179" s="626">
        <v>1000000</v>
      </c>
      <c r="D4179" s="626">
        <v>0</v>
      </c>
    </row>
    <row r="4180" spans="1:4" x14ac:dyDescent="0.2">
      <c r="A4180">
        <v>4179</v>
      </c>
      <c r="B4180" s="626">
        <v>0</v>
      </c>
      <c r="C4180" s="626">
        <v>1000000</v>
      </c>
      <c r="D4180" s="626">
        <v>0</v>
      </c>
    </row>
    <row r="4181" spans="1:4" x14ac:dyDescent="0.2">
      <c r="A4181">
        <v>4180</v>
      </c>
      <c r="B4181" s="626">
        <v>0</v>
      </c>
      <c r="C4181" s="626">
        <v>1000000</v>
      </c>
      <c r="D4181" s="626">
        <v>0</v>
      </c>
    </row>
    <row r="4182" spans="1:4" x14ac:dyDescent="0.2">
      <c r="A4182">
        <v>4181</v>
      </c>
      <c r="B4182" s="626">
        <v>0</v>
      </c>
      <c r="C4182" s="626">
        <v>1000000</v>
      </c>
      <c r="D4182" s="626">
        <v>0</v>
      </c>
    </row>
    <row r="4183" spans="1:4" x14ac:dyDescent="0.2">
      <c r="A4183">
        <v>4182</v>
      </c>
      <c r="B4183" s="626">
        <v>0</v>
      </c>
      <c r="C4183" s="626">
        <v>1000000</v>
      </c>
      <c r="D4183" s="626">
        <v>0</v>
      </c>
    </row>
    <row r="4184" spans="1:4" x14ac:dyDescent="0.2">
      <c r="A4184">
        <v>4183</v>
      </c>
      <c r="B4184" s="626">
        <v>0</v>
      </c>
      <c r="C4184" s="626">
        <v>1000000</v>
      </c>
      <c r="D4184" s="626">
        <v>0</v>
      </c>
    </row>
    <row r="4185" spans="1:4" x14ac:dyDescent="0.2">
      <c r="A4185">
        <v>4184</v>
      </c>
      <c r="B4185" s="626">
        <v>0</v>
      </c>
      <c r="C4185" s="626">
        <v>1000000</v>
      </c>
      <c r="D4185" s="626">
        <v>0</v>
      </c>
    </row>
    <row r="4186" spans="1:4" x14ac:dyDescent="0.2">
      <c r="A4186">
        <v>4185</v>
      </c>
      <c r="B4186" s="626">
        <v>0</v>
      </c>
      <c r="C4186" s="626">
        <v>1000000</v>
      </c>
      <c r="D4186" s="626">
        <v>0</v>
      </c>
    </row>
    <row r="4187" spans="1:4" x14ac:dyDescent="0.2">
      <c r="A4187">
        <v>4186</v>
      </c>
      <c r="B4187" s="626">
        <v>0</v>
      </c>
      <c r="C4187" s="626">
        <v>1000000</v>
      </c>
      <c r="D4187" s="626">
        <v>0</v>
      </c>
    </row>
    <row r="4188" spans="1:4" x14ac:dyDescent="0.2">
      <c r="A4188">
        <v>4187</v>
      </c>
      <c r="B4188" s="626">
        <v>0</v>
      </c>
      <c r="C4188" s="626">
        <v>1000000</v>
      </c>
      <c r="D4188" s="626">
        <v>0</v>
      </c>
    </row>
    <row r="4189" spans="1:4" x14ac:dyDescent="0.2">
      <c r="A4189">
        <v>4188</v>
      </c>
      <c r="B4189" s="626">
        <v>0</v>
      </c>
      <c r="C4189" s="626">
        <v>1000000</v>
      </c>
      <c r="D4189" s="626">
        <v>0</v>
      </c>
    </row>
    <row r="4190" spans="1:4" x14ac:dyDescent="0.2">
      <c r="A4190">
        <v>4189</v>
      </c>
      <c r="B4190" s="626">
        <v>0</v>
      </c>
      <c r="C4190" s="626">
        <v>1000000</v>
      </c>
      <c r="D4190" s="626">
        <v>0</v>
      </c>
    </row>
    <row r="4191" spans="1:4" x14ac:dyDescent="0.2">
      <c r="A4191">
        <v>4190</v>
      </c>
      <c r="B4191" s="626">
        <v>0</v>
      </c>
      <c r="C4191" s="626">
        <v>1000000</v>
      </c>
      <c r="D4191" s="626">
        <v>0</v>
      </c>
    </row>
    <row r="4192" spans="1:4" x14ac:dyDescent="0.2">
      <c r="A4192">
        <v>4191</v>
      </c>
      <c r="B4192" s="626">
        <v>0</v>
      </c>
      <c r="C4192" s="626">
        <v>1000000</v>
      </c>
      <c r="D4192" s="626">
        <v>0</v>
      </c>
    </row>
    <row r="4193" spans="1:4" x14ac:dyDescent="0.2">
      <c r="A4193">
        <v>4192</v>
      </c>
      <c r="B4193" s="626">
        <v>0</v>
      </c>
      <c r="C4193" s="626">
        <v>1000000</v>
      </c>
      <c r="D4193" s="626">
        <v>0</v>
      </c>
    </row>
    <row r="4194" spans="1:4" x14ac:dyDescent="0.2">
      <c r="A4194">
        <v>4193</v>
      </c>
      <c r="B4194" s="626">
        <v>0</v>
      </c>
      <c r="C4194" s="626">
        <v>1000000</v>
      </c>
      <c r="D4194" s="626">
        <v>0</v>
      </c>
    </row>
    <row r="4195" spans="1:4" x14ac:dyDescent="0.2">
      <c r="A4195">
        <v>4194</v>
      </c>
      <c r="B4195" s="626">
        <v>0</v>
      </c>
      <c r="C4195" s="626">
        <v>1000000</v>
      </c>
      <c r="D4195" s="626">
        <v>0</v>
      </c>
    </row>
    <row r="4196" spans="1:4" x14ac:dyDescent="0.2">
      <c r="A4196">
        <v>4195</v>
      </c>
      <c r="B4196" s="626">
        <v>0</v>
      </c>
      <c r="C4196" s="626">
        <v>1000000</v>
      </c>
      <c r="D4196" s="626">
        <v>0</v>
      </c>
    </row>
    <row r="4197" spans="1:4" x14ac:dyDescent="0.2">
      <c r="A4197">
        <v>4196</v>
      </c>
      <c r="B4197" s="626">
        <v>0</v>
      </c>
      <c r="C4197" s="626">
        <v>1000000</v>
      </c>
      <c r="D4197" s="626">
        <v>0</v>
      </c>
    </row>
    <row r="4198" spans="1:4" x14ac:dyDescent="0.2">
      <c r="A4198">
        <v>4197</v>
      </c>
      <c r="B4198" s="626">
        <v>0</v>
      </c>
      <c r="C4198" s="626">
        <v>1000000</v>
      </c>
      <c r="D4198" s="626">
        <v>0</v>
      </c>
    </row>
    <row r="4199" spans="1:4" x14ac:dyDescent="0.2">
      <c r="A4199">
        <v>4198</v>
      </c>
      <c r="B4199" s="626">
        <v>0</v>
      </c>
      <c r="C4199" s="626">
        <v>1000000</v>
      </c>
      <c r="D4199" s="626">
        <v>0</v>
      </c>
    </row>
    <row r="4200" spans="1:4" x14ac:dyDescent="0.2">
      <c r="A4200">
        <v>4199</v>
      </c>
      <c r="B4200" s="626">
        <v>0</v>
      </c>
      <c r="C4200" s="626">
        <v>1000000</v>
      </c>
      <c r="D4200" s="626">
        <v>0</v>
      </c>
    </row>
    <row r="4201" spans="1:4" x14ac:dyDescent="0.2">
      <c r="A4201">
        <v>4200</v>
      </c>
      <c r="B4201" s="626">
        <v>0</v>
      </c>
      <c r="C4201" s="626">
        <v>1000000</v>
      </c>
      <c r="D4201" s="626">
        <v>0</v>
      </c>
    </row>
    <row r="4202" spans="1:4" x14ac:dyDescent="0.2">
      <c r="A4202">
        <v>4201</v>
      </c>
      <c r="B4202" s="626">
        <v>0</v>
      </c>
      <c r="C4202" s="626">
        <v>1000000</v>
      </c>
      <c r="D4202" s="626">
        <v>0</v>
      </c>
    </row>
    <row r="4203" spans="1:4" x14ac:dyDescent="0.2">
      <c r="A4203">
        <v>4202</v>
      </c>
      <c r="B4203" s="626">
        <v>0</v>
      </c>
      <c r="C4203" s="626">
        <v>1000000</v>
      </c>
      <c r="D4203" s="626">
        <v>0</v>
      </c>
    </row>
    <row r="4204" spans="1:4" x14ac:dyDescent="0.2">
      <c r="A4204">
        <v>4203</v>
      </c>
      <c r="B4204" s="626">
        <v>0</v>
      </c>
      <c r="C4204" s="626">
        <v>1000000</v>
      </c>
      <c r="D4204" s="626">
        <v>0</v>
      </c>
    </row>
    <row r="4205" spans="1:4" x14ac:dyDescent="0.2">
      <c r="A4205">
        <v>4204</v>
      </c>
      <c r="B4205" s="626">
        <v>0</v>
      </c>
      <c r="C4205" s="626">
        <v>1000000</v>
      </c>
      <c r="D4205" s="626">
        <v>0</v>
      </c>
    </row>
    <row r="4206" spans="1:4" x14ac:dyDescent="0.2">
      <c r="A4206">
        <v>4205</v>
      </c>
      <c r="B4206" s="626">
        <v>0</v>
      </c>
      <c r="C4206" s="626">
        <v>1000000</v>
      </c>
      <c r="D4206" s="626">
        <v>0</v>
      </c>
    </row>
    <row r="4207" spans="1:4" x14ac:dyDescent="0.2">
      <c r="A4207">
        <v>4206</v>
      </c>
      <c r="B4207" s="626">
        <v>0</v>
      </c>
      <c r="C4207" s="626">
        <v>1000000</v>
      </c>
      <c r="D4207" s="626">
        <v>0</v>
      </c>
    </row>
    <row r="4208" spans="1:4" x14ac:dyDescent="0.2">
      <c r="A4208">
        <v>4207</v>
      </c>
      <c r="B4208" s="626">
        <v>0</v>
      </c>
      <c r="C4208" s="626">
        <v>1000000</v>
      </c>
      <c r="D4208" s="626">
        <v>0</v>
      </c>
    </row>
    <row r="4209" spans="1:4" x14ac:dyDescent="0.2">
      <c r="A4209">
        <v>4208</v>
      </c>
      <c r="B4209" s="626">
        <v>0</v>
      </c>
      <c r="C4209" s="626">
        <v>1000000</v>
      </c>
      <c r="D4209" s="626">
        <v>0</v>
      </c>
    </row>
    <row r="4210" spans="1:4" x14ac:dyDescent="0.2">
      <c r="A4210">
        <v>4209</v>
      </c>
      <c r="B4210" s="626">
        <v>0</v>
      </c>
      <c r="C4210" s="626">
        <v>1000000</v>
      </c>
      <c r="D4210" s="626">
        <v>0</v>
      </c>
    </row>
    <row r="4211" spans="1:4" x14ac:dyDescent="0.2">
      <c r="A4211">
        <v>4210</v>
      </c>
      <c r="B4211" s="626">
        <v>0</v>
      </c>
      <c r="C4211" s="626">
        <v>1000000</v>
      </c>
      <c r="D4211" s="626">
        <v>0</v>
      </c>
    </row>
    <row r="4212" spans="1:4" x14ac:dyDescent="0.2">
      <c r="A4212">
        <v>4211</v>
      </c>
      <c r="B4212" s="626">
        <v>0</v>
      </c>
      <c r="C4212" s="626">
        <v>1000000</v>
      </c>
      <c r="D4212" s="626">
        <v>0</v>
      </c>
    </row>
    <row r="4213" spans="1:4" x14ac:dyDescent="0.2">
      <c r="A4213">
        <v>4212</v>
      </c>
      <c r="B4213" s="626">
        <v>0</v>
      </c>
      <c r="C4213" s="626">
        <v>1000000</v>
      </c>
      <c r="D4213" s="626">
        <v>0</v>
      </c>
    </row>
    <row r="4214" spans="1:4" x14ac:dyDescent="0.2">
      <c r="A4214">
        <v>4213</v>
      </c>
      <c r="B4214" s="626">
        <v>0</v>
      </c>
      <c r="C4214" s="626">
        <v>1000000</v>
      </c>
      <c r="D4214" s="626">
        <v>0</v>
      </c>
    </row>
    <row r="4215" spans="1:4" x14ac:dyDescent="0.2">
      <c r="A4215">
        <v>4214</v>
      </c>
      <c r="B4215" s="626">
        <v>0</v>
      </c>
      <c r="C4215" s="626">
        <v>1000000</v>
      </c>
      <c r="D4215" s="626">
        <v>0</v>
      </c>
    </row>
    <row r="4216" spans="1:4" x14ac:dyDescent="0.2">
      <c r="A4216">
        <v>4215</v>
      </c>
      <c r="B4216" s="626">
        <v>0</v>
      </c>
      <c r="C4216" s="626">
        <v>1000000</v>
      </c>
      <c r="D4216" s="626">
        <v>0</v>
      </c>
    </row>
    <row r="4217" spans="1:4" x14ac:dyDescent="0.2">
      <c r="A4217">
        <v>4216</v>
      </c>
      <c r="B4217" s="626">
        <v>0</v>
      </c>
      <c r="C4217" s="626">
        <v>1000000</v>
      </c>
      <c r="D4217" s="626">
        <v>0</v>
      </c>
    </row>
    <row r="4218" spans="1:4" x14ac:dyDescent="0.2">
      <c r="A4218">
        <v>4217</v>
      </c>
      <c r="B4218" s="626">
        <v>0</v>
      </c>
      <c r="C4218" s="626">
        <v>1000000</v>
      </c>
      <c r="D4218" s="626">
        <v>0</v>
      </c>
    </row>
    <row r="4219" spans="1:4" x14ac:dyDescent="0.2">
      <c r="A4219">
        <v>4218</v>
      </c>
      <c r="B4219" s="626">
        <v>0</v>
      </c>
      <c r="C4219" s="626">
        <v>1000000</v>
      </c>
      <c r="D4219" s="626">
        <v>0</v>
      </c>
    </row>
    <row r="4220" spans="1:4" x14ac:dyDescent="0.2">
      <c r="A4220">
        <v>4219</v>
      </c>
      <c r="B4220" s="626">
        <v>0</v>
      </c>
      <c r="C4220" s="626">
        <v>1000000</v>
      </c>
      <c r="D4220" s="626">
        <v>0</v>
      </c>
    </row>
    <row r="4221" spans="1:4" x14ac:dyDescent="0.2">
      <c r="A4221">
        <v>4220</v>
      </c>
      <c r="B4221" s="626">
        <v>0</v>
      </c>
      <c r="C4221" s="626">
        <v>1000000</v>
      </c>
      <c r="D4221" s="626">
        <v>0</v>
      </c>
    </row>
    <row r="4222" spans="1:4" x14ac:dyDescent="0.2">
      <c r="A4222">
        <v>4221</v>
      </c>
      <c r="B4222" s="626">
        <v>0</v>
      </c>
      <c r="C4222" s="626">
        <v>1000000</v>
      </c>
      <c r="D4222" s="626">
        <v>0</v>
      </c>
    </row>
    <row r="4223" spans="1:4" x14ac:dyDescent="0.2">
      <c r="A4223">
        <v>4222</v>
      </c>
      <c r="B4223" s="626">
        <v>0</v>
      </c>
      <c r="C4223" s="626">
        <v>1000000</v>
      </c>
      <c r="D4223" s="626">
        <v>0</v>
      </c>
    </row>
    <row r="4224" spans="1:4" x14ac:dyDescent="0.2">
      <c r="A4224">
        <v>4223</v>
      </c>
      <c r="B4224" s="626">
        <v>0</v>
      </c>
      <c r="C4224" s="626">
        <v>1000000</v>
      </c>
      <c r="D4224" s="626">
        <v>0</v>
      </c>
    </row>
    <row r="4225" spans="1:4" x14ac:dyDescent="0.2">
      <c r="A4225">
        <v>4224</v>
      </c>
      <c r="B4225" s="626">
        <v>0</v>
      </c>
      <c r="C4225" s="626">
        <v>1000000</v>
      </c>
      <c r="D4225" s="626">
        <v>0</v>
      </c>
    </row>
    <row r="4226" spans="1:4" x14ac:dyDescent="0.2">
      <c r="A4226">
        <v>4225</v>
      </c>
      <c r="B4226" s="626">
        <v>0</v>
      </c>
      <c r="C4226" s="626">
        <v>1000000</v>
      </c>
      <c r="D4226" s="626">
        <v>0</v>
      </c>
    </row>
    <row r="4227" spans="1:4" x14ac:dyDescent="0.2">
      <c r="A4227">
        <v>4226</v>
      </c>
      <c r="B4227" s="626">
        <v>0</v>
      </c>
      <c r="C4227" s="626">
        <v>1000000</v>
      </c>
      <c r="D4227" s="626">
        <v>0</v>
      </c>
    </row>
    <row r="4228" spans="1:4" x14ac:dyDescent="0.2">
      <c r="A4228">
        <v>4227</v>
      </c>
      <c r="B4228" s="626">
        <v>0</v>
      </c>
      <c r="C4228" s="626">
        <v>1000000</v>
      </c>
      <c r="D4228" s="626">
        <v>0</v>
      </c>
    </row>
    <row r="4229" spans="1:4" x14ac:dyDescent="0.2">
      <c r="A4229">
        <v>4228</v>
      </c>
      <c r="B4229" s="626">
        <v>0</v>
      </c>
      <c r="C4229" s="626">
        <v>1000000</v>
      </c>
      <c r="D4229" s="626">
        <v>0</v>
      </c>
    </row>
    <row r="4230" spans="1:4" x14ac:dyDescent="0.2">
      <c r="A4230">
        <v>4229</v>
      </c>
      <c r="B4230" s="626">
        <v>0</v>
      </c>
      <c r="C4230" s="626">
        <v>1000000</v>
      </c>
      <c r="D4230" s="626">
        <v>0</v>
      </c>
    </row>
    <row r="4231" spans="1:4" x14ac:dyDescent="0.2">
      <c r="A4231">
        <v>4230</v>
      </c>
      <c r="B4231" s="626">
        <v>0</v>
      </c>
      <c r="C4231" s="626">
        <v>1000000</v>
      </c>
      <c r="D4231" s="626">
        <v>0</v>
      </c>
    </row>
    <row r="4232" spans="1:4" x14ac:dyDescent="0.2">
      <c r="A4232">
        <v>4231</v>
      </c>
      <c r="B4232" s="626">
        <v>0</v>
      </c>
      <c r="C4232" s="626">
        <v>1000000</v>
      </c>
      <c r="D4232" s="626">
        <v>0</v>
      </c>
    </row>
    <row r="4233" spans="1:4" x14ac:dyDescent="0.2">
      <c r="A4233">
        <v>4232</v>
      </c>
      <c r="B4233" s="626">
        <v>0</v>
      </c>
      <c r="C4233" s="626">
        <v>1000000</v>
      </c>
      <c r="D4233" s="626">
        <v>0</v>
      </c>
    </row>
    <row r="4234" spans="1:4" x14ac:dyDescent="0.2">
      <c r="A4234">
        <v>4233</v>
      </c>
      <c r="B4234" s="626">
        <v>0</v>
      </c>
      <c r="C4234" s="626">
        <v>1000000</v>
      </c>
      <c r="D4234" s="626">
        <v>0</v>
      </c>
    </row>
    <row r="4235" spans="1:4" x14ac:dyDescent="0.2">
      <c r="A4235">
        <v>4234</v>
      </c>
      <c r="B4235" s="626">
        <v>0</v>
      </c>
      <c r="C4235" s="626">
        <v>1000000</v>
      </c>
      <c r="D4235" s="626">
        <v>0</v>
      </c>
    </row>
    <row r="4236" spans="1:4" x14ac:dyDescent="0.2">
      <c r="A4236">
        <v>4235</v>
      </c>
      <c r="B4236" s="626">
        <v>0</v>
      </c>
      <c r="C4236" s="626">
        <v>1000000</v>
      </c>
      <c r="D4236" s="626">
        <v>0</v>
      </c>
    </row>
    <row r="4237" spans="1:4" x14ac:dyDescent="0.2">
      <c r="A4237">
        <v>4236</v>
      </c>
      <c r="B4237" s="626">
        <v>0</v>
      </c>
      <c r="C4237" s="626">
        <v>1000000</v>
      </c>
      <c r="D4237" s="626">
        <v>0</v>
      </c>
    </row>
    <row r="4238" spans="1:4" x14ac:dyDescent="0.2">
      <c r="A4238">
        <v>4237</v>
      </c>
      <c r="B4238" s="626">
        <v>0</v>
      </c>
      <c r="C4238" s="626">
        <v>1000000</v>
      </c>
      <c r="D4238" s="626">
        <v>0</v>
      </c>
    </row>
    <row r="4239" spans="1:4" x14ac:dyDescent="0.2">
      <c r="A4239">
        <v>4238</v>
      </c>
      <c r="B4239" s="626">
        <v>0</v>
      </c>
      <c r="C4239" s="626">
        <v>1000000</v>
      </c>
      <c r="D4239" s="626">
        <v>0</v>
      </c>
    </row>
    <row r="4240" spans="1:4" x14ac:dyDescent="0.2">
      <c r="A4240">
        <v>4239</v>
      </c>
      <c r="B4240" s="626">
        <v>0</v>
      </c>
      <c r="C4240" s="626">
        <v>1000000</v>
      </c>
      <c r="D4240" s="626">
        <v>0</v>
      </c>
    </row>
    <row r="4241" spans="1:4" x14ac:dyDescent="0.2">
      <c r="A4241">
        <v>4240</v>
      </c>
      <c r="B4241" s="626">
        <v>0</v>
      </c>
      <c r="C4241" s="626">
        <v>1000000</v>
      </c>
      <c r="D4241" s="626">
        <v>0</v>
      </c>
    </row>
    <row r="4242" spans="1:4" x14ac:dyDescent="0.2">
      <c r="A4242">
        <v>4241</v>
      </c>
      <c r="B4242" s="626">
        <v>0</v>
      </c>
      <c r="C4242" s="626">
        <v>1000000</v>
      </c>
      <c r="D4242" s="626">
        <v>0</v>
      </c>
    </row>
    <row r="4243" spans="1:4" x14ac:dyDescent="0.2">
      <c r="A4243">
        <v>4242</v>
      </c>
      <c r="B4243" s="626">
        <v>0</v>
      </c>
      <c r="C4243" s="626">
        <v>1000000</v>
      </c>
      <c r="D4243" s="626">
        <v>0</v>
      </c>
    </row>
    <row r="4244" spans="1:4" x14ac:dyDescent="0.2">
      <c r="A4244">
        <v>4243</v>
      </c>
      <c r="B4244" s="626">
        <v>0</v>
      </c>
      <c r="C4244" s="626">
        <v>1000000</v>
      </c>
      <c r="D4244" s="626">
        <v>0</v>
      </c>
    </row>
    <row r="4245" spans="1:4" x14ac:dyDescent="0.2">
      <c r="A4245">
        <v>4244</v>
      </c>
      <c r="B4245" s="626">
        <v>0</v>
      </c>
      <c r="C4245" s="626">
        <v>1000000</v>
      </c>
      <c r="D4245" s="626">
        <v>0</v>
      </c>
    </row>
    <row r="4246" spans="1:4" x14ac:dyDescent="0.2">
      <c r="A4246">
        <v>4245</v>
      </c>
      <c r="B4246" s="626">
        <v>0</v>
      </c>
      <c r="C4246" s="626">
        <v>1000000</v>
      </c>
      <c r="D4246" s="626">
        <v>0</v>
      </c>
    </row>
    <row r="4247" spans="1:4" x14ac:dyDescent="0.2">
      <c r="A4247">
        <v>4246</v>
      </c>
      <c r="B4247" s="626">
        <v>0</v>
      </c>
      <c r="C4247" s="626">
        <v>1000000</v>
      </c>
      <c r="D4247" s="626">
        <v>0</v>
      </c>
    </row>
    <row r="4248" spans="1:4" x14ac:dyDescent="0.2">
      <c r="A4248">
        <v>4247</v>
      </c>
      <c r="B4248" s="626">
        <v>0</v>
      </c>
      <c r="C4248" s="626">
        <v>1000000</v>
      </c>
      <c r="D4248" s="626">
        <v>0</v>
      </c>
    </row>
    <row r="4249" spans="1:4" x14ac:dyDescent="0.2">
      <c r="A4249">
        <v>4248</v>
      </c>
      <c r="B4249" s="626">
        <v>0</v>
      </c>
      <c r="C4249" s="626">
        <v>1000000</v>
      </c>
      <c r="D4249" s="626">
        <v>0</v>
      </c>
    </row>
    <row r="4250" spans="1:4" x14ac:dyDescent="0.2">
      <c r="A4250">
        <v>4249</v>
      </c>
      <c r="B4250" s="626">
        <v>0</v>
      </c>
      <c r="C4250" s="626">
        <v>1000000</v>
      </c>
      <c r="D4250" s="626">
        <v>0</v>
      </c>
    </row>
    <row r="4251" spans="1:4" x14ac:dyDescent="0.2">
      <c r="A4251">
        <v>4250</v>
      </c>
      <c r="B4251" s="626">
        <v>0</v>
      </c>
      <c r="C4251" s="626">
        <v>1000000</v>
      </c>
      <c r="D4251" s="626">
        <v>0</v>
      </c>
    </row>
    <row r="4252" spans="1:4" x14ac:dyDescent="0.2">
      <c r="A4252">
        <v>4251</v>
      </c>
      <c r="B4252" s="626">
        <v>0</v>
      </c>
      <c r="C4252" s="626">
        <v>1000000</v>
      </c>
      <c r="D4252" s="626">
        <v>0</v>
      </c>
    </row>
    <row r="4253" spans="1:4" x14ac:dyDescent="0.2">
      <c r="A4253">
        <v>4252</v>
      </c>
      <c r="B4253" s="626">
        <v>0</v>
      </c>
      <c r="C4253" s="626">
        <v>1000000</v>
      </c>
      <c r="D4253" s="626">
        <v>0</v>
      </c>
    </row>
    <row r="4254" spans="1:4" x14ac:dyDescent="0.2">
      <c r="A4254">
        <v>4253</v>
      </c>
      <c r="B4254" s="626">
        <v>0</v>
      </c>
      <c r="C4254" s="626">
        <v>1000000</v>
      </c>
      <c r="D4254" s="626">
        <v>0</v>
      </c>
    </row>
    <row r="4255" spans="1:4" x14ac:dyDescent="0.2">
      <c r="A4255">
        <v>4254</v>
      </c>
      <c r="B4255" s="626">
        <v>0</v>
      </c>
      <c r="C4255" s="626">
        <v>1000000</v>
      </c>
      <c r="D4255" s="626">
        <v>0</v>
      </c>
    </row>
    <row r="4256" spans="1:4" x14ac:dyDescent="0.2">
      <c r="A4256">
        <v>4255</v>
      </c>
      <c r="B4256" s="626">
        <v>0</v>
      </c>
      <c r="C4256" s="626">
        <v>1000000</v>
      </c>
      <c r="D4256" s="626">
        <v>0</v>
      </c>
    </row>
    <row r="4257" spans="1:4" x14ac:dyDescent="0.2">
      <c r="A4257">
        <v>4256</v>
      </c>
      <c r="B4257" s="626">
        <v>0</v>
      </c>
      <c r="C4257" s="626">
        <v>1000000</v>
      </c>
      <c r="D4257" s="626">
        <v>0</v>
      </c>
    </row>
    <row r="4258" spans="1:4" x14ac:dyDescent="0.2">
      <c r="A4258">
        <v>4257</v>
      </c>
      <c r="B4258" s="626">
        <v>0</v>
      </c>
      <c r="C4258" s="626">
        <v>1000000</v>
      </c>
      <c r="D4258" s="626">
        <v>0</v>
      </c>
    </row>
    <row r="4259" spans="1:4" x14ac:dyDescent="0.2">
      <c r="A4259">
        <v>4258</v>
      </c>
      <c r="B4259" s="626">
        <v>0</v>
      </c>
      <c r="C4259" s="626">
        <v>1000000</v>
      </c>
      <c r="D4259" s="626">
        <v>0</v>
      </c>
    </row>
    <row r="4260" spans="1:4" x14ac:dyDescent="0.2">
      <c r="A4260">
        <v>4259</v>
      </c>
      <c r="B4260" s="626">
        <v>0</v>
      </c>
      <c r="C4260" s="626">
        <v>1000000</v>
      </c>
      <c r="D4260" s="626">
        <v>0</v>
      </c>
    </row>
    <row r="4261" spans="1:4" x14ac:dyDescent="0.2">
      <c r="A4261">
        <v>4260</v>
      </c>
      <c r="B4261" s="626">
        <v>0</v>
      </c>
      <c r="C4261" s="626">
        <v>1000000</v>
      </c>
      <c r="D4261" s="626">
        <v>0</v>
      </c>
    </row>
    <row r="4262" spans="1:4" x14ac:dyDescent="0.2">
      <c r="A4262">
        <v>4261</v>
      </c>
      <c r="B4262" s="626">
        <v>0</v>
      </c>
      <c r="C4262" s="626">
        <v>1000000</v>
      </c>
      <c r="D4262" s="626">
        <v>0</v>
      </c>
    </row>
    <row r="4263" spans="1:4" x14ac:dyDescent="0.2">
      <c r="A4263">
        <v>4262</v>
      </c>
      <c r="B4263" s="626">
        <v>0</v>
      </c>
      <c r="C4263" s="626">
        <v>1000000</v>
      </c>
      <c r="D4263" s="626">
        <v>0</v>
      </c>
    </row>
    <row r="4264" spans="1:4" x14ac:dyDescent="0.2">
      <c r="A4264">
        <v>4263</v>
      </c>
      <c r="B4264" s="626">
        <v>0</v>
      </c>
      <c r="C4264" s="626">
        <v>1000000</v>
      </c>
      <c r="D4264" s="626">
        <v>0</v>
      </c>
    </row>
    <row r="4265" spans="1:4" x14ac:dyDescent="0.2">
      <c r="A4265">
        <v>4264</v>
      </c>
      <c r="B4265" s="626">
        <v>0</v>
      </c>
      <c r="C4265" s="626">
        <v>1000000</v>
      </c>
      <c r="D4265" s="626">
        <v>0</v>
      </c>
    </row>
    <row r="4266" spans="1:4" x14ac:dyDescent="0.2">
      <c r="A4266">
        <v>4265</v>
      </c>
      <c r="B4266" s="626">
        <v>0</v>
      </c>
      <c r="C4266" s="626">
        <v>1000000</v>
      </c>
      <c r="D4266" s="626">
        <v>0</v>
      </c>
    </row>
    <row r="4267" spans="1:4" x14ac:dyDescent="0.2">
      <c r="A4267">
        <v>4266</v>
      </c>
      <c r="B4267" s="626">
        <v>0</v>
      </c>
      <c r="C4267" s="626">
        <v>1000000</v>
      </c>
      <c r="D4267" s="626">
        <v>0</v>
      </c>
    </row>
    <row r="4268" spans="1:4" x14ac:dyDescent="0.2">
      <c r="A4268">
        <v>4267</v>
      </c>
      <c r="B4268" s="626">
        <v>0</v>
      </c>
      <c r="C4268" s="626">
        <v>1000000</v>
      </c>
      <c r="D4268" s="626">
        <v>0</v>
      </c>
    </row>
    <row r="4269" spans="1:4" x14ac:dyDescent="0.2">
      <c r="A4269">
        <v>4268</v>
      </c>
      <c r="B4269" s="626">
        <v>0</v>
      </c>
      <c r="C4269" s="626">
        <v>1000000</v>
      </c>
      <c r="D4269" s="626">
        <v>0</v>
      </c>
    </row>
    <row r="4270" spans="1:4" x14ac:dyDescent="0.2">
      <c r="A4270">
        <v>4269</v>
      </c>
      <c r="B4270" s="626">
        <v>0</v>
      </c>
      <c r="C4270" s="626">
        <v>1000000</v>
      </c>
      <c r="D4270" s="626">
        <v>0</v>
      </c>
    </row>
    <row r="4271" spans="1:4" x14ac:dyDescent="0.2">
      <c r="A4271">
        <v>4270</v>
      </c>
      <c r="B4271" s="626">
        <v>0</v>
      </c>
      <c r="C4271" s="626">
        <v>1000000</v>
      </c>
      <c r="D4271" s="626">
        <v>0</v>
      </c>
    </row>
    <row r="4272" spans="1:4" x14ac:dyDescent="0.2">
      <c r="A4272">
        <v>4271</v>
      </c>
      <c r="B4272" s="626">
        <v>0</v>
      </c>
      <c r="C4272" s="626">
        <v>1000000</v>
      </c>
      <c r="D4272" s="626">
        <v>0</v>
      </c>
    </row>
    <row r="4273" spans="1:4" x14ac:dyDescent="0.2">
      <c r="A4273">
        <v>4272</v>
      </c>
      <c r="B4273" s="626">
        <v>0</v>
      </c>
      <c r="C4273" s="626">
        <v>1000000</v>
      </c>
      <c r="D4273" s="626">
        <v>0</v>
      </c>
    </row>
    <row r="4274" spans="1:4" x14ac:dyDescent="0.2">
      <c r="A4274">
        <v>4273</v>
      </c>
      <c r="B4274" s="626">
        <v>0</v>
      </c>
      <c r="C4274" s="626">
        <v>1000000</v>
      </c>
      <c r="D4274" s="626">
        <v>0</v>
      </c>
    </row>
    <row r="4275" spans="1:4" x14ac:dyDescent="0.2">
      <c r="A4275">
        <v>4274</v>
      </c>
      <c r="B4275" s="626">
        <v>0</v>
      </c>
      <c r="C4275" s="626">
        <v>1000000</v>
      </c>
      <c r="D4275" s="626">
        <v>0</v>
      </c>
    </row>
    <row r="4276" spans="1:4" x14ac:dyDescent="0.2">
      <c r="A4276">
        <v>4275</v>
      </c>
      <c r="B4276" s="626">
        <v>0</v>
      </c>
      <c r="C4276" s="626">
        <v>1000000</v>
      </c>
      <c r="D4276" s="626">
        <v>0</v>
      </c>
    </row>
    <row r="4277" spans="1:4" x14ac:dyDescent="0.2">
      <c r="A4277">
        <v>4276</v>
      </c>
      <c r="B4277" s="626">
        <v>0</v>
      </c>
      <c r="C4277" s="626">
        <v>1000000</v>
      </c>
      <c r="D4277" s="626">
        <v>0</v>
      </c>
    </row>
    <row r="4278" spans="1:4" x14ac:dyDescent="0.2">
      <c r="A4278">
        <v>4277</v>
      </c>
      <c r="B4278" s="626">
        <v>0</v>
      </c>
      <c r="C4278" s="626">
        <v>1000000</v>
      </c>
      <c r="D4278" s="626">
        <v>0</v>
      </c>
    </row>
    <row r="4279" spans="1:4" x14ac:dyDescent="0.2">
      <c r="A4279">
        <v>4278</v>
      </c>
      <c r="B4279" s="626">
        <v>0</v>
      </c>
      <c r="C4279" s="626">
        <v>1000000</v>
      </c>
      <c r="D4279" s="626">
        <v>0</v>
      </c>
    </row>
    <row r="4280" spans="1:4" x14ac:dyDescent="0.2">
      <c r="A4280">
        <v>4279</v>
      </c>
      <c r="B4280" s="626">
        <v>0</v>
      </c>
      <c r="C4280" s="626">
        <v>1000000</v>
      </c>
      <c r="D4280" s="626">
        <v>0</v>
      </c>
    </row>
    <row r="4281" spans="1:4" x14ac:dyDescent="0.2">
      <c r="A4281">
        <v>4280</v>
      </c>
      <c r="B4281" s="626">
        <v>0</v>
      </c>
      <c r="C4281" s="626">
        <v>1000000</v>
      </c>
      <c r="D4281" s="626">
        <v>0</v>
      </c>
    </row>
    <row r="4282" spans="1:4" x14ac:dyDescent="0.2">
      <c r="A4282">
        <v>4281</v>
      </c>
      <c r="B4282" s="626">
        <v>0</v>
      </c>
      <c r="C4282" s="626">
        <v>1000000</v>
      </c>
      <c r="D4282" s="626">
        <v>0</v>
      </c>
    </row>
    <row r="4283" spans="1:4" x14ac:dyDescent="0.2">
      <c r="A4283">
        <v>4282</v>
      </c>
      <c r="B4283" s="626">
        <v>0</v>
      </c>
      <c r="C4283" s="626">
        <v>1000000</v>
      </c>
      <c r="D4283" s="626">
        <v>0</v>
      </c>
    </row>
    <row r="4284" spans="1:4" x14ac:dyDescent="0.2">
      <c r="A4284">
        <v>4283</v>
      </c>
      <c r="B4284" s="626">
        <v>0</v>
      </c>
      <c r="C4284" s="626">
        <v>1000000</v>
      </c>
      <c r="D4284" s="626">
        <v>0</v>
      </c>
    </row>
    <row r="4285" spans="1:4" x14ac:dyDescent="0.2">
      <c r="A4285">
        <v>4284</v>
      </c>
      <c r="B4285" s="626">
        <v>0</v>
      </c>
      <c r="C4285" s="626">
        <v>1000000</v>
      </c>
      <c r="D4285" s="626">
        <v>0</v>
      </c>
    </row>
    <row r="4286" spans="1:4" x14ac:dyDescent="0.2">
      <c r="A4286">
        <v>4285</v>
      </c>
      <c r="B4286" s="626">
        <v>0</v>
      </c>
      <c r="C4286" s="626">
        <v>1000000</v>
      </c>
      <c r="D4286" s="626">
        <v>0</v>
      </c>
    </row>
    <row r="4287" spans="1:4" x14ac:dyDescent="0.2">
      <c r="A4287">
        <v>4286</v>
      </c>
      <c r="B4287" s="626">
        <v>0</v>
      </c>
      <c r="C4287" s="626">
        <v>1000000</v>
      </c>
      <c r="D4287" s="626">
        <v>0</v>
      </c>
    </row>
    <row r="4288" spans="1:4" x14ac:dyDescent="0.2">
      <c r="A4288">
        <v>4287</v>
      </c>
      <c r="B4288" s="626">
        <v>0</v>
      </c>
      <c r="C4288" s="626">
        <v>1000000</v>
      </c>
      <c r="D4288" s="626">
        <v>0</v>
      </c>
    </row>
    <row r="4289" spans="1:4" x14ac:dyDescent="0.2">
      <c r="A4289">
        <v>4288</v>
      </c>
      <c r="B4289" s="626">
        <v>0</v>
      </c>
      <c r="C4289" s="626">
        <v>1000000</v>
      </c>
      <c r="D4289" s="626">
        <v>0</v>
      </c>
    </row>
    <row r="4290" spans="1:4" x14ac:dyDescent="0.2">
      <c r="A4290">
        <v>4289</v>
      </c>
      <c r="B4290" s="626">
        <v>0</v>
      </c>
      <c r="C4290" s="626">
        <v>1000000</v>
      </c>
      <c r="D4290" s="626">
        <v>0</v>
      </c>
    </row>
    <row r="4291" spans="1:4" x14ac:dyDescent="0.2">
      <c r="A4291">
        <v>4290</v>
      </c>
      <c r="B4291" s="626">
        <v>0</v>
      </c>
      <c r="C4291" s="626">
        <v>1000000</v>
      </c>
      <c r="D4291" s="626">
        <v>0</v>
      </c>
    </row>
    <row r="4292" spans="1:4" x14ac:dyDescent="0.2">
      <c r="A4292">
        <v>4291</v>
      </c>
      <c r="B4292" s="626">
        <v>0</v>
      </c>
      <c r="C4292" s="626">
        <v>1000000</v>
      </c>
      <c r="D4292" s="626">
        <v>0</v>
      </c>
    </row>
    <row r="4293" spans="1:4" x14ac:dyDescent="0.2">
      <c r="A4293">
        <v>4292</v>
      </c>
      <c r="B4293" s="626">
        <v>0</v>
      </c>
      <c r="C4293" s="626">
        <v>1000000</v>
      </c>
      <c r="D4293" s="626">
        <v>0</v>
      </c>
    </row>
    <row r="4294" spans="1:4" x14ac:dyDescent="0.2">
      <c r="A4294">
        <v>4293</v>
      </c>
      <c r="B4294" s="626">
        <v>0</v>
      </c>
      <c r="C4294" s="626">
        <v>1000000</v>
      </c>
      <c r="D4294" s="626">
        <v>0</v>
      </c>
    </row>
    <row r="4295" spans="1:4" x14ac:dyDescent="0.2">
      <c r="A4295">
        <v>4294</v>
      </c>
      <c r="B4295" s="626">
        <v>0</v>
      </c>
      <c r="C4295" s="626">
        <v>1000000</v>
      </c>
      <c r="D4295" s="626">
        <v>0</v>
      </c>
    </row>
    <row r="4296" spans="1:4" x14ac:dyDescent="0.2">
      <c r="A4296">
        <v>4295</v>
      </c>
      <c r="B4296" s="626">
        <v>0</v>
      </c>
      <c r="C4296" s="626">
        <v>1000000</v>
      </c>
      <c r="D4296" s="626">
        <v>0</v>
      </c>
    </row>
    <row r="4297" spans="1:4" x14ac:dyDescent="0.2">
      <c r="A4297">
        <v>4296</v>
      </c>
      <c r="B4297" s="626">
        <v>0</v>
      </c>
      <c r="C4297" s="626">
        <v>1000000</v>
      </c>
      <c r="D4297" s="626">
        <v>0</v>
      </c>
    </row>
    <row r="4298" spans="1:4" x14ac:dyDescent="0.2">
      <c r="A4298">
        <v>4297</v>
      </c>
      <c r="B4298" s="626">
        <v>0</v>
      </c>
      <c r="C4298" s="626">
        <v>1000000</v>
      </c>
      <c r="D4298" s="626">
        <v>0</v>
      </c>
    </row>
    <row r="4299" spans="1:4" x14ac:dyDescent="0.2">
      <c r="A4299">
        <v>4298</v>
      </c>
      <c r="B4299" s="626">
        <v>0</v>
      </c>
      <c r="C4299" s="626">
        <v>1000000</v>
      </c>
      <c r="D4299" s="626">
        <v>0</v>
      </c>
    </row>
    <row r="4300" spans="1:4" x14ac:dyDescent="0.2">
      <c r="A4300">
        <v>4299</v>
      </c>
      <c r="B4300" s="626">
        <v>0</v>
      </c>
      <c r="C4300" s="626">
        <v>1000000</v>
      </c>
      <c r="D4300" s="626">
        <v>0</v>
      </c>
    </row>
    <row r="4301" spans="1:4" x14ac:dyDescent="0.2">
      <c r="A4301">
        <v>4300</v>
      </c>
      <c r="B4301" s="626">
        <v>0</v>
      </c>
      <c r="C4301" s="626">
        <v>1000000</v>
      </c>
      <c r="D4301" s="626">
        <v>0</v>
      </c>
    </row>
    <row r="4302" spans="1:4" x14ac:dyDescent="0.2">
      <c r="A4302">
        <v>4301</v>
      </c>
      <c r="B4302" s="626">
        <v>0</v>
      </c>
      <c r="C4302" s="626">
        <v>1000000</v>
      </c>
      <c r="D4302" s="626">
        <v>0</v>
      </c>
    </row>
    <row r="4303" spans="1:4" x14ac:dyDescent="0.2">
      <c r="A4303">
        <v>4302</v>
      </c>
      <c r="B4303" s="626">
        <v>0</v>
      </c>
      <c r="C4303" s="626">
        <v>1000000</v>
      </c>
      <c r="D4303" s="626">
        <v>0</v>
      </c>
    </row>
    <row r="4304" spans="1:4" x14ac:dyDescent="0.2">
      <c r="A4304">
        <v>4303</v>
      </c>
      <c r="B4304" s="626">
        <v>0</v>
      </c>
      <c r="C4304" s="626">
        <v>1000000</v>
      </c>
      <c r="D4304" s="626">
        <v>0</v>
      </c>
    </row>
    <row r="4305" spans="1:4" x14ac:dyDescent="0.2">
      <c r="A4305">
        <v>4304</v>
      </c>
      <c r="B4305" s="626">
        <v>0</v>
      </c>
      <c r="C4305" s="626">
        <v>1000000</v>
      </c>
      <c r="D4305" s="626">
        <v>0</v>
      </c>
    </row>
    <row r="4306" spans="1:4" x14ac:dyDescent="0.2">
      <c r="A4306">
        <v>4305</v>
      </c>
      <c r="B4306" s="626">
        <v>0</v>
      </c>
      <c r="C4306" s="626">
        <v>1000000</v>
      </c>
      <c r="D4306" s="626">
        <v>0</v>
      </c>
    </row>
    <row r="4307" spans="1:4" x14ac:dyDescent="0.2">
      <c r="A4307">
        <v>4306</v>
      </c>
      <c r="B4307" s="626">
        <v>0</v>
      </c>
      <c r="C4307" s="626">
        <v>1000000</v>
      </c>
      <c r="D4307" s="626">
        <v>0</v>
      </c>
    </row>
    <row r="4308" spans="1:4" x14ac:dyDescent="0.2">
      <c r="A4308">
        <v>4307</v>
      </c>
      <c r="B4308" s="626">
        <v>0</v>
      </c>
      <c r="C4308" s="626">
        <v>1000000</v>
      </c>
      <c r="D4308" s="626">
        <v>0</v>
      </c>
    </row>
    <row r="4309" spans="1:4" x14ac:dyDescent="0.2">
      <c r="A4309">
        <v>4308</v>
      </c>
      <c r="B4309" s="626">
        <v>0</v>
      </c>
      <c r="C4309" s="626">
        <v>1000000</v>
      </c>
      <c r="D4309" s="626">
        <v>0</v>
      </c>
    </row>
    <row r="4310" spans="1:4" x14ac:dyDescent="0.2">
      <c r="A4310">
        <v>4309</v>
      </c>
      <c r="B4310" s="626">
        <v>0</v>
      </c>
      <c r="C4310" s="626">
        <v>1000000</v>
      </c>
      <c r="D4310" s="626">
        <v>0</v>
      </c>
    </row>
    <row r="4311" spans="1:4" x14ac:dyDescent="0.2">
      <c r="A4311">
        <v>4310</v>
      </c>
      <c r="B4311" s="626">
        <v>0</v>
      </c>
      <c r="C4311" s="626">
        <v>1000000</v>
      </c>
      <c r="D4311" s="626">
        <v>0</v>
      </c>
    </row>
    <row r="4312" spans="1:4" x14ac:dyDescent="0.2">
      <c r="A4312">
        <v>4311</v>
      </c>
      <c r="B4312" s="626">
        <v>0</v>
      </c>
      <c r="C4312" s="626">
        <v>1000000</v>
      </c>
      <c r="D4312" s="626">
        <v>0</v>
      </c>
    </row>
    <row r="4313" spans="1:4" x14ac:dyDescent="0.2">
      <c r="A4313">
        <v>4312</v>
      </c>
      <c r="B4313" s="626">
        <v>0</v>
      </c>
      <c r="C4313" s="626">
        <v>1000000</v>
      </c>
      <c r="D4313" s="626">
        <v>0</v>
      </c>
    </row>
    <row r="4314" spans="1:4" x14ac:dyDescent="0.2">
      <c r="A4314">
        <v>4313</v>
      </c>
      <c r="B4314" s="626">
        <v>0</v>
      </c>
      <c r="C4314" s="626">
        <v>1000000</v>
      </c>
      <c r="D4314" s="626">
        <v>0</v>
      </c>
    </row>
    <row r="4315" spans="1:4" x14ac:dyDescent="0.2">
      <c r="A4315">
        <v>4314</v>
      </c>
      <c r="B4315" s="626">
        <v>0</v>
      </c>
      <c r="C4315" s="626">
        <v>1000000</v>
      </c>
      <c r="D4315" s="626">
        <v>0</v>
      </c>
    </row>
    <row r="4316" spans="1:4" x14ac:dyDescent="0.2">
      <c r="A4316">
        <v>4315</v>
      </c>
      <c r="B4316" s="626">
        <v>0</v>
      </c>
      <c r="C4316" s="626">
        <v>1000000</v>
      </c>
      <c r="D4316" s="626">
        <v>0</v>
      </c>
    </row>
    <row r="4317" spans="1:4" x14ac:dyDescent="0.2">
      <c r="A4317">
        <v>4316</v>
      </c>
      <c r="B4317" s="626">
        <v>0</v>
      </c>
      <c r="C4317" s="626">
        <v>1000000</v>
      </c>
      <c r="D4317" s="626">
        <v>0</v>
      </c>
    </row>
    <row r="4318" spans="1:4" x14ac:dyDescent="0.2">
      <c r="A4318">
        <v>4317</v>
      </c>
      <c r="B4318" s="626">
        <v>0</v>
      </c>
      <c r="C4318" s="626">
        <v>1000000</v>
      </c>
      <c r="D4318" s="626">
        <v>0</v>
      </c>
    </row>
    <row r="4319" spans="1:4" x14ac:dyDescent="0.2">
      <c r="A4319">
        <v>4318</v>
      </c>
      <c r="B4319" s="626">
        <v>0</v>
      </c>
      <c r="C4319" s="626">
        <v>1000000</v>
      </c>
      <c r="D4319" s="626">
        <v>0</v>
      </c>
    </row>
    <row r="4320" spans="1:4" x14ac:dyDescent="0.2">
      <c r="A4320">
        <v>4319</v>
      </c>
      <c r="B4320" s="626">
        <v>0</v>
      </c>
      <c r="C4320" s="626">
        <v>1000000</v>
      </c>
      <c r="D4320" s="626">
        <v>0</v>
      </c>
    </row>
    <row r="4321" spans="1:4" x14ac:dyDescent="0.2">
      <c r="A4321">
        <v>4320</v>
      </c>
      <c r="B4321" s="626">
        <v>0</v>
      </c>
      <c r="C4321" s="626">
        <v>1000000</v>
      </c>
      <c r="D4321" s="626">
        <v>0</v>
      </c>
    </row>
    <row r="4322" spans="1:4" x14ac:dyDescent="0.2">
      <c r="A4322">
        <v>4321</v>
      </c>
      <c r="B4322" s="626">
        <v>0</v>
      </c>
      <c r="C4322" s="626">
        <v>1000000</v>
      </c>
      <c r="D4322" s="626">
        <v>0</v>
      </c>
    </row>
    <row r="4323" spans="1:4" x14ac:dyDescent="0.2">
      <c r="A4323">
        <v>4322</v>
      </c>
      <c r="B4323" s="626">
        <v>0</v>
      </c>
      <c r="C4323" s="626">
        <v>1000000</v>
      </c>
      <c r="D4323" s="626">
        <v>0</v>
      </c>
    </row>
    <row r="4324" spans="1:4" x14ac:dyDescent="0.2">
      <c r="A4324">
        <v>4323</v>
      </c>
      <c r="B4324" s="626">
        <v>0</v>
      </c>
      <c r="C4324" s="626">
        <v>1000000</v>
      </c>
      <c r="D4324" s="626">
        <v>0</v>
      </c>
    </row>
    <row r="4325" spans="1:4" x14ac:dyDescent="0.2">
      <c r="A4325">
        <v>4324</v>
      </c>
      <c r="B4325" s="626">
        <v>0</v>
      </c>
      <c r="C4325" s="626">
        <v>1000000</v>
      </c>
      <c r="D4325" s="626">
        <v>0</v>
      </c>
    </row>
    <row r="4326" spans="1:4" x14ac:dyDescent="0.2">
      <c r="A4326">
        <v>4325</v>
      </c>
      <c r="B4326" s="626">
        <v>0</v>
      </c>
      <c r="C4326" s="626">
        <v>1000000</v>
      </c>
      <c r="D4326" s="626">
        <v>0</v>
      </c>
    </row>
    <row r="4327" spans="1:4" x14ac:dyDescent="0.2">
      <c r="A4327">
        <v>4326</v>
      </c>
      <c r="B4327" s="626">
        <v>0</v>
      </c>
      <c r="C4327" s="626">
        <v>1000000</v>
      </c>
      <c r="D4327" s="626">
        <v>0</v>
      </c>
    </row>
    <row r="4328" spans="1:4" x14ac:dyDescent="0.2">
      <c r="A4328">
        <v>4327</v>
      </c>
      <c r="B4328" s="626">
        <v>0</v>
      </c>
      <c r="C4328" s="626">
        <v>1000000</v>
      </c>
      <c r="D4328" s="626">
        <v>0</v>
      </c>
    </row>
    <row r="4329" spans="1:4" x14ac:dyDescent="0.2">
      <c r="A4329">
        <v>4328</v>
      </c>
      <c r="B4329" s="626">
        <v>0</v>
      </c>
      <c r="C4329" s="626">
        <v>1000000</v>
      </c>
      <c r="D4329" s="626">
        <v>0</v>
      </c>
    </row>
    <row r="4330" spans="1:4" x14ac:dyDescent="0.2">
      <c r="A4330">
        <v>4329</v>
      </c>
      <c r="B4330" s="626">
        <v>0</v>
      </c>
      <c r="C4330" s="626">
        <v>1000000</v>
      </c>
      <c r="D4330" s="626">
        <v>0</v>
      </c>
    </row>
    <row r="4331" spans="1:4" x14ac:dyDescent="0.2">
      <c r="A4331">
        <v>4330</v>
      </c>
      <c r="B4331" s="626">
        <v>0</v>
      </c>
      <c r="C4331" s="626">
        <v>1000000</v>
      </c>
      <c r="D4331" s="626">
        <v>0</v>
      </c>
    </row>
    <row r="4332" spans="1:4" x14ac:dyDescent="0.2">
      <c r="A4332">
        <v>4331</v>
      </c>
      <c r="B4332" s="626">
        <v>0</v>
      </c>
      <c r="C4332" s="626">
        <v>1000000</v>
      </c>
      <c r="D4332" s="626">
        <v>0</v>
      </c>
    </row>
    <row r="4333" spans="1:4" x14ac:dyDescent="0.2">
      <c r="A4333">
        <v>4332</v>
      </c>
      <c r="B4333" s="626">
        <v>0</v>
      </c>
      <c r="C4333" s="626">
        <v>1000000</v>
      </c>
      <c r="D4333" s="626">
        <v>0</v>
      </c>
    </row>
    <row r="4334" spans="1:4" x14ac:dyDescent="0.2">
      <c r="A4334">
        <v>4333</v>
      </c>
      <c r="B4334" s="626">
        <v>0</v>
      </c>
      <c r="C4334" s="626">
        <v>1000000</v>
      </c>
      <c r="D4334" s="626">
        <v>0</v>
      </c>
    </row>
    <row r="4335" spans="1:4" x14ac:dyDescent="0.2">
      <c r="A4335">
        <v>4334</v>
      </c>
      <c r="B4335" s="626">
        <v>0</v>
      </c>
      <c r="C4335" s="626">
        <v>1000000</v>
      </c>
      <c r="D4335" s="626">
        <v>0</v>
      </c>
    </row>
    <row r="4336" spans="1:4" x14ac:dyDescent="0.2">
      <c r="A4336">
        <v>4335</v>
      </c>
      <c r="B4336" s="626">
        <v>0</v>
      </c>
      <c r="C4336" s="626">
        <v>1000000</v>
      </c>
      <c r="D4336" s="626">
        <v>0</v>
      </c>
    </row>
    <row r="4337" spans="1:4" x14ac:dyDescent="0.2">
      <c r="A4337">
        <v>4336</v>
      </c>
      <c r="B4337" s="626">
        <v>0</v>
      </c>
      <c r="C4337" s="626">
        <v>1000000</v>
      </c>
      <c r="D4337" s="626">
        <v>0</v>
      </c>
    </row>
    <row r="4338" spans="1:4" x14ac:dyDescent="0.2">
      <c r="A4338">
        <v>4337</v>
      </c>
      <c r="B4338" s="626">
        <v>0</v>
      </c>
      <c r="C4338" s="626">
        <v>1000000</v>
      </c>
      <c r="D4338" s="626">
        <v>0</v>
      </c>
    </row>
    <row r="4339" spans="1:4" x14ac:dyDescent="0.2">
      <c r="A4339">
        <v>4338</v>
      </c>
      <c r="B4339" s="626">
        <v>0</v>
      </c>
      <c r="C4339" s="626">
        <v>1000000</v>
      </c>
      <c r="D4339" s="626">
        <v>0</v>
      </c>
    </row>
    <row r="4340" spans="1:4" x14ac:dyDescent="0.2">
      <c r="A4340">
        <v>4339</v>
      </c>
      <c r="B4340" s="626">
        <v>0</v>
      </c>
      <c r="C4340" s="626">
        <v>1000000</v>
      </c>
      <c r="D4340" s="626">
        <v>0</v>
      </c>
    </row>
    <row r="4341" spans="1:4" x14ac:dyDescent="0.2">
      <c r="A4341">
        <v>4340</v>
      </c>
      <c r="B4341" s="626">
        <v>0</v>
      </c>
      <c r="C4341" s="626">
        <v>1000000</v>
      </c>
      <c r="D4341" s="626">
        <v>0</v>
      </c>
    </row>
    <row r="4342" spans="1:4" x14ac:dyDescent="0.2">
      <c r="A4342">
        <v>4341</v>
      </c>
      <c r="B4342" s="626">
        <v>0</v>
      </c>
      <c r="C4342" s="626">
        <v>1000000</v>
      </c>
      <c r="D4342" s="626">
        <v>0</v>
      </c>
    </row>
    <row r="4343" spans="1:4" x14ac:dyDescent="0.2">
      <c r="A4343">
        <v>4342</v>
      </c>
      <c r="B4343" s="626">
        <v>0</v>
      </c>
      <c r="C4343" s="626">
        <v>1000000</v>
      </c>
      <c r="D4343" s="626">
        <v>0</v>
      </c>
    </row>
    <row r="4344" spans="1:4" x14ac:dyDescent="0.2">
      <c r="A4344">
        <v>4343</v>
      </c>
      <c r="B4344" s="626">
        <v>0</v>
      </c>
      <c r="C4344" s="626">
        <v>1000000</v>
      </c>
      <c r="D4344" s="626">
        <v>0</v>
      </c>
    </row>
    <row r="4345" spans="1:4" x14ac:dyDescent="0.2">
      <c r="A4345">
        <v>4344</v>
      </c>
      <c r="B4345" s="626">
        <v>0</v>
      </c>
      <c r="C4345" s="626">
        <v>1000000</v>
      </c>
      <c r="D4345" s="626">
        <v>0</v>
      </c>
    </row>
    <row r="4346" spans="1:4" x14ac:dyDescent="0.2">
      <c r="A4346">
        <v>4345</v>
      </c>
      <c r="B4346" s="626">
        <v>0</v>
      </c>
      <c r="C4346" s="626">
        <v>1000000</v>
      </c>
      <c r="D4346" s="626">
        <v>0</v>
      </c>
    </row>
    <row r="4347" spans="1:4" x14ac:dyDescent="0.2">
      <c r="A4347">
        <v>4346</v>
      </c>
      <c r="B4347" s="626">
        <v>0</v>
      </c>
      <c r="C4347" s="626">
        <v>1000000</v>
      </c>
      <c r="D4347" s="626">
        <v>0</v>
      </c>
    </row>
    <row r="4348" spans="1:4" x14ac:dyDescent="0.2">
      <c r="A4348">
        <v>4347</v>
      </c>
      <c r="B4348" s="626">
        <v>0</v>
      </c>
      <c r="C4348" s="626">
        <v>1000000</v>
      </c>
      <c r="D4348" s="626">
        <v>0</v>
      </c>
    </row>
    <row r="4349" spans="1:4" x14ac:dyDescent="0.2">
      <c r="A4349">
        <v>4348</v>
      </c>
      <c r="B4349" s="626">
        <v>0</v>
      </c>
      <c r="C4349" s="626">
        <v>1000000</v>
      </c>
      <c r="D4349" s="626">
        <v>0</v>
      </c>
    </row>
    <row r="4350" spans="1:4" x14ac:dyDescent="0.2">
      <c r="A4350">
        <v>4349</v>
      </c>
      <c r="B4350" s="626">
        <v>0</v>
      </c>
      <c r="C4350" s="626">
        <v>1000000</v>
      </c>
      <c r="D4350" s="626">
        <v>0</v>
      </c>
    </row>
    <row r="4351" spans="1:4" x14ac:dyDescent="0.2">
      <c r="A4351">
        <v>4350</v>
      </c>
      <c r="B4351" s="626">
        <v>0</v>
      </c>
      <c r="C4351" s="626">
        <v>1000000</v>
      </c>
      <c r="D4351" s="626">
        <v>0</v>
      </c>
    </row>
    <row r="4352" spans="1:4" x14ac:dyDescent="0.2">
      <c r="A4352">
        <v>4351</v>
      </c>
      <c r="B4352" s="626">
        <v>0</v>
      </c>
      <c r="C4352" s="626">
        <v>1000000</v>
      </c>
      <c r="D4352" s="626">
        <v>0</v>
      </c>
    </row>
    <row r="4353" spans="1:4" x14ac:dyDescent="0.2">
      <c r="A4353">
        <v>4352</v>
      </c>
      <c r="B4353" s="626">
        <v>0</v>
      </c>
      <c r="C4353" s="626">
        <v>1000000</v>
      </c>
      <c r="D4353" s="626">
        <v>0</v>
      </c>
    </row>
    <row r="4354" spans="1:4" x14ac:dyDescent="0.2">
      <c r="A4354">
        <v>4353</v>
      </c>
      <c r="B4354" s="626">
        <v>0</v>
      </c>
      <c r="C4354" s="626">
        <v>1000000</v>
      </c>
      <c r="D4354" s="626">
        <v>0</v>
      </c>
    </row>
    <row r="4355" spans="1:4" x14ac:dyDescent="0.2">
      <c r="A4355">
        <v>4354</v>
      </c>
      <c r="B4355" s="626">
        <v>0</v>
      </c>
      <c r="C4355" s="626">
        <v>1000000</v>
      </c>
      <c r="D4355" s="626">
        <v>0</v>
      </c>
    </row>
    <row r="4356" spans="1:4" x14ac:dyDescent="0.2">
      <c r="A4356">
        <v>4355</v>
      </c>
      <c r="B4356" s="626">
        <v>0</v>
      </c>
      <c r="C4356" s="626">
        <v>1000000</v>
      </c>
      <c r="D4356" s="626">
        <v>0</v>
      </c>
    </row>
    <row r="4357" spans="1:4" x14ac:dyDescent="0.2">
      <c r="A4357">
        <v>4356</v>
      </c>
      <c r="B4357" s="626">
        <v>0</v>
      </c>
      <c r="C4357" s="626">
        <v>1000000</v>
      </c>
      <c r="D4357" s="626">
        <v>0</v>
      </c>
    </row>
    <row r="4358" spans="1:4" x14ac:dyDescent="0.2">
      <c r="A4358">
        <v>4357</v>
      </c>
      <c r="B4358" s="626">
        <v>0</v>
      </c>
      <c r="C4358" s="626">
        <v>1000000</v>
      </c>
      <c r="D4358" s="626">
        <v>0</v>
      </c>
    </row>
    <row r="4359" spans="1:4" x14ac:dyDescent="0.2">
      <c r="A4359">
        <v>4358</v>
      </c>
      <c r="B4359" s="626">
        <v>0</v>
      </c>
      <c r="C4359" s="626">
        <v>1000000</v>
      </c>
      <c r="D4359" s="626">
        <v>0</v>
      </c>
    </row>
    <row r="4360" spans="1:4" x14ac:dyDescent="0.2">
      <c r="A4360">
        <v>4359</v>
      </c>
      <c r="B4360" s="626">
        <v>0</v>
      </c>
      <c r="C4360" s="626">
        <v>1000000</v>
      </c>
      <c r="D4360" s="626">
        <v>0</v>
      </c>
    </row>
    <row r="4361" spans="1:4" x14ac:dyDescent="0.2">
      <c r="A4361">
        <v>4360</v>
      </c>
      <c r="B4361" s="626">
        <v>0</v>
      </c>
      <c r="C4361" s="626">
        <v>1000000</v>
      </c>
      <c r="D4361" s="626">
        <v>0</v>
      </c>
    </row>
    <row r="4362" spans="1:4" x14ac:dyDescent="0.2">
      <c r="A4362">
        <v>4361</v>
      </c>
      <c r="B4362" s="626">
        <v>0</v>
      </c>
      <c r="C4362" s="626">
        <v>1000000</v>
      </c>
      <c r="D4362" s="626">
        <v>0</v>
      </c>
    </row>
    <row r="4363" spans="1:4" x14ac:dyDescent="0.2">
      <c r="A4363">
        <v>4362</v>
      </c>
      <c r="B4363" s="626">
        <v>0</v>
      </c>
      <c r="C4363" s="626">
        <v>1000000</v>
      </c>
      <c r="D4363" s="626">
        <v>0</v>
      </c>
    </row>
    <row r="4364" spans="1:4" x14ac:dyDescent="0.2">
      <c r="A4364">
        <v>4363</v>
      </c>
      <c r="B4364" s="626">
        <v>0</v>
      </c>
      <c r="C4364" s="626">
        <v>1000000</v>
      </c>
      <c r="D4364" s="626">
        <v>0</v>
      </c>
    </row>
    <row r="4365" spans="1:4" x14ac:dyDescent="0.2">
      <c r="A4365">
        <v>4364</v>
      </c>
      <c r="B4365" s="626">
        <v>0</v>
      </c>
      <c r="C4365" s="626">
        <v>1000000</v>
      </c>
      <c r="D4365" s="626">
        <v>0</v>
      </c>
    </row>
    <row r="4366" spans="1:4" x14ac:dyDescent="0.2">
      <c r="A4366">
        <v>4365</v>
      </c>
      <c r="B4366" s="626">
        <v>0</v>
      </c>
      <c r="C4366" s="626">
        <v>1000000</v>
      </c>
      <c r="D4366" s="626">
        <v>0</v>
      </c>
    </row>
    <row r="4367" spans="1:4" x14ac:dyDescent="0.2">
      <c r="A4367">
        <v>4366</v>
      </c>
      <c r="B4367" s="626">
        <v>0</v>
      </c>
      <c r="C4367" s="626">
        <v>1000000</v>
      </c>
      <c r="D4367" s="626">
        <v>0</v>
      </c>
    </row>
    <row r="4368" spans="1:4" x14ac:dyDescent="0.2">
      <c r="A4368">
        <v>4367</v>
      </c>
      <c r="B4368" s="626">
        <v>0</v>
      </c>
      <c r="C4368" s="626">
        <v>1000000</v>
      </c>
      <c r="D4368" s="626">
        <v>0</v>
      </c>
    </row>
    <row r="4369" spans="1:4" x14ac:dyDescent="0.2">
      <c r="A4369">
        <v>4368</v>
      </c>
      <c r="B4369" s="626">
        <v>0</v>
      </c>
      <c r="C4369" s="626">
        <v>1000000</v>
      </c>
      <c r="D4369" s="626">
        <v>0</v>
      </c>
    </row>
    <row r="4370" spans="1:4" x14ac:dyDescent="0.2">
      <c r="A4370">
        <v>4369</v>
      </c>
      <c r="B4370" s="626">
        <v>0</v>
      </c>
      <c r="C4370" s="626">
        <v>1000000</v>
      </c>
      <c r="D4370" s="626">
        <v>0</v>
      </c>
    </row>
    <row r="4371" spans="1:4" x14ac:dyDescent="0.2">
      <c r="A4371">
        <v>4370</v>
      </c>
      <c r="B4371" s="626">
        <v>0</v>
      </c>
      <c r="C4371" s="626">
        <v>1000000</v>
      </c>
      <c r="D4371" s="626">
        <v>0</v>
      </c>
    </row>
    <row r="4372" spans="1:4" x14ac:dyDescent="0.2">
      <c r="A4372">
        <v>4371</v>
      </c>
      <c r="B4372" s="626">
        <v>0</v>
      </c>
      <c r="C4372" s="626">
        <v>1000000</v>
      </c>
      <c r="D4372" s="626">
        <v>0</v>
      </c>
    </row>
    <row r="4373" spans="1:4" x14ac:dyDescent="0.2">
      <c r="A4373">
        <v>4372</v>
      </c>
      <c r="B4373" s="626">
        <v>0</v>
      </c>
      <c r="C4373" s="626">
        <v>1000000</v>
      </c>
      <c r="D4373" s="626">
        <v>0</v>
      </c>
    </row>
    <row r="4374" spans="1:4" x14ac:dyDescent="0.2">
      <c r="A4374">
        <v>4373</v>
      </c>
      <c r="B4374" s="626">
        <v>0</v>
      </c>
      <c r="C4374" s="626">
        <v>1000000</v>
      </c>
      <c r="D4374" s="626">
        <v>0</v>
      </c>
    </row>
    <row r="4375" spans="1:4" x14ac:dyDescent="0.2">
      <c r="A4375">
        <v>4374</v>
      </c>
      <c r="B4375" s="626">
        <v>0</v>
      </c>
      <c r="C4375" s="626">
        <v>1000000</v>
      </c>
      <c r="D4375" s="626">
        <v>0</v>
      </c>
    </row>
    <row r="4376" spans="1:4" x14ac:dyDescent="0.2">
      <c r="A4376">
        <v>4375</v>
      </c>
      <c r="B4376" s="626">
        <v>0</v>
      </c>
      <c r="C4376" s="626">
        <v>1000000</v>
      </c>
      <c r="D4376" s="626">
        <v>0</v>
      </c>
    </row>
    <row r="4377" spans="1:4" x14ac:dyDescent="0.2">
      <c r="A4377">
        <v>4376</v>
      </c>
      <c r="B4377" s="626">
        <v>0</v>
      </c>
      <c r="C4377" s="626">
        <v>1000000</v>
      </c>
      <c r="D4377" s="626">
        <v>0</v>
      </c>
    </row>
    <row r="4378" spans="1:4" x14ac:dyDescent="0.2">
      <c r="A4378">
        <v>4377</v>
      </c>
      <c r="B4378" s="626">
        <v>0</v>
      </c>
      <c r="C4378" s="626">
        <v>1000000</v>
      </c>
      <c r="D4378" s="626">
        <v>0</v>
      </c>
    </row>
    <row r="4379" spans="1:4" x14ac:dyDescent="0.2">
      <c r="A4379">
        <v>4378</v>
      </c>
      <c r="B4379" s="626">
        <v>0</v>
      </c>
      <c r="C4379" s="626">
        <v>1000000</v>
      </c>
      <c r="D4379" s="626">
        <v>0</v>
      </c>
    </row>
    <row r="4380" spans="1:4" x14ac:dyDescent="0.2">
      <c r="A4380">
        <v>4379</v>
      </c>
      <c r="B4380" s="626">
        <v>0</v>
      </c>
      <c r="C4380" s="626">
        <v>1000000</v>
      </c>
      <c r="D4380" s="626">
        <v>0</v>
      </c>
    </row>
    <row r="4381" spans="1:4" x14ac:dyDescent="0.2">
      <c r="A4381">
        <v>4380</v>
      </c>
      <c r="B4381" s="626">
        <v>0</v>
      </c>
      <c r="C4381" s="626">
        <v>1000000</v>
      </c>
      <c r="D4381" s="626">
        <v>0</v>
      </c>
    </row>
    <row r="4382" spans="1:4" x14ac:dyDescent="0.2">
      <c r="A4382">
        <v>4381</v>
      </c>
      <c r="B4382" s="626">
        <v>0</v>
      </c>
      <c r="C4382" s="626">
        <v>1000000</v>
      </c>
      <c r="D4382" s="626">
        <v>0</v>
      </c>
    </row>
    <row r="4383" spans="1:4" x14ac:dyDescent="0.2">
      <c r="A4383">
        <v>4382</v>
      </c>
      <c r="B4383" s="626">
        <v>0</v>
      </c>
      <c r="C4383" s="626">
        <v>1000000</v>
      </c>
      <c r="D4383" s="626">
        <v>0</v>
      </c>
    </row>
    <row r="4384" spans="1:4" x14ac:dyDescent="0.2">
      <c r="A4384">
        <v>4383</v>
      </c>
      <c r="B4384" s="626">
        <v>0</v>
      </c>
      <c r="C4384" s="626">
        <v>1000000</v>
      </c>
      <c r="D4384" s="626">
        <v>0</v>
      </c>
    </row>
    <row r="4385" spans="1:4" x14ac:dyDescent="0.2">
      <c r="A4385">
        <v>4384</v>
      </c>
      <c r="B4385" s="626">
        <v>0</v>
      </c>
      <c r="C4385" s="626">
        <v>1000000</v>
      </c>
      <c r="D4385" s="626">
        <v>0</v>
      </c>
    </row>
    <row r="4386" spans="1:4" x14ac:dyDescent="0.2">
      <c r="A4386">
        <v>4385</v>
      </c>
      <c r="B4386" s="626">
        <v>0</v>
      </c>
      <c r="C4386" s="626">
        <v>1000000</v>
      </c>
      <c r="D4386" s="626">
        <v>0</v>
      </c>
    </row>
    <row r="4387" spans="1:4" x14ac:dyDescent="0.2">
      <c r="A4387">
        <v>4386</v>
      </c>
      <c r="B4387" s="626">
        <v>0</v>
      </c>
      <c r="C4387" s="626">
        <v>1000000</v>
      </c>
      <c r="D4387" s="626">
        <v>0</v>
      </c>
    </row>
    <row r="4388" spans="1:4" x14ac:dyDescent="0.2">
      <c r="A4388">
        <v>4387</v>
      </c>
      <c r="B4388" s="626">
        <v>0</v>
      </c>
      <c r="C4388" s="626">
        <v>1000000</v>
      </c>
      <c r="D4388" s="626">
        <v>0</v>
      </c>
    </row>
    <row r="4389" spans="1:4" x14ac:dyDescent="0.2">
      <c r="A4389">
        <v>4388</v>
      </c>
      <c r="B4389" s="626">
        <v>0</v>
      </c>
      <c r="C4389" s="626">
        <v>1000000</v>
      </c>
      <c r="D4389" s="626">
        <v>0</v>
      </c>
    </row>
    <row r="4390" spans="1:4" x14ac:dyDescent="0.2">
      <c r="A4390">
        <v>4389</v>
      </c>
      <c r="B4390" s="626">
        <v>0</v>
      </c>
      <c r="C4390" s="626">
        <v>1000000</v>
      </c>
      <c r="D4390" s="626">
        <v>0</v>
      </c>
    </row>
    <row r="4391" spans="1:4" x14ac:dyDescent="0.2">
      <c r="A4391">
        <v>4390</v>
      </c>
      <c r="B4391" s="626">
        <v>0</v>
      </c>
      <c r="C4391" s="626">
        <v>1000000</v>
      </c>
      <c r="D4391" s="626">
        <v>0</v>
      </c>
    </row>
    <row r="4392" spans="1:4" x14ac:dyDescent="0.2">
      <c r="A4392">
        <v>4391</v>
      </c>
      <c r="B4392" s="626">
        <v>0</v>
      </c>
      <c r="C4392" s="626">
        <v>1000000</v>
      </c>
      <c r="D4392" s="626">
        <v>0</v>
      </c>
    </row>
    <row r="4393" spans="1:4" x14ac:dyDescent="0.2">
      <c r="A4393">
        <v>4392</v>
      </c>
      <c r="B4393" s="626">
        <v>0</v>
      </c>
      <c r="C4393" s="626">
        <v>1000000</v>
      </c>
      <c r="D4393" s="626">
        <v>0</v>
      </c>
    </row>
    <row r="4394" spans="1:4" x14ac:dyDescent="0.2">
      <c r="A4394">
        <v>4393</v>
      </c>
      <c r="B4394" s="626">
        <v>0</v>
      </c>
      <c r="C4394" s="626">
        <v>1000000</v>
      </c>
      <c r="D4394" s="626">
        <v>0</v>
      </c>
    </row>
    <row r="4395" spans="1:4" x14ac:dyDescent="0.2">
      <c r="A4395">
        <v>4394</v>
      </c>
      <c r="B4395" s="626">
        <v>0</v>
      </c>
      <c r="C4395" s="626">
        <v>1000000</v>
      </c>
      <c r="D4395" s="626">
        <v>0</v>
      </c>
    </row>
    <row r="4396" spans="1:4" x14ac:dyDescent="0.2">
      <c r="A4396">
        <v>4395</v>
      </c>
      <c r="B4396" s="626">
        <v>0</v>
      </c>
      <c r="C4396" s="626">
        <v>1000000</v>
      </c>
      <c r="D4396" s="626">
        <v>0</v>
      </c>
    </row>
    <row r="4397" spans="1:4" x14ac:dyDescent="0.2">
      <c r="A4397">
        <v>4396</v>
      </c>
      <c r="B4397" s="626">
        <v>0</v>
      </c>
      <c r="C4397" s="626">
        <v>1000000</v>
      </c>
      <c r="D4397" s="626">
        <v>0</v>
      </c>
    </row>
    <row r="4398" spans="1:4" x14ac:dyDescent="0.2">
      <c r="A4398">
        <v>4397</v>
      </c>
      <c r="B4398" s="626">
        <v>0</v>
      </c>
      <c r="C4398" s="626">
        <v>1000000</v>
      </c>
      <c r="D4398" s="626">
        <v>0</v>
      </c>
    </row>
    <row r="4399" spans="1:4" x14ac:dyDescent="0.2">
      <c r="A4399">
        <v>4398</v>
      </c>
      <c r="B4399" s="626">
        <v>0</v>
      </c>
      <c r="C4399" s="626">
        <v>1000000</v>
      </c>
      <c r="D4399" s="626">
        <v>0</v>
      </c>
    </row>
    <row r="4400" spans="1:4" x14ac:dyDescent="0.2">
      <c r="A4400">
        <v>4399</v>
      </c>
      <c r="B4400" s="626">
        <v>0</v>
      </c>
      <c r="C4400" s="626">
        <v>1000000</v>
      </c>
      <c r="D4400" s="626">
        <v>0</v>
      </c>
    </row>
    <row r="4401" spans="1:4" x14ac:dyDescent="0.2">
      <c r="A4401">
        <v>4400</v>
      </c>
      <c r="B4401" s="626">
        <v>0</v>
      </c>
      <c r="C4401" s="626">
        <v>1000000</v>
      </c>
      <c r="D4401" s="626">
        <v>0</v>
      </c>
    </row>
    <row r="4402" spans="1:4" x14ac:dyDescent="0.2">
      <c r="A4402">
        <v>4401</v>
      </c>
      <c r="B4402" s="626">
        <v>0</v>
      </c>
      <c r="C4402" s="626">
        <v>1000000</v>
      </c>
      <c r="D4402" s="626">
        <v>0</v>
      </c>
    </row>
    <row r="4403" spans="1:4" x14ac:dyDescent="0.2">
      <c r="A4403">
        <v>4402</v>
      </c>
      <c r="B4403" s="626">
        <v>0</v>
      </c>
      <c r="C4403" s="626">
        <v>1000000</v>
      </c>
      <c r="D4403" s="626">
        <v>0</v>
      </c>
    </row>
    <row r="4404" spans="1:4" x14ac:dyDescent="0.2">
      <c r="A4404">
        <v>4403</v>
      </c>
      <c r="B4404" s="626">
        <v>0</v>
      </c>
      <c r="C4404" s="626">
        <v>1000000</v>
      </c>
      <c r="D4404" s="626">
        <v>0</v>
      </c>
    </row>
    <row r="4405" spans="1:4" x14ac:dyDescent="0.2">
      <c r="A4405">
        <v>4404</v>
      </c>
      <c r="B4405" s="626">
        <v>0</v>
      </c>
      <c r="C4405" s="626">
        <v>1000000</v>
      </c>
      <c r="D4405" s="626">
        <v>0</v>
      </c>
    </row>
    <row r="4406" spans="1:4" x14ac:dyDescent="0.2">
      <c r="A4406">
        <v>4405</v>
      </c>
      <c r="B4406" s="626">
        <v>0</v>
      </c>
      <c r="C4406" s="626">
        <v>1000000</v>
      </c>
      <c r="D4406" s="626">
        <v>0</v>
      </c>
    </row>
    <row r="4407" spans="1:4" x14ac:dyDescent="0.2">
      <c r="A4407">
        <v>4406</v>
      </c>
      <c r="B4407" s="626">
        <v>0</v>
      </c>
      <c r="C4407" s="626">
        <v>1000000</v>
      </c>
      <c r="D4407" s="626">
        <v>0</v>
      </c>
    </row>
    <row r="4408" spans="1:4" x14ac:dyDescent="0.2">
      <c r="A4408">
        <v>4407</v>
      </c>
      <c r="B4408" s="626">
        <v>0</v>
      </c>
      <c r="C4408" s="626">
        <v>1000000</v>
      </c>
      <c r="D4408" s="626">
        <v>0</v>
      </c>
    </row>
    <row r="4409" spans="1:4" x14ac:dyDescent="0.2">
      <c r="A4409">
        <v>4408</v>
      </c>
      <c r="B4409" s="626">
        <v>0</v>
      </c>
      <c r="C4409" s="626">
        <v>1000000</v>
      </c>
      <c r="D4409" s="626">
        <v>0</v>
      </c>
    </row>
    <row r="4410" spans="1:4" x14ac:dyDescent="0.2">
      <c r="A4410">
        <v>4409</v>
      </c>
      <c r="B4410" s="626">
        <v>0</v>
      </c>
      <c r="C4410" s="626">
        <v>1000000</v>
      </c>
      <c r="D4410" s="626">
        <v>0</v>
      </c>
    </row>
    <row r="4411" spans="1:4" x14ac:dyDescent="0.2">
      <c r="A4411">
        <v>4410</v>
      </c>
      <c r="B4411" s="626">
        <v>0</v>
      </c>
      <c r="C4411" s="626">
        <v>1000000</v>
      </c>
      <c r="D4411" s="626">
        <v>0</v>
      </c>
    </row>
    <row r="4412" spans="1:4" x14ac:dyDescent="0.2">
      <c r="A4412">
        <v>4411</v>
      </c>
      <c r="B4412" s="626">
        <v>0</v>
      </c>
      <c r="C4412" s="626">
        <v>1000000</v>
      </c>
      <c r="D4412" s="626">
        <v>0</v>
      </c>
    </row>
    <row r="4413" spans="1:4" x14ac:dyDescent="0.2">
      <c r="A4413">
        <v>4412</v>
      </c>
      <c r="B4413" s="626">
        <v>0</v>
      </c>
      <c r="C4413" s="626">
        <v>1000000</v>
      </c>
      <c r="D4413" s="626">
        <v>0</v>
      </c>
    </row>
    <row r="4414" spans="1:4" x14ac:dyDescent="0.2">
      <c r="A4414">
        <v>4413</v>
      </c>
      <c r="B4414" s="626">
        <v>0</v>
      </c>
      <c r="C4414" s="626">
        <v>1000000</v>
      </c>
      <c r="D4414" s="626">
        <v>0</v>
      </c>
    </row>
    <row r="4415" spans="1:4" x14ac:dyDescent="0.2">
      <c r="A4415">
        <v>4414</v>
      </c>
      <c r="B4415" s="626">
        <v>0</v>
      </c>
      <c r="C4415" s="626">
        <v>1000000</v>
      </c>
      <c r="D4415" s="626">
        <v>0</v>
      </c>
    </row>
    <row r="4416" spans="1:4" x14ac:dyDescent="0.2">
      <c r="A4416">
        <v>4415</v>
      </c>
      <c r="B4416" s="626">
        <v>0</v>
      </c>
      <c r="C4416" s="626">
        <v>1000000</v>
      </c>
      <c r="D4416" s="626">
        <v>0</v>
      </c>
    </row>
    <row r="4417" spans="1:4" x14ac:dyDescent="0.2">
      <c r="A4417">
        <v>4416</v>
      </c>
      <c r="B4417" s="626">
        <v>0</v>
      </c>
      <c r="C4417" s="626">
        <v>1000000</v>
      </c>
      <c r="D4417" s="626">
        <v>0</v>
      </c>
    </row>
    <row r="4418" spans="1:4" x14ac:dyDescent="0.2">
      <c r="A4418">
        <v>4417</v>
      </c>
      <c r="B4418" s="626">
        <v>0</v>
      </c>
      <c r="C4418" s="626">
        <v>1000000</v>
      </c>
      <c r="D4418" s="626">
        <v>0</v>
      </c>
    </row>
    <row r="4419" spans="1:4" x14ac:dyDescent="0.2">
      <c r="A4419">
        <v>4418</v>
      </c>
      <c r="B4419" s="626">
        <v>0</v>
      </c>
      <c r="C4419" s="626">
        <v>1000000</v>
      </c>
      <c r="D4419" s="626">
        <v>0</v>
      </c>
    </row>
    <row r="4420" spans="1:4" x14ac:dyDescent="0.2">
      <c r="A4420">
        <v>4419</v>
      </c>
      <c r="B4420" s="626">
        <v>0</v>
      </c>
      <c r="C4420" s="626">
        <v>1000000</v>
      </c>
      <c r="D4420" s="626">
        <v>0</v>
      </c>
    </row>
    <row r="4421" spans="1:4" x14ac:dyDescent="0.2">
      <c r="A4421">
        <v>4420</v>
      </c>
      <c r="B4421" s="626">
        <v>0</v>
      </c>
      <c r="C4421" s="626">
        <v>1000000</v>
      </c>
      <c r="D4421" s="626">
        <v>0</v>
      </c>
    </row>
    <row r="4422" spans="1:4" x14ac:dyDescent="0.2">
      <c r="A4422">
        <v>4421</v>
      </c>
      <c r="B4422" s="626">
        <v>0</v>
      </c>
      <c r="C4422" s="626">
        <v>1000000</v>
      </c>
      <c r="D4422" s="626">
        <v>0</v>
      </c>
    </row>
    <row r="4423" spans="1:4" x14ac:dyDescent="0.2">
      <c r="A4423">
        <v>4422</v>
      </c>
      <c r="B4423" s="626">
        <v>0</v>
      </c>
      <c r="C4423" s="626">
        <v>1000000</v>
      </c>
      <c r="D4423" s="626">
        <v>0</v>
      </c>
    </row>
    <row r="4424" spans="1:4" x14ac:dyDescent="0.2">
      <c r="A4424">
        <v>4423</v>
      </c>
      <c r="B4424" s="626">
        <v>0</v>
      </c>
      <c r="C4424" s="626">
        <v>1000000</v>
      </c>
      <c r="D4424" s="626">
        <v>0</v>
      </c>
    </row>
    <row r="4425" spans="1:4" x14ac:dyDescent="0.2">
      <c r="A4425">
        <v>4424</v>
      </c>
      <c r="B4425" s="626">
        <v>0</v>
      </c>
      <c r="C4425" s="626">
        <v>1000000</v>
      </c>
      <c r="D4425" s="626">
        <v>0</v>
      </c>
    </row>
    <row r="4426" spans="1:4" x14ac:dyDescent="0.2">
      <c r="A4426">
        <v>4425</v>
      </c>
      <c r="B4426" s="626">
        <v>0</v>
      </c>
      <c r="C4426" s="626">
        <v>1000000</v>
      </c>
      <c r="D4426" s="626">
        <v>0</v>
      </c>
    </row>
    <row r="4427" spans="1:4" x14ac:dyDescent="0.2">
      <c r="A4427">
        <v>4426</v>
      </c>
      <c r="B4427" s="626">
        <v>0</v>
      </c>
      <c r="C4427" s="626">
        <v>1000000</v>
      </c>
      <c r="D4427" s="626">
        <v>0</v>
      </c>
    </row>
    <row r="4428" spans="1:4" x14ac:dyDescent="0.2">
      <c r="A4428">
        <v>4427</v>
      </c>
      <c r="B4428" s="626">
        <v>0</v>
      </c>
      <c r="C4428" s="626">
        <v>1000000</v>
      </c>
      <c r="D4428" s="626">
        <v>0</v>
      </c>
    </row>
    <row r="4429" spans="1:4" x14ac:dyDescent="0.2">
      <c r="A4429">
        <v>4428</v>
      </c>
      <c r="B4429" s="626">
        <v>0</v>
      </c>
      <c r="C4429" s="626">
        <v>1000000</v>
      </c>
      <c r="D4429" s="626">
        <v>0</v>
      </c>
    </row>
    <row r="4430" spans="1:4" x14ac:dyDescent="0.2">
      <c r="A4430">
        <v>4429</v>
      </c>
      <c r="B4430" s="626">
        <v>0</v>
      </c>
      <c r="C4430" s="626">
        <v>1000000</v>
      </c>
      <c r="D4430" s="626">
        <v>0</v>
      </c>
    </row>
    <row r="4431" spans="1:4" x14ac:dyDescent="0.2">
      <c r="A4431">
        <v>4430</v>
      </c>
      <c r="B4431" s="626">
        <v>0</v>
      </c>
      <c r="C4431" s="626">
        <v>1000000</v>
      </c>
      <c r="D4431" s="626">
        <v>0</v>
      </c>
    </row>
    <row r="4432" spans="1:4" x14ac:dyDescent="0.2">
      <c r="A4432">
        <v>4431</v>
      </c>
      <c r="B4432" s="626">
        <v>0</v>
      </c>
      <c r="C4432" s="626">
        <v>1000000</v>
      </c>
      <c r="D4432" s="626">
        <v>0</v>
      </c>
    </row>
    <row r="4433" spans="1:4" x14ac:dyDescent="0.2">
      <c r="A4433">
        <v>4432</v>
      </c>
      <c r="B4433" s="626">
        <v>0</v>
      </c>
      <c r="C4433" s="626">
        <v>1000000</v>
      </c>
      <c r="D4433" s="626">
        <v>0</v>
      </c>
    </row>
    <row r="4434" spans="1:4" x14ac:dyDescent="0.2">
      <c r="A4434">
        <v>4433</v>
      </c>
      <c r="B4434" s="626">
        <v>0</v>
      </c>
      <c r="C4434" s="626">
        <v>1000000</v>
      </c>
      <c r="D4434" s="626">
        <v>0</v>
      </c>
    </row>
    <row r="4435" spans="1:4" x14ac:dyDescent="0.2">
      <c r="A4435">
        <v>4434</v>
      </c>
      <c r="B4435" s="626">
        <v>0</v>
      </c>
      <c r="C4435" s="626">
        <v>1000000</v>
      </c>
      <c r="D4435" s="626">
        <v>0</v>
      </c>
    </row>
    <row r="4436" spans="1:4" x14ac:dyDescent="0.2">
      <c r="A4436">
        <v>4435</v>
      </c>
      <c r="B4436" s="626">
        <v>0</v>
      </c>
      <c r="C4436" s="626">
        <v>1000000</v>
      </c>
      <c r="D4436" s="626">
        <v>0</v>
      </c>
    </row>
    <row r="4437" spans="1:4" x14ac:dyDescent="0.2">
      <c r="A4437">
        <v>4436</v>
      </c>
      <c r="B4437" s="626">
        <v>0</v>
      </c>
      <c r="C4437" s="626">
        <v>1000000</v>
      </c>
      <c r="D4437" s="626">
        <v>0</v>
      </c>
    </row>
    <row r="4438" spans="1:4" x14ac:dyDescent="0.2">
      <c r="A4438">
        <v>4437</v>
      </c>
      <c r="B4438" s="626">
        <v>0</v>
      </c>
      <c r="C4438" s="626">
        <v>1000000</v>
      </c>
      <c r="D4438" s="626">
        <v>0</v>
      </c>
    </row>
    <row r="4439" spans="1:4" x14ac:dyDescent="0.2">
      <c r="A4439">
        <v>4438</v>
      </c>
      <c r="B4439" s="626">
        <v>0</v>
      </c>
      <c r="C4439" s="626">
        <v>1000000</v>
      </c>
      <c r="D4439" s="626">
        <v>0</v>
      </c>
    </row>
    <row r="4440" spans="1:4" x14ac:dyDescent="0.2">
      <c r="A4440">
        <v>4439</v>
      </c>
      <c r="B4440" s="626">
        <v>0</v>
      </c>
      <c r="C4440" s="626">
        <v>1000000</v>
      </c>
      <c r="D4440" s="626">
        <v>0</v>
      </c>
    </row>
    <row r="4441" spans="1:4" x14ac:dyDescent="0.2">
      <c r="A4441">
        <v>4440</v>
      </c>
      <c r="B4441" s="626">
        <v>0</v>
      </c>
      <c r="C4441" s="626">
        <v>1000000</v>
      </c>
      <c r="D4441" s="626">
        <v>0</v>
      </c>
    </row>
    <row r="4442" spans="1:4" x14ac:dyDescent="0.2">
      <c r="A4442">
        <v>4441</v>
      </c>
      <c r="B4442" s="626">
        <v>0</v>
      </c>
      <c r="C4442" s="626">
        <v>1000000</v>
      </c>
      <c r="D4442" s="626">
        <v>0</v>
      </c>
    </row>
    <row r="4443" spans="1:4" x14ac:dyDescent="0.2">
      <c r="A4443">
        <v>4442</v>
      </c>
      <c r="B4443" s="626">
        <v>0</v>
      </c>
      <c r="C4443" s="626">
        <v>1000000</v>
      </c>
      <c r="D4443" s="626">
        <v>0</v>
      </c>
    </row>
    <row r="4444" spans="1:4" x14ac:dyDescent="0.2">
      <c r="A4444">
        <v>4443</v>
      </c>
      <c r="B4444" s="626">
        <v>0</v>
      </c>
      <c r="C4444" s="626">
        <v>1000000</v>
      </c>
      <c r="D4444" s="626">
        <v>0</v>
      </c>
    </row>
    <row r="4445" spans="1:4" x14ac:dyDescent="0.2">
      <c r="A4445">
        <v>4444</v>
      </c>
      <c r="B4445" s="626">
        <v>0</v>
      </c>
      <c r="C4445" s="626">
        <v>1000000</v>
      </c>
      <c r="D4445" s="626">
        <v>0</v>
      </c>
    </row>
    <row r="4446" spans="1:4" x14ac:dyDescent="0.2">
      <c r="A4446">
        <v>4445</v>
      </c>
      <c r="B4446" s="626">
        <v>0</v>
      </c>
      <c r="C4446" s="626">
        <v>1000000</v>
      </c>
      <c r="D4446" s="626">
        <v>0</v>
      </c>
    </row>
    <row r="4447" spans="1:4" x14ac:dyDescent="0.2">
      <c r="A4447">
        <v>4446</v>
      </c>
      <c r="B4447" s="626">
        <v>0</v>
      </c>
      <c r="C4447" s="626">
        <v>1000000</v>
      </c>
      <c r="D4447" s="626">
        <v>0</v>
      </c>
    </row>
    <row r="4448" spans="1:4" x14ac:dyDescent="0.2">
      <c r="A4448">
        <v>4447</v>
      </c>
      <c r="B4448" s="626">
        <v>0</v>
      </c>
      <c r="C4448" s="626">
        <v>1000000</v>
      </c>
      <c r="D4448" s="626">
        <v>0</v>
      </c>
    </row>
    <row r="4449" spans="1:4" x14ac:dyDescent="0.2">
      <c r="A4449">
        <v>4448</v>
      </c>
      <c r="B4449" s="626">
        <v>0</v>
      </c>
      <c r="C4449" s="626">
        <v>1000000</v>
      </c>
      <c r="D4449" s="626">
        <v>0</v>
      </c>
    </row>
    <row r="4450" spans="1:4" x14ac:dyDescent="0.2">
      <c r="A4450">
        <v>4449</v>
      </c>
      <c r="B4450" s="626">
        <v>0</v>
      </c>
      <c r="C4450" s="626">
        <v>1000000</v>
      </c>
      <c r="D4450" s="626">
        <v>0</v>
      </c>
    </row>
    <row r="4451" spans="1:4" x14ac:dyDescent="0.2">
      <c r="A4451">
        <v>4450</v>
      </c>
      <c r="B4451" s="626">
        <v>0</v>
      </c>
      <c r="C4451" s="626">
        <v>1000000</v>
      </c>
      <c r="D4451" s="626">
        <v>0</v>
      </c>
    </row>
    <row r="4452" spans="1:4" x14ac:dyDescent="0.2">
      <c r="A4452">
        <v>4451</v>
      </c>
      <c r="B4452" s="626">
        <v>0</v>
      </c>
      <c r="C4452" s="626">
        <v>1000000</v>
      </c>
      <c r="D4452" s="626">
        <v>0</v>
      </c>
    </row>
    <row r="4453" spans="1:4" x14ac:dyDescent="0.2">
      <c r="A4453">
        <v>4452</v>
      </c>
      <c r="B4453" s="626">
        <v>0</v>
      </c>
      <c r="C4453" s="626">
        <v>1000000</v>
      </c>
      <c r="D4453" s="626">
        <v>0</v>
      </c>
    </row>
    <row r="4454" spans="1:4" x14ac:dyDescent="0.2">
      <c r="A4454">
        <v>4453</v>
      </c>
      <c r="B4454" s="626">
        <v>0</v>
      </c>
      <c r="C4454" s="626">
        <v>1000000</v>
      </c>
      <c r="D4454" s="626">
        <v>0</v>
      </c>
    </row>
    <row r="4455" spans="1:4" x14ac:dyDescent="0.2">
      <c r="A4455">
        <v>4454</v>
      </c>
      <c r="B4455" s="626">
        <v>0</v>
      </c>
      <c r="C4455" s="626">
        <v>1000000</v>
      </c>
      <c r="D4455" s="626">
        <v>0</v>
      </c>
    </row>
    <row r="4456" spans="1:4" x14ac:dyDescent="0.2">
      <c r="A4456">
        <v>4455</v>
      </c>
      <c r="B4456" s="626">
        <v>0</v>
      </c>
      <c r="C4456" s="626">
        <v>1000000</v>
      </c>
      <c r="D4456" s="626">
        <v>0</v>
      </c>
    </row>
    <row r="4457" spans="1:4" x14ac:dyDescent="0.2">
      <c r="A4457">
        <v>4456</v>
      </c>
      <c r="B4457" s="626">
        <v>0</v>
      </c>
      <c r="C4457" s="626">
        <v>1000000</v>
      </c>
      <c r="D4457" s="626">
        <v>0</v>
      </c>
    </row>
    <row r="4458" spans="1:4" x14ac:dyDescent="0.2">
      <c r="A4458">
        <v>4457</v>
      </c>
      <c r="B4458" s="626">
        <v>0</v>
      </c>
      <c r="C4458" s="626">
        <v>1000000</v>
      </c>
      <c r="D4458" s="626">
        <v>0</v>
      </c>
    </row>
    <row r="4459" spans="1:4" x14ac:dyDescent="0.2">
      <c r="A4459">
        <v>4458</v>
      </c>
      <c r="B4459" s="626">
        <v>0</v>
      </c>
      <c r="C4459" s="626">
        <v>1000000</v>
      </c>
      <c r="D4459" s="626">
        <v>0</v>
      </c>
    </row>
    <row r="4460" spans="1:4" x14ac:dyDescent="0.2">
      <c r="A4460">
        <v>4459</v>
      </c>
      <c r="B4460" s="626">
        <v>0</v>
      </c>
      <c r="C4460" s="626">
        <v>1000000</v>
      </c>
      <c r="D4460" s="626">
        <v>0</v>
      </c>
    </row>
    <row r="4461" spans="1:4" x14ac:dyDescent="0.2">
      <c r="A4461">
        <v>4460</v>
      </c>
      <c r="B4461" s="626">
        <v>0</v>
      </c>
      <c r="C4461" s="626">
        <v>1000000</v>
      </c>
      <c r="D4461" s="626">
        <v>0</v>
      </c>
    </row>
    <row r="4462" spans="1:4" x14ac:dyDescent="0.2">
      <c r="A4462">
        <v>4461</v>
      </c>
      <c r="B4462" s="626">
        <v>0</v>
      </c>
      <c r="C4462" s="626">
        <v>1000000</v>
      </c>
      <c r="D4462" s="626">
        <v>0</v>
      </c>
    </row>
    <row r="4463" spans="1:4" x14ac:dyDescent="0.2">
      <c r="A4463">
        <v>4462</v>
      </c>
      <c r="B4463" s="626">
        <v>0</v>
      </c>
      <c r="C4463" s="626">
        <v>1000000</v>
      </c>
      <c r="D4463" s="626">
        <v>0</v>
      </c>
    </row>
    <row r="4464" spans="1:4" x14ac:dyDescent="0.2">
      <c r="A4464">
        <v>4463</v>
      </c>
      <c r="B4464" s="626">
        <v>0</v>
      </c>
      <c r="C4464" s="626">
        <v>1000000</v>
      </c>
      <c r="D4464" s="626">
        <v>0</v>
      </c>
    </row>
    <row r="4465" spans="1:4" x14ac:dyDescent="0.2">
      <c r="A4465">
        <v>4464</v>
      </c>
      <c r="B4465" s="626">
        <v>0</v>
      </c>
      <c r="C4465" s="626">
        <v>1000000</v>
      </c>
      <c r="D4465" s="626">
        <v>0</v>
      </c>
    </row>
    <row r="4466" spans="1:4" x14ac:dyDescent="0.2">
      <c r="A4466">
        <v>4465</v>
      </c>
      <c r="B4466" s="626">
        <v>0</v>
      </c>
      <c r="C4466" s="626">
        <v>1000000</v>
      </c>
      <c r="D4466" s="626">
        <v>0</v>
      </c>
    </row>
    <row r="4467" spans="1:4" x14ac:dyDescent="0.2">
      <c r="A4467">
        <v>4466</v>
      </c>
      <c r="B4467" s="626">
        <v>0</v>
      </c>
      <c r="C4467" s="626">
        <v>1000000</v>
      </c>
      <c r="D4467" s="626">
        <v>0</v>
      </c>
    </row>
    <row r="4468" spans="1:4" x14ac:dyDescent="0.2">
      <c r="A4468">
        <v>4467</v>
      </c>
      <c r="B4468" s="626">
        <v>0</v>
      </c>
      <c r="C4468" s="626">
        <v>1000000</v>
      </c>
      <c r="D4468" s="626">
        <v>0</v>
      </c>
    </row>
    <row r="4469" spans="1:4" x14ac:dyDescent="0.2">
      <c r="A4469">
        <v>4468</v>
      </c>
      <c r="B4469" s="626">
        <v>0</v>
      </c>
      <c r="C4469" s="626">
        <v>1000000</v>
      </c>
      <c r="D4469" s="626">
        <v>0</v>
      </c>
    </row>
    <row r="4470" spans="1:4" x14ac:dyDescent="0.2">
      <c r="A4470">
        <v>4469</v>
      </c>
      <c r="B4470" s="626">
        <v>0</v>
      </c>
      <c r="C4470" s="626">
        <v>1000000</v>
      </c>
      <c r="D4470" s="626">
        <v>0</v>
      </c>
    </row>
    <row r="4471" spans="1:4" x14ac:dyDescent="0.2">
      <c r="A4471">
        <v>4470</v>
      </c>
      <c r="B4471" s="626">
        <v>0</v>
      </c>
      <c r="C4471" s="626">
        <v>1000000</v>
      </c>
      <c r="D4471" s="626">
        <v>0</v>
      </c>
    </row>
    <row r="4472" spans="1:4" x14ac:dyDescent="0.2">
      <c r="A4472">
        <v>4471</v>
      </c>
      <c r="B4472" s="626">
        <v>0</v>
      </c>
      <c r="C4472" s="626">
        <v>1000000</v>
      </c>
      <c r="D4472" s="626">
        <v>0</v>
      </c>
    </row>
    <row r="4473" spans="1:4" x14ac:dyDescent="0.2">
      <c r="A4473">
        <v>4472</v>
      </c>
      <c r="B4473" s="626">
        <v>0</v>
      </c>
      <c r="C4473" s="626">
        <v>1000000</v>
      </c>
      <c r="D4473" s="626">
        <v>0</v>
      </c>
    </row>
    <row r="4474" spans="1:4" x14ac:dyDescent="0.2">
      <c r="A4474">
        <v>4473</v>
      </c>
      <c r="B4474" s="626">
        <v>0</v>
      </c>
      <c r="C4474" s="626">
        <v>1000000</v>
      </c>
      <c r="D4474" s="626">
        <v>0</v>
      </c>
    </row>
    <row r="4475" spans="1:4" x14ac:dyDescent="0.2">
      <c r="A4475">
        <v>4474</v>
      </c>
      <c r="B4475" s="626">
        <v>0</v>
      </c>
      <c r="C4475" s="626">
        <v>1000000</v>
      </c>
      <c r="D4475" s="626">
        <v>0</v>
      </c>
    </row>
    <row r="4476" spans="1:4" x14ac:dyDescent="0.2">
      <c r="A4476">
        <v>4475</v>
      </c>
      <c r="B4476" s="626">
        <v>0</v>
      </c>
      <c r="C4476" s="626">
        <v>1000000</v>
      </c>
      <c r="D4476" s="626">
        <v>0</v>
      </c>
    </row>
    <row r="4477" spans="1:4" x14ac:dyDescent="0.2">
      <c r="A4477">
        <v>4476</v>
      </c>
      <c r="B4477" s="626">
        <v>0</v>
      </c>
      <c r="C4477" s="626">
        <v>1000000</v>
      </c>
      <c r="D4477" s="626">
        <v>0</v>
      </c>
    </row>
    <row r="4478" spans="1:4" x14ac:dyDescent="0.2">
      <c r="A4478">
        <v>4477</v>
      </c>
      <c r="B4478" s="626">
        <v>0</v>
      </c>
      <c r="C4478" s="626">
        <v>1000000</v>
      </c>
      <c r="D4478" s="626">
        <v>0</v>
      </c>
    </row>
    <row r="4479" spans="1:4" x14ac:dyDescent="0.2">
      <c r="A4479">
        <v>4478</v>
      </c>
      <c r="B4479" s="626">
        <v>0</v>
      </c>
      <c r="C4479" s="626">
        <v>1000000</v>
      </c>
      <c r="D4479" s="626">
        <v>0</v>
      </c>
    </row>
    <row r="4480" spans="1:4" x14ac:dyDescent="0.2">
      <c r="A4480">
        <v>4479</v>
      </c>
      <c r="B4480" s="626">
        <v>0</v>
      </c>
      <c r="C4480" s="626">
        <v>1000000</v>
      </c>
      <c r="D4480" s="626">
        <v>0</v>
      </c>
    </row>
    <row r="4481" spans="1:4" x14ac:dyDescent="0.2">
      <c r="A4481">
        <v>4480</v>
      </c>
      <c r="B4481" s="626">
        <v>0</v>
      </c>
      <c r="C4481" s="626">
        <v>1000000</v>
      </c>
      <c r="D4481" s="626">
        <v>0</v>
      </c>
    </row>
    <row r="4482" spans="1:4" x14ac:dyDescent="0.2">
      <c r="A4482">
        <v>4481</v>
      </c>
      <c r="B4482" s="626">
        <v>0</v>
      </c>
      <c r="C4482" s="626">
        <v>1000000</v>
      </c>
      <c r="D4482" s="626">
        <v>0</v>
      </c>
    </row>
    <row r="4483" spans="1:4" x14ac:dyDescent="0.2">
      <c r="A4483">
        <v>4482</v>
      </c>
      <c r="B4483" s="626">
        <v>0</v>
      </c>
      <c r="C4483" s="626">
        <v>1000000</v>
      </c>
      <c r="D4483" s="626">
        <v>0</v>
      </c>
    </row>
    <row r="4484" spans="1:4" x14ac:dyDescent="0.2">
      <c r="A4484">
        <v>4483</v>
      </c>
      <c r="B4484" s="626">
        <v>0</v>
      </c>
      <c r="C4484" s="626">
        <v>1000000</v>
      </c>
      <c r="D4484" s="626">
        <v>0</v>
      </c>
    </row>
    <row r="4485" spans="1:4" x14ac:dyDescent="0.2">
      <c r="A4485">
        <v>4484</v>
      </c>
      <c r="B4485" s="626">
        <v>0</v>
      </c>
      <c r="C4485" s="626">
        <v>1000000</v>
      </c>
      <c r="D4485" s="626">
        <v>0</v>
      </c>
    </row>
    <row r="4486" spans="1:4" x14ac:dyDescent="0.2">
      <c r="A4486">
        <v>4485</v>
      </c>
      <c r="B4486" s="626">
        <v>0</v>
      </c>
      <c r="C4486" s="626">
        <v>1000000</v>
      </c>
      <c r="D4486" s="626">
        <v>0</v>
      </c>
    </row>
    <row r="4487" spans="1:4" x14ac:dyDescent="0.2">
      <c r="A4487">
        <v>4486</v>
      </c>
      <c r="B4487" s="626">
        <v>0</v>
      </c>
      <c r="C4487" s="626">
        <v>1000000</v>
      </c>
      <c r="D4487" s="626">
        <v>0</v>
      </c>
    </row>
    <row r="4488" spans="1:4" x14ac:dyDescent="0.2">
      <c r="A4488">
        <v>4487</v>
      </c>
      <c r="B4488" s="626">
        <v>0</v>
      </c>
      <c r="C4488" s="626">
        <v>1000000</v>
      </c>
      <c r="D4488" s="626">
        <v>0</v>
      </c>
    </row>
    <row r="4489" spans="1:4" x14ac:dyDescent="0.2">
      <c r="A4489">
        <v>4488</v>
      </c>
      <c r="B4489" s="626">
        <v>0</v>
      </c>
      <c r="C4489" s="626">
        <v>1000000</v>
      </c>
      <c r="D4489" s="626">
        <v>0</v>
      </c>
    </row>
    <row r="4490" spans="1:4" x14ac:dyDescent="0.2">
      <c r="A4490">
        <v>4489</v>
      </c>
      <c r="B4490" s="626">
        <v>0</v>
      </c>
      <c r="C4490" s="626">
        <v>1000000</v>
      </c>
      <c r="D4490" s="626">
        <v>0</v>
      </c>
    </row>
    <row r="4491" spans="1:4" x14ac:dyDescent="0.2">
      <c r="A4491">
        <v>4490</v>
      </c>
      <c r="B4491" s="626">
        <v>0</v>
      </c>
      <c r="C4491" s="626">
        <v>1000000</v>
      </c>
      <c r="D4491" s="626">
        <v>0</v>
      </c>
    </row>
    <row r="4492" spans="1:4" x14ac:dyDescent="0.2">
      <c r="A4492">
        <v>4491</v>
      </c>
      <c r="B4492" s="626">
        <v>0</v>
      </c>
      <c r="C4492" s="626">
        <v>1000000</v>
      </c>
      <c r="D4492" s="626">
        <v>0</v>
      </c>
    </row>
    <row r="4493" spans="1:4" x14ac:dyDescent="0.2">
      <c r="A4493">
        <v>4492</v>
      </c>
      <c r="B4493" s="626">
        <v>0</v>
      </c>
      <c r="C4493" s="626">
        <v>1000000</v>
      </c>
      <c r="D4493" s="626">
        <v>0</v>
      </c>
    </row>
    <row r="4494" spans="1:4" x14ac:dyDescent="0.2">
      <c r="A4494">
        <v>4493</v>
      </c>
      <c r="B4494" s="626">
        <v>0</v>
      </c>
      <c r="C4494" s="626">
        <v>1000000</v>
      </c>
      <c r="D4494" s="626">
        <v>0</v>
      </c>
    </row>
    <row r="4495" spans="1:4" x14ac:dyDescent="0.2">
      <c r="A4495">
        <v>4494</v>
      </c>
      <c r="B4495" s="626">
        <v>0</v>
      </c>
      <c r="C4495" s="626">
        <v>1000000</v>
      </c>
      <c r="D4495" s="626">
        <v>0</v>
      </c>
    </row>
    <row r="4496" spans="1:4" x14ac:dyDescent="0.2">
      <c r="A4496">
        <v>4495</v>
      </c>
      <c r="B4496" s="626">
        <v>0</v>
      </c>
      <c r="C4496" s="626">
        <v>1000000</v>
      </c>
      <c r="D4496" s="626">
        <v>0</v>
      </c>
    </row>
    <row r="4497" spans="1:4" x14ac:dyDescent="0.2">
      <c r="A4497">
        <v>4496</v>
      </c>
      <c r="B4497" s="626">
        <v>0</v>
      </c>
      <c r="C4497" s="626">
        <v>1000000</v>
      </c>
      <c r="D4497" s="626">
        <v>0</v>
      </c>
    </row>
    <row r="4498" spans="1:4" x14ac:dyDescent="0.2">
      <c r="A4498">
        <v>4497</v>
      </c>
      <c r="B4498" s="626">
        <v>0</v>
      </c>
      <c r="C4498" s="626">
        <v>1000000</v>
      </c>
      <c r="D4498" s="626">
        <v>0</v>
      </c>
    </row>
    <row r="4499" spans="1:4" x14ac:dyDescent="0.2">
      <c r="A4499">
        <v>4498</v>
      </c>
      <c r="B4499" s="626">
        <v>0</v>
      </c>
      <c r="C4499" s="626">
        <v>1000000</v>
      </c>
      <c r="D4499" s="626">
        <v>0</v>
      </c>
    </row>
    <row r="4500" spans="1:4" x14ac:dyDescent="0.2">
      <c r="A4500">
        <v>4499</v>
      </c>
      <c r="B4500" s="626">
        <v>0</v>
      </c>
      <c r="C4500" s="626">
        <v>1000000</v>
      </c>
      <c r="D4500" s="626">
        <v>0</v>
      </c>
    </row>
    <row r="4501" spans="1:4" x14ac:dyDescent="0.2">
      <c r="A4501">
        <v>4500</v>
      </c>
      <c r="B4501" s="626">
        <v>0</v>
      </c>
      <c r="C4501" s="626">
        <v>1000000</v>
      </c>
      <c r="D4501" s="626">
        <v>0</v>
      </c>
    </row>
    <row r="4502" spans="1:4" x14ac:dyDescent="0.2">
      <c r="A4502">
        <v>4501</v>
      </c>
      <c r="B4502" s="626">
        <v>0</v>
      </c>
      <c r="C4502" s="626">
        <v>1000000</v>
      </c>
      <c r="D4502" s="626">
        <v>0</v>
      </c>
    </row>
    <row r="4503" spans="1:4" x14ac:dyDescent="0.2">
      <c r="A4503">
        <v>4502</v>
      </c>
      <c r="B4503" s="626">
        <v>0</v>
      </c>
      <c r="C4503" s="626">
        <v>1000000</v>
      </c>
      <c r="D4503" s="626">
        <v>0</v>
      </c>
    </row>
    <row r="4504" spans="1:4" x14ac:dyDescent="0.2">
      <c r="A4504">
        <v>4503</v>
      </c>
      <c r="B4504" s="626">
        <v>0</v>
      </c>
      <c r="C4504" s="626">
        <v>1000000</v>
      </c>
      <c r="D4504" s="626">
        <v>0</v>
      </c>
    </row>
    <row r="4505" spans="1:4" x14ac:dyDescent="0.2">
      <c r="A4505">
        <v>4504</v>
      </c>
      <c r="B4505" s="626">
        <v>0</v>
      </c>
      <c r="C4505" s="626">
        <v>1000000</v>
      </c>
      <c r="D4505" s="626">
        <v>0</v>
      </c>
    </row>
    <row r="4506" spans="1:4" x14ac:dyDescent="0.2">
      <c r="A4506">
        <v>4505</v>
      </c>
      <c r="B4506" s="626">
        <v>0</v>
      </c>
      <c r="C4506" s="626">
        <v>1000000</v>
      </c>
      <c r="D4506" s="626">
        <v>0</v>
      </c>
    </row>
    <row r="4507" spans="1:4" x14ac:dyDescent="0.2">
      <c r="A4507">
        <v>4506</v>
      </c>
      <c r="B4507" s="626">
        <v>0</v>
      </c>
      <c r="C4507" s="626">
        <v>1000000</v>
      </c>
      <c r="D4507" s="626">
        <v>0</v>
      </c>
    </row>
    <row r="4508" spans="1:4" x14ac:dyDescent="0.2">
      <c r="A4508">
        <v>4507</v>
      </c>
      <c r="B4508" s="626">
        <v>0</v>
      </c>
      <c r="C4508" s="626">
        <v>1000000</v>
      </c>
      <c r="D4508" s="626">
        <v>0</v>
      </c>
    </row>
    <row r="4509" spans="1:4" x14ac:dyDescent="0.2">
      <c r="A4509">
        <v>4508</v>
      </c>
      <c r="B4509" s="626">
        <v>0</v>
      </c>
      <c r="C4509" s="626">
        <v>1000000</v>
      </c>
      <c r="D4509" s="626">
        <v>0</v>
      </c>
    </row>
    <row r="4510" spans="1:4" x14ac:dyDescent="0.2">
      <c r="A4510">
        <v>4509</v>
      </c>
      <c r="B4510" s="626">
        <v>0</v>
      </c>
      <c r="C4510" s="626">
        <v>1000000</v>
      </c>
      <c r="D4510" s="626">
        <v>0</v>
      </c>
    </row>
    <row r="4511" spans="1:4" x14ac:dyDescent="0.2">
      <c r="A4511">
        <v>4510</v>
      </c>
      <c r="B4511" s="626">
        <v>0</v>
      </c>
      <c r="C4511" s="626">
        <v>1000000</v>
      </c>
      <c r="D4511" s="626">
        <v>0</v>
      </c>
    </row>
    <row r="4512" spans="1:4" x14ac:dyDescent="0.2">
      <c r="A4512">
        <v>4511</v>
      </c>
      <c r="B4512" s="626">
        <v>0</v>
      </c>
      <c r="C4512" s="626">
        <v>1000000</v>
      </c>
      <c r="D4512" s="626">
        <v>0</v>
      </c>
    </row>
    <row r="4513" spans="1:4" x14ac:dyDescent="0.2">
      <c r="A4513">
        <v>4512</v>
      </c>
      <c r="B4513" s="626">
        <v>0</v>
      </c>
      <c r="C4513" s="626">
        <v>1000000</v>
      </c>
      <c r="D4513" s="626">
        <v>0</v>
      </c>
    </row>
    <row r="4514" spans="1:4" x14ac:dyDescent="0.2">
      <c r="A4514">
        <v>4513</v>
      </c>
      <c r="B4514" s="626">
        <v>0</v>
      </c>
      <c r="C4514" s="626">
        <v>1000000</v>
      </c>
      <c r="D4514" s="626">
        <v>0</v>
      </c>
    </row>
    <row r="4515" spans="1:4" x14ac:dyDescent="0.2">
      <c r="A4515">
        <v>4514</v>
      </c>
      <c r="B4515" s="626">
        <v>0</v>
      </c>
      <c r="C4515" s="626">
        <v>1000000</v>
      </c>
      <c r="D4515" s="626">
        <v>0</v>
      </c>
    </row>
    <row r="4516" spans="1:4" x14ac:dyDescent="0.2">
      <c r="A4516">
        <v>4515</v>
      </c>
      <c r="B4516" s="626">
        <v>0</v>
      </c>
      <c r="C4516" s="626">
        <v>1000000</v>
      </c>
      <c r="D4516" s="626">
        <v>0</v>
      </c>
    </row>
    <row r="4517" spans="1:4" x14ac:dyDescent="0.2">
      <c r="A4517">
        <v>4516</v>
      </c>
      <c r="B4517" s="626">
        <v>0</v>
      </c>
      <c r="C4517" s="626">
        <v>1000000</v>
      </c>
      <c r="D4517" s="626">
        <v>0</v>
      </c>
    </row>
    <row r="4518" spans="1:4" x14ac:dyDescent="0.2">
      <c r="A4518">
        <v>4517</v>
      </c>
      <c r="B4518" s="626">
        <v>0</v>
      </c>
      <c r="C4518" s="626">
        <v>1000000</v>
      </c>
      <c r="D4518" s="626">
        <v>0</v>
      </c>
    </row>
    <row r="4519" spans="1:4" x14ac:dyDescent="0.2">
      <c r="A4519">
        <v>4518</v>
      </c>
      <c r="B4519" s="626">
        <v>0</v>
      </c>
      <c r="C4519" s="626">
        <v>1000000</v>
      </c>
      <c r="D4519" s="626">
        <v>0</v>
      </c>
    </row>
    <row r="4520" spans="1:4" x14ac:dyDescent="0.2">
      <c r="A4520">
        <v>4519</v>
      </c>
      <c r="B4520" s="626">
        <v>0</v>
      </c>
      <c r="C4520" s="626">
        <v>1000000</v>
      </c>
      <c r="D4520" s="626">
        <v>0</v>
      </c>
    </row>
    <row r="4521" spans="1:4" x14ac:dyDescent="0.2">
      <c r="A4521">
        <v>4520</v>
      </c>
      <c r="B4521" s="626">
        <v>0</v>
      </c>
      <c r="C4521" s="626">
        <v>1000000</v>
      </c>
      <c r="D4521" s="626">
        <v>0</v>
      </c>
    </row>
    <row r="4522" spans="1:4" x14ac:dyDescent="0.2">
      <c r="A4522">
        <v>4521</v>
      </c>
      <c r="B4522" s="626">
        <v>0</v>
      </c>
      <c r="C4522" s="626">
        <v>1000000</v>
      </c>
      <c r="D4522" s="626">
        <v>0</v>
      </c>
    </row>
    <row r="4523" spans="1:4" x14ac:dyDescent="0.2">
      <c r="A4523">
        <v>4522</v>
      </c>
      <c r="B4523" s="626">
        <v>0</v>
      </c>
      <c r="C4523" s="626">
        <v>1000000</v>
      </c>
      <c r="D4523" s="626">
        <v>0</v>
      </c>
    </row>
    <row r="4524" spans="1:4" x14ac:dyDescent="0.2">
      <c r="A4524">
        <v>4523</v>
      </c>
      <c r="B4524" s="626">
        <v>0</v>
      </c>
      <c r="C4524" s="626">
        <v>1000000</v>
      </c>
      <c r="D4524" s="626">
        <v>0</v>
      </c>
    </row>
    <row r="4525" spans="1:4" x14ac:dyDescent="0.2">
      <c r="A4525">
        <v>4524</v>
      </c>
      <c r="B4525" s="626">
        <v>0</v>
      </c>
      <c r="C4525" s="626">
        <v>1000000</v>
      </c>
      <c r="D4525" s="626">
        <v>0</v>
      </c>
    </row>
    <row r="4526" spans="1:4" x14ac:dyDescent="0.2">
      <c r="A4526">
        <v>4525</v>
      </c>
      <c r="B4526" s="626">
        <v>0</v>
      </c>
      <c r="C4526" s="626">
        <v>1000000</v>
      </c>
      <c r="D4526" s="626">
        <v>0</v>
      </c>
    </row>
    <row r="4527" spans="1:4" x14ac:dyDescent="0.2">
      <c r="A4527">
        <v>4526</v>
      </c>
      <c r="B4527" s="626">
        <v>0</v>
      </c>
      <c r="C4527" s="626">
        <v>1000000</v>
      </c>
      <c r="D4527" s="626">
        <v>0</v>
      </c>
    </row>
    <row r="4528" spans="1:4" x14ac:dyDescent="0.2">
      <c r="A4528">
        <v>4527</v>
      </c>
      <c r="B4528" s="626">
        <v>0</v>
      </c>
      <c r="C4528" s="626">
        <v>1000000</v>
      </c>
      <c r="D4528" s="626">
        <v>0</v>
      </c>
    </row>
    <row r="4529" spans="1:4" x14ac:dyDescent="0.2">
      <c r="A4529">
        <v>4528</v>
      </c>
      <c r="B4529" s="626">
        <v>0</v>
      </c>
      <c r="C4529" s="626">
        <v>1000000</v>
      </c>
      <c r="D4529" s="626">
        <v>0</v>
      </c>
    </row>
    <row r="4530" spans="1:4" x14ac:dyDescent="0.2">
      <c r="A4530">
        <v>4529</v>
      </c>
      <c r="B4530" s="626">
        <v>0</v>
      </c>
      <c r="C4530" s="626">
        <v>1000000</v>
      </c>
      <c r="D4530" s="626">
        <v>0</v>
      </c>
    </row>
    <row r="4531" spans="1:4" x14ac:dyDescent="0.2">
      <c r="A4531">
        <v>4530</v>
      </c>
      <c r="B4531" s="626">
        <v>0</v>
      </c>
      <c r="C4531" s="626">
        <v>1000000</v>
      </c>
      <c r="D4531" s="626">
        <v>0</v>
      </c>
    </row>
    <row r="4532" spans="1:4" x14ac:dyDescent="0.2">
      <c r="A4532">
        <v>4531</v>
      </c>
      <c r="B4532" s="626">
        <v>0</v>
      </c>
      <c r="C4532" s="626">
        <v>1000000</v>
      </c>
      <c r="D4532" s="626">
        <v>0</v>
      </c>
    </row>
    <row r="4533" spans="1:4" x14ac:dyDescent="0.2">
      <c r="A4533">
        <v>4532</v>
      </c>
      <c r="B4533" s="626">
        <v>0</v>
      </c>
      <c r="C4533" s="626">
        <v>1000000</v>
      </c>
      <c r="D4533" s="626">
        <v>0</v>
      </c>
    </row>
    <row r="4534" spans="1:4" x14ac:dyDescent="0.2">
      <c r="A4534">
        <v>4533</v>
      </c>
      <c r="B4534" s="626">
        <v>0</v>
      </c>
      <c r="C4534" s="626">
        <v>1000000</v>
      </c>
      <c r="D4534" s="626">
        <v>0</v>
      </c>
    </row>
    <row r="4535" spans="1:4" x14ac:dyDescent="0.2">
      <c r="A4535">
        <v>4534</v>
      </c>
      <c r="B4535" s="626">
        <v>0</v>
      </c>
      <c r="C4535" s="626">
        <v>1000000</v>
      </c>
      <c r="D4535" s="626">
        <v>0</v>
      </c>
    </row>
    <row r="4536" spans="1:4" x14ac:dyDescent="0.2">
      <c r="A4536">
        <v>4535</v>
      </c>
      <c r="B4536" s="626">
        <v>0</v>
      </c>
      <c r="C4536" s="626">
        <v>1000000</v>
      </c>
      <c r="D4536" s="626">
        <v>0</v>
      </c>
    </row>
    <row r="4537" spans="1:4" x14ac:dyDescent="0.2">
      <c r="A4537">
        <v>4536</v>
      </c>
      <c r="B4537" s="626">
        <v>0</v>
      </c>
      <c r="C4537" s="626">
        <v>1000000</v>
      </c>
      <c r="D4537" s="626">
        <v>0</v>
      </c>
    </row>
    <row r="4538" spans="1:4" x14ac:dyDescent="0.2">
      <c r="A4538">
        <v>4537</v>
      </c>
      <c r="B4538" s="626">
        <v>0</v>
      </c>
      <c r="C4538" s="626">
        <v>1000000</v>
      </c>
      <c r="D4538" s="626">
        <v>0</v>
      </c>
    </row>
    <row r="4539" spans="1:4" x14ac:dyDescent="0.2">
      <c r="A4539">
        <v>4538</v>
      </c>
      <c r="B4539" s="626">
        <v>0</v>
      </c>
      <c r="C4539" s="626">
        <v>1000000</v>
      </c>
      <c r="D4539" s="626">
        <v>0</v>
      </c>
    </row>
    <row r="4540" spans="1:4" x14ac:dyDescent="0.2">
      <c r="A4540">
        <v>4539</v>
      </c>
      <c r="B4540" s="626">
        <v>0</v>
      </c>
      <c r="C4540" s="626">
        <v>1000000</v>
      </c>
      <c r="D4540" s="626">
        <v>0</v>
      </c>
    </row>
    <row r="4541" spans="1:4" x14ac:dyDescent="0.2">
      <c r="A4541">
        <v>4540</v>
      </c>
      <c r="B4541" s="626">
        <v>0</v>
      </c>
      <c r="C4541" s="626">
        <v>1000000</v>
      </c>
      <c r="D4541" s="626">
        <v>0</v>
      </c>
    </row>
    <row r="4542" spans="1:4" x14ac:dyDescent="0.2">
      <c r="A4542">
        <v>4541</v>
      </c>
      <c r="B4542" s="626">
        <v>0</v>
      </c>
      <c r="C4542" s="626">
        <v>1000000</v>
      </c>
      <c r="D4542" s="626">
        <v>0</v>
      </c>
    </row>
    <row r="4543" spans="1:4" x14ac:dyDescent="0.2">
      <c r="A4543">
        <v>4542</v>
      </c>
      <c r="B4543" s="626">
        <v>0</v>
      </c>
      <c r="C4543" s="626">
        <v>1000000</v>
      </c>
      <c r="D4543" s="626">
        <v>0</v>
      </c>
    </row>
    <row r="4544" spans="1:4" x14ac:dyDescent="0.2">
      <c r="A4544">
        <v>4543</v>
      </c>
      <c r="B4544" s="626">
        <v>0</v>
      </c>
      <c r="C4544" s="626">
        <v>1000000</v>
      </c>
      <c r="D4544" s="626">
        <v>0</v>
      </c>
    </row>
    <row r="4545" spans="1:4" x14ac:dyDescent="0.2">
      <c r="A4545">
        <v>4544</v>
      </c>
      <c r="B4545" s="626">
        <v>0</v>
      </c>
      <c r="C4545" s="626">
        <v>1000000</v>
      </c>
      <c r="D4545" s="626">
        <v>0</v>
      </c>
    </row>
    <row r="4546" spans="1:4" x14ac:dyDescent="0.2">
      <c r="A4546">
        <v>4545</v>
      </c>
      <c r="B4546" s="626">
        <v>0</v>
      </c>
      <c r="C4546" s="626">
        <v>1000000</v>
      </c>
      <c r="D4546" s="626">
        <v>0</v>
      </c>
    </row>
    <row r="4547" spans="1:4" x14ac:dyDescent="0.2">
      <c r="A4547">
        <v>4546</v>
      </c>
      <c r="B4547" s="626">
        <v>0</v>
      </c>
      <c r="C4547" s="626">
        <v>1000000</v>
      </c>
      <c r="D4547" s="626">
        <v>0</v>
      </c>
    </row>
    <row r="4548" spans="1:4" x14ac:dyDescent="0.2">
      <c r="A4548">
        <v>4547</v>
      </c>
      <c r="B4548" s="626">
        <v>0</v>
      </c>
      <c r="C4548" s="626">
        <v>1000000</v>
      </c>
      <c r="D4548" s="626">
        <v>0</v>
      </c>
    </row>
    <row r="4549" spans="1:4" x14ac:dyDescent="0.2">
      <c r="A4549">
        <v>4548</v>
      </c>
      <c r="B4549" s="626">
        <v>0</v>
      </c>
      <c r="C4549" s="626">
        <v>1000000</v>
      </c>
      <c r="D4549" s="626">
        <v>0</v>
      </c>
    </row>
    <row r="4550" spans="1:4" x14ac:dyDescent="0.2">
      <c r="A4550">
        <v>4549</v>
      </c>
      <c r="B4550" s="626">
        <v>0</v>
      </c>
      <c r="C4550" s="626">
        <v>1000000</v>
      </c>
      <c r="D4550" s="626">
        <v>0</v>
      </c>
    </row>
    <row r="4551" spans="1:4" x14ac:dyDescent="0.2">
      <c r="A4551">
        <v>4550</v>
      </c>
      <c r="B4551" s="626">
        <v>0</v>
      </c>
      <c r="C4551" s="626">
        <v>1000000</v>
      </c>
      <c r="D4551" s="626">
        <v>0</v>
      </c>
    </row>
    <row r="4552" spans="1:4" x14ac:dyDescent="0.2">
      <c r="A4552">
        <v>4551</v>
      </c>
      <c r="B4552" s="626">
        <v>0</v>
      </c>
      <c r="C4552" s="626">
        <v>1000000</v>
      </c>
      <c r="D4552" s="626">
        <v>0</v>
      </c>
    </row>
    <row r="4553" spans="1:4" x14ac:dyDescent="0.2">
      <c r="A4553">
        <v>4552</v>
      </c>
      <c r="B4553" s="626">
        <v>0</v>
      </c>
      <c r="C4553" s="626">
        <v>1000000</v>
      </c>
      <c r="D4553" s="626">
        <v>0</v>
      </c>
    </row>
    <row r="4554" spans="1:4" x14ac:dyDescent="0.2">
      <c r="A4554">
        <v>4553</v>
      </c>
      <c r="B4554" s="626">
        <v>0</v>
      </c>
      <c r="C4554" s="626">
        <v>1000000</v>
      </c>
      <c r="D4554" s="626">
        <v>0</v>
      </c>
    </row>
    <row r="4555" spans="1:4" x14ac:dyDescent="0.2">
      <c r="A4555">
        <v>4554</v>
      </c>
      <c r="B4555" s="626">
        <v>0</v>
      </c>
      <c r="C4555" s="626">
        <v>1000000</v>
      </c>
      <c r="D4555" s="626">
        <v>0</v>
      </c>
    </row>
    <row r="4556" spans="1:4" x14ac:dyDescent="0.2">
      <c r="A4556">
        <v>4555</v>
      </c>
      <c r="B4556" s="626">
        <v>0</v>
      </c>
      <c r="C4556" s="626">
        <v>1000000</v>
      </c>
      <c r="D4556" s="626">
        <v>0</v>
      </c>
    </row>
    <row r="4557" spans="1:4" x14ac:dyDescent="0.2">
      <c r="A4557">
        <v>4556</v>
      </c>
      <c r="B4557" s="626">
        <v>0</v>
      </c>
      <c r="C4557" s="626">
        <v>1000000</v>
      </c>
      <c r="D4557" s="626">
        <v>0</v>
      </c>
    </row>
    <row r="4558" spans="1:4" x14ac:dyDescent="0.2">
      <c r="A4558">
        <v>4557</v>
      </c>
      <c r="B4558" s="626">
        <v>0</v>
      </c>
      <c r="C4558" s="626">
        <v>1000000</v>
      </c>
      <c r="D4558" s="626">
        <v>0</v>
      </c>
    </row>
    <row r="4559" spans="1:4" x14ac:dyDescent="0.2">
      <c r="A4559">
        <v>4558</v>
      </c>
      <c r="B4559" s="626">
        <v>0</v>
      </c>
      <c r="C4559" s="626">
        <v>1000000</v>
      </c>
      <c r="D4559" s="626">
        <v>0</v>
      </c>
    </row>
    <row r="4560" spans="1:4" x14ac:dyDescent="0.2">
      <c r="A4560">
        <v>4559</v>
      </c>
      <c r="B4560" s="626">
        <v>0</v>
      </c>
      <c r="C4560" s="626">
        <v>1000000</v>
      </c>
      <c r="D4560" s="626">
        <v>0</v>
      </c>
    </row>
    <row r="4561" spans="1:4" x14ac:dyDescent="0.2">
      <c r="A4561">
        <v>4560</v>
      </c>
      <c r="B4561" s="626">
        <v>0</v>
      </c>
      <c r="C4561" s="626">
        <v>1000000</v>
      </c>
      <c r="D4561" s="626">
        <v>0</v>
      </c>
    </row>
    <row r="4562" spans="1:4" x14ac:dyDescent="0.2">
      <c r="A4562">
        <v>4561</v>
      </c>
      <c r="B4562" s="626">
        <v>0</v>
      </c>
      <c r="C4562" s="626">
        <v>1000000</v>
      </c>
      <c r="D4562" s="626">
        <v>0</v>
      </c>
    </row>
    <row r="4563" spans="1:4" x14ac:dyDescent="0.2">
      <c r="A4563">
        <v>4562</v>
      </c>
      <c r="B4563" s="626">
        <v>0</v>
      </c>
      <c r="C4563" s="626">
        <v>1000000</v>
      </c>
      <c r="D4563" s="626">
        <v>0</v>
      </c>
    </row>
    <row r="4564" spans="1:4" x14ac:dyDescent="0.2">
      <c r="A4564">
        <v>4563</v>
      </c>
      <c r="B4564" s="626">
        <v>0</v>
      </c>
      <c r="C4564" s="626">
        <v>1000000</v>
      </c>
      <c r="D4564" s="626">
        <v>0</v>
      </c>
    </row>
    <row r="4565" spans="1:4" x14ac:dyDescent="0.2">
      <c r="A4565">
        <v>4564</v>
      </c>
      <c r="B4565" s="626">
        <v>0</v>
      </c>
      <c r="C4565" s="626">
        <v>1000000</v>
      </c>
      <c r="D4565" s="626">
        <v>0</v>
      </c>
    </row>
    <row r="4566" spans="1:4" x14ac:dyDescent="0.2">
      <c r="A4566">
        <v>4565</v>
      </c>
      <c r="B4566" s="626">
        <v>0</v>
      </c>
      <c r="C4566" s="626">
        <v>1000000</v>
      </c>
      <c r="D4566" s="626">
        <v>0</v>
      </c>
    </row>
    <row r="4567" spans="1:4" x14ac:dyDescent="0.2">
      <c r="A4567">
        <v>4566</v>
      </c>
      <c r="B4567" s="626">
        <v>0</v>
      </c>
      <c r="C4567" s="626">
        <v>1000000</v>
      </c>
      <c r="D4567" s="626">
        <v>0</v>
      </c>
    </row>
    <row r="4568" spans="1:4" x14ac:dyDescent="0.2">
      <c r="A4568">
        <v>4567</v>
      </c>
      <c r="B4568" s="626">
        <v>0</v>
      </c>
      <c r="C4568" s="626">
        <v>1000000</v>
      </c>
      <c r="D4568" s="626">
        <v>0</v>
      </c>
    </row>
    <row r="4569" spans="1:4" x14ac:dyDescent="0.2">
      <c r="A4569">
        <v>4568</v>
      </c>
      <c r="B4569" s="626">
        <v>0</v>
      </c>
      <c r="C4569" s="626">
        <v>1000000</v>
      </c>
      <c r="D4569" s="626">
        <v>0</v>
      </c>
    </row>
    <row r="4570" spans="1:4" x14ac:dyDescent="0.2">
      <c r="A4570">
        <v>4569</v>
      </c>
      <c r="B4570" s="626">
        <v>0</v>
      </c>
      <c r="C4570" s="626">
        <v>1000000</v>
      </c>
      <c r="D4570" s="626">
        <v>0</v>
      </c>
    </row>
    <row r="4571" spans="1:4" x14ac:dyDescent="0.2">
      <c r="A4571">
        <v>4570</v>
      </c>
      <c r="B4571" s="626">
        <v>0</v>
      </c>
      <c r="C4571" s="626">
        <v>1000000</v>
      </c>
      <c r="D4571" s="626">
        <v>0</v>
      </c>
    </row>
    <row r="4572" spans="1:4" x14ac:dyDescent="0.2">
      <c r="A4572">
        <v>4571</v>
      </c>
      <c r="B4572" s="626">
        <v>0</v>
      </c>
      <c r="C4572" s="626">
        <v>1000000</v>
      </c>
      <c r="D4572" s="626">
        <v>0</v>
      </c>
    </row>
    <row r="4573" spans="1:4" x14ac:dyDescent="0.2">
      <c r="A4573">
        <v>4572</v>
      </c>
      <c r="B4573" s="626">
        <v>0</v>
      </c>
      <c r="C4573" s="626">
        <v>1000000</v>
      </c>
      <c r="D4573" s="626">
        <v>0</v>
      </c>
    </row>
    <row r="4574" spans="1:4" x14ac:dyDescent="0.2">
      <c r="A4574">
        <v>4573</v>
      </c>
      <c r="B4574" s="626">
        <v>0</v>
      </c>
      <c r="C4574" s="626">
        <v>1000000</v>
      </c>
      <c r="D4574" s="626">
        <v>0</v>
      </c>
    </row>
    <row r="4575" spans="1:4" x14ac:dyDescent="0.2">
      <c r="A4575">
        <v>4574</v>
      </c>
      <c r="B4575" s="626">
        <v>0</v>
      </c>
      <c r="C4575" s="626">
        <v>1000000</v>
      </c>
      <c r="D4575" s="626">
        <v>0</v>
      </c>
    </row>
    <row r="4576" spans="1:4" x14ac:dyDescent="0.2">
      <c r="A4576">
        <v>4575</v>
      </c>
      <c r="B4576" s="626">
        <v>0</v>
      </c>
      <c r="C4576" s="626">
        <v>1000000</v>
      </c>
      <c r="D4576" s="626">
        <v>0</v>
      </c>
    </row>
    <row r="4577" spans="1:4" x14ac:dyDescent="0.2">
      <c r="A4577">
        <v>4576</v>
      </c>
      <c r="B4577" s="626">
        <v>0</v>
      </c>
      <c r="C4577" s="626">
        <v>1000000</v>
      </c>
      <c r="D4577" s="626">
        <v>0</v>
      </c>
    </row>
    <row r="4578" spans="1:4" x14ac:dyDescent="0.2">
      <c r="A4578">
        <v>4577</v>
      </c>
      <c r="B4578" s="626">
        <v>0</v>
      </c>
      <c r="C4578" s="626">
        <v>1000000</v>
      </c>
      <c r="D4578" s="626">
        <v>0</v>
      </c>
    </row>
    <row r="4579" spans="1:4" x14ac:dyDescent="0.2">
      <c r="A4579">
        <v>4578</v>
      </c>
      <c r="B4579" s="626">
        <v>0</v>
      </c>
      <c r="C4579" s="626">
        <v>1000000</v>
      </c>
      <c r="D4579" s="626">
        <v>0</v>
      </c>
    </row>
    <row r="4580" spans="1:4" x14ac:dyDescent="0.2">
      <c r="A4580">
        <v>4579</v>
      </c>
      <c r="B4580" s="626">
        <v>0</v>
      </c>
      <c r="C4580" s="626">
        <v>1000000</v>
      </c>
      <c r="D4580" s="626">
        <v>0</v>
      </c>
    </row>
    <row r="4581" spans="1:4" x14ac:dyDescent="0.2">
      <c r="A4581">
        <v>4580</v>
      </c>
      <c r="B4581" s="626">
        <v>0</v>
      </c>
      <c r="C4581" s="626">
        <v>1000000</v>
      </c>
      <c r="D4581" s="626">
        <v>0</v>
      </c>
    </row>
    <row r="4582" spans="1:4" x14ac:dyDescent="0.2">
      <c r="A4582">
        <v>4581</v>
      </c>
      <c r="B4582" s="626">
        <v>0</v>
      </c>
      <c r="C4582" s="626">
        <v>1000000</v>
      </c>
      <c r="D4582" s="626">
        <v>0</v>
      </c>
    </row>
    <row r="4583" spans="1:4" x14ac:dyDescent="0.2">
      <c r="A4583">
        <v>4582</v>
      </c>
      <c r="B4583" s="626">
        <v>0</v>
      </c>
      <c r="C4583" s="626">
        <v>1000000</v>
      </c>
      <c r="D4583" s="626">
        <v>0</v>
      </c>
    </row>
    <row r="4584" spans="1:4" x14ac:dyDescent="0.2">
      <c r="A4584">
        <v>4583</v>
      </c>
      <c r="B4584" s="626">
        <v>0</v>
      </c>
      <c r="C4584" s="626">
        <v>1000000</v>
      </c>
      <c r="D4584" s="626">
        <v>0</v>
      </c>
    </row>
    <row r="4585" spans="1:4" x14ac:dyDescent="0.2">
      <c r="A4585">
        <v>4584</v>
      </c>
      <c r="B4585" s="626">
        <v>0</v>
      </c>
      <c r="C4585" s="626">
        <v>1000000</v>
      </c>
      <c r="D4585" s="626">
        <v>0</v>
      </c>
    </row>
    <row r="4586" spans="1:4" x14ac:dyDescent="0.2">
      <c r="A4586">
        <v>4585</v>
      </c>
      <c r="B4586" s="626">
        <v>0</v>
      </c>
      <c r="C4586" s="626">
        <v>1000000</v>
      </c>
      <c r="D4586" s="626">
        <v>0</v>
      </c>
    </row>
    <row r="4587" spans="1:4" x14ac:dyDescent="0.2">
      <c r="A4587">
        <v>4586</v>
      </c>
      <c r="B4587" s="626">
        <v>0</v>
      </c>
      <c r="C4587" s="626">
        <v>1000000</v>
      </c>
      <c r="D4587" s="626">
        <v>0</v>
      </c>
    </row>
    <row r="4588" spans="1:4" x14ac:dyDescent="0.2">
      <c r="A4588">
        <v>4587</v>
      </c>
      <c r="B4588" s="626">
        <v>0</v>
      </c>
      <c r="C4588" s="626">
        <v>1000000</v>
      </c>
      <c r="D4588" s="626">
        <v>0</v>
      </c>
    </row>
    <row r="4589" spans="1:4" x14ac:dyDescent="0.2">
      <c r="A4589">
        <v>4588</v>
      </c>
      <c r="B4589" s="626">
        <v>0</v>
      </c>
      <c r="C4589" s="626">
        <v>1000000</v>
      </c>
      <c r="D4589" s="626">
        <v>0</v>
      </c>
    </row>
    <row r="4590" spans="1:4" x14ac:dyDescent="0.2">
      <c r="A4590">
        <v>4589</v>
      </c>
      <c r="B4590" s="626">
        <v>0</v>
      </c>
      <c r="C4590" s="626">
        <v>1000000</v>
      </c>
      <c r="D4590" s="626">
        <v>0</v>
      </c>
    </row>
    <row r="4591" spans="1:4" x14ac:dyDescent="0.2">
      <c r="A4591">
        <v>4590</v>
      </c>
      <c r="B4591" s="626">
        <v>0</v>
      </c>
      <c r="C4591" s="626">
        <v>1000000</v>
      </c>
      <c r="D4591" s="626">
        <v>0</v>
      </c>
    </row>
    <row r="4592" spans="1:4" x14ac:dyDescent="0.2">
      <c r="A4592">
        <v>4591</v>
      </c>
      <c r="B4592" s="626">
        <v>0</v>
      </c>
      <c r="C4592" s="626">
        <v>1000000</v>
      </c>
      <c r="D4592" s="626">
        <v>0</v>
      </c>
    </row>
    <row r="4593" spans="1:4" x14ac:dyDescent="0.2">
      <c r="A4593">
        <v>4592</v>
      </c>
      <c r="B4593" s="626">
        <v>0</v>
      </c>
      <c r="C4593" s="626">
        <v>1000000</v>
      </c>
      <c r="D4593" s="626">
        <v>0</v>
      </c>
    </row>
    <row r="4594" spans="1:4" x14ac:dyDescent="0.2">
      <c r="A4594">
        <v>4593</v>
      </c>
      <c r="B4594" s="626">
        <v>0</v>
      </c>
      <c r="C4594" s="626">
        <v>1000000</v>
      </c>
      <c r="D4594" s="626">
        <v>0</v>
      </c>
    </row>
    <row r="4595" spans="1:4" x14ac:dyDescent="0.2">
      <c r="A4595">
        <v>4594</v>
      </c>
      <c r="B4595" s="626">
        <v>0</v>
      </c>
      <c r="C4595" s="626">
        <v>1000000</v>
      </c>
      <c r="D4595" s="626">
        <v>0</v>
      </c>
    </row>
    <row r="4596" spans="1:4" x14ac:dyDescent="0.2">
      <c r="A4596">
        <v>4595</v>
      </c>
      <c r="B4596" s="626">
        <v>0</v>
      </c>
      <c r="C4596" s="626">
        <v>1000000</v>
      </c>
      <c r="D4596" s="626">
        <v>0</v>
      </c>
    </row>
    <row r="4597" spans="1:4" x14ac:dyDescent="0.2">
      <c r="A4597">
        <v>4596</v>
      </c>
      <c r="B4597" s="626">
        <v>0</v>
      </c>
      <c r="C4597" s="626">
        <v>1000000</v>
      </c>
      <c r="D4597" s="626">
        <v>0</v>
      </c>
    </row>
    <row r="4598" spans="1:4" x14ac:dyDescent="0.2">
      <c r="A4598">
        <v>4597</v>
      </c>
      <c r="B4598" s="626">
        <v>0</v>
      </c>
      <c r="C4598" s="626">
        <v>1000000</v>
      </c>
      <c r="D4598" s="626">
        <v>0</v>
      </c>
    </row>
    <row r="4599" spans="1:4" x14ac:dyDescent="0.2">
      <c r="A4599">
        <v>4598</v>
      </c>
      <c r="B4599" s="626">
        <v>0</v>
      </c>
      <c r="C4599" s="626">
        <v>1000000</v>
      </c>
      <c r="D4599" s="626">
        <v>0</v>
      </c>
    </row>
    <row r="4600" spans="1:4" x14ac:dyDescent="0.2">
      <c r="A4600">
        <v>4599</v>
      </c>
      <c r="B4600" s="626">
        <v>0</v>
      </c>
      <c r="C4600" s="626">
        <v>1000000</v>
      </c>
      <c r="D4600" s="626">
        <v>0</v>
      </c>
    </row>
    <row r="4601" spans="1:4" x14ac:dyDescent="0.2">
      <c r="A4601">
        <v>4600</v>
      </c>
      <c r="B4601" s="626">
        <v>0</v>
      </c>
      <c r="C4601" s="626">
        <v>1000000</v>
      </c>
      <c r="D4601" s="626">
        <v>0</v>
      </c>
    </row>
    <row r="4602" spans="1:4" x14ac:dyDescent="0.2">
      <c r="A4602">
        <v>4601</v>
      </c>
      <c r="B4602" s="626">
        <v>0</v>
      </c>
      <c r="C4602" s="626">
        <v>1000000</v>
      </c>
      <c r="D4602" s="626">
        <v>0</v>
      </c>
    </row>
    <row r="4603" spans="1:4" x14ac:dyDescent="0.2">
      <c r="A4603">
        <v>4602</v>
      </c>
      <c r="B4603" s="626">
        <v>0</v>
      </c>
      <c r="C4603" s="626">
        <v>1000000</v>
      </c>
      <c r="D4603" s="626">
        <v>0</v>
      </c>
    </row>
    <row r="4604" spans="1:4" x14ac:dyDescent="0.2">
      <c r="A4604">
        <v>4603</v>
      </c>
      <c r="B4604" s="626">
        <v>0</v>
      </c>
      <c r="C4604" s="626">
        <v>1000000</v>
      </c>
      <c r="D4604" s="626">
        <v>0</v>
      </c>
    </row>
    <row r="4605" spans="1:4" x14ac:dyDescent="0.2">
      <c r="A4605">
        <v>4604</v>
      </c>
      <c r="B4605" s="626">
        <v>0</v>
      </c>
      <c r="C4605" s="626">
        <v>1000000</v>
      </c>
      <c r="D4605" s="626">
        <v>0</v>
      </c>
    </row>
    <row r="4606" spans="1:4" x14ac:dyDescent="0.2">
      <c r="A4606">
        <v>4605</v>
      </c>
      <c r="B4606" s="626">
        <v>0</v>
      </c>
      <c r="C4606" s="626">
        <v>1000000</v>
      </c>
      <c r="D4606" s="626">
        <v>0</v>
      </c>
    </row>
    <row r="4607" spans="1:4" x14ac:dyDescent="0.2">
      <c r="A4607">
        <v>4606</v>
      </c>
      <c r="B4607" s="626">
        <v>0</v>
      </c>
      <c r="C4607" s="626">
        <v>1000000</v>
      </c>
      <c r="D4607" s="626">
        <v>0</v>
      </c>
    </row>
    <row r="4608" spans="1:4" x14ac:dyDescent="0.2">
      <c r="A4608">
        <v>4607</v>
      </c>
      <c r="B4608" s="626">
        <v>0</v>
      </c>
      <c r="C4608" s="626">
        <v>1000000</v>
      </c>
      <c r="D4608" s="626">
        <v>0</v>
      </c>
    </row>
    <row r="4609" spans="1:4" x14ac:dyDescent="0.2">
      <c r="A4609">
        <v>4608</v>
      </c>
      <c r="B4609" s="626">
        <v>0</v>
      </c>
      <c r="C4609" s="626">
        <v>1000000</v>
      </c>
      <c r="D4609" s="626">
        <v>0</v>
      </c>
    </row>
    <row r="4610" spans="1:4" x14ac:dyDescent="0.2">
      <c r="A4610">
        <v>4609</v>
      </c>
      <c r="B4610" s="626">
        <v>0</v>
      </c>
      <c r="C4610" s="626">
        <v>1000000</v>
      </c>
      <c r="D4610" s="626">
        <v>0</v>
      </c>
    </row>
    <row r="4611" spans="1:4" x14ac:dyDescent="0.2">
      <c r="A4611">
        <v>4610</v>
      </c>
      <c r="B4611" s="626">
        <v>0</v>
      </c>
      <c r="C4611" s="626">
        <v>1000000</v>
      </c>
      <c r="D4611" s="626">
        <v>0</v>
      </c>
    </row>
    <row r="4612" spans="1:4" x14ac:dyDescent="0.2">
      <c r="A4612">
        <v>4611</v>
      </c>
      <c r="B4612" s="626">
        <v>0</v>
      </c>
      <c r="C4612" s="626">
        <v>1000000</v>
      </c>
      <c r="D4612" s="626">
        <v>0</v>
      </c>
    </row>
    <row r="4613" spans="1:4" x14ac:dyDescent="0.2">
      <c r="A4613">
        <v>4612</v>
      </c>
      <c r="B4613" s="626">
        <v>0</v>
      </c>
      <c r="C4613" s="626">
        <v>1000000</v>
      </c>
      <c r="D4613" s="626">
        <v>0</v>
      </c>
    </row>
    <row r="4614" spans="1:4" x14ac:dyDescent="0.2">
      <c r="A4614">
        <v>4613</v>
      </c>
      <c r="B4614" s="626">
        <v>0</v>
      </c>
      <c r="C4614" s="626">
        <v>1000000</v>
      </c>
      <c r="D4614" s="626">
        <v>0</v>
      </c>
    </row>
    <row r="4615" spans="1:4" x14ac:dyDescent="0.2">
      <c r="A4615">
        <v>4614</v>
      </c>
      <c r="B4615" s="626">
        <v>0</v>
      </c>
      <c r="C4615" s="626">
        <v>1000000</v>
      </c>
      <c r="D4615" s="626">
        <v>0</v>
      </c>
    </row>
    <row r="4616" spans="1:4" x14ac:dyDescent="0.2">
      <c r="A4616">
        <v>4615</v>
      </c>
      <c r="B4616" s="626">
        <v>0</v>
      </c>
      <c r="C4616" s="626">
        <v>1000000</v>
      </c>
      <c r="D4616" s="626">
        <v>0</v>
      </c>
    </row>
    <row r="4617" spans="1:4" x14ac:dyDescent="0.2">
      <c r="A4617">
        <v>4616</v>
      </c>
      <c r="B4617" s="626">
        <v>0</v>
      </c>
      <c r="C4617" s="626">
        <v>1000000</v>
      </c>
      <c r="D4617" s="626">
        <v>0</v>
      </c>
    </row>
    <row r="4618" spans="1:4" x14ac:dyDescent="0.2">
      <c r="A4618">
        <v>4617</v>
      </c>
      <c r="B4618" s="626">
        <v>0</v>
      </c>
      <c r="C4618" s="626">
        <v>1000000</v>
      </c>
      <c r="D4618" s="626">
        <v>0</v>
      </c>
    </row>
    <row r="4619" spans="1:4" x14ac:dyDescent="0.2">
      <c r="A4619">
        <v>4618</v>
      </c>
      <c r="B4619" s="626">
        <v>0</v>
      </c>
      <c r="C4619" s="626">
        <v>1000000</v>
      </c>
      <c r="D4619" s="626">
        <v>0</v>
      </c>
    </row>
    <row r="4620" spans="1:4" x14ac:dyDescent="0.2">
      <c r="A4620">
        <v>4619</v>
      </c>
      <c r="B4620" s="626">
        <v>0</v>
      </c>
      <c r="C4620" s="626">
        <v>1000000</v>
      </c>
      <c r="D4620" s="626">
        <v>0</v>
      </c>
    </row>
    <row r="4621" spans="1:4" x14ac:dyDescent="0.2">
      <c r="A4621">
        <v>4620</v>
      </c>
      <c r="B4621" s="626">
        <v>0</v>
      </c>
      <c r="C4621" s="626">
        <v>1000000</v>
      </c>
      <c r="D4621" s="626">
        <v>0</v>
      </c>
    </row>
    <row r="4622" spans="1:4" x14ac:dyDescent="0.2">
      <c r="A4622">
        <v>4621</v>
      </c>
      <c r="B4622" s="626">
        <v>0</v>
      </c>
      <c r="C4622" s="626">
        <v>1000000</v>
      </c>
      <c r="D4622" s="626">
        <v>0</v>
      </c>
    </row>
    <row r="4623" spans="1:4" x14ac:dyDescent="0.2">
      <c r="A4623">
        <v>4622</v>
      </c>
      <c r="B4623" s="626">
        <v>0</v>
      </c>
      <c r="C4623" s="626">
        <v>1000000</v>
      </c>
      <c r="D4623" s="626">
        <v>0</v>
      </c>
    </row>
    <row r="4624" spans="1:4" x14ac:dyDescent="0.2">
      <c r="A4624">
        <v>4623</v>
      </c>
      <c r="B4624" s="626">
        <v>0</v>
      </c>
      <c r="C4624" s="626">
        <v>1000000</v>
      </c>
      <c r="D4624" s="626">
        <v>0</v>
      </c>
    </row>
    <row r="4625" spans="1:4" x14ac:dyDescent="0.2">
      <c r="A4625">
        <v>4624</v>
      </c>
      <c r="B4625" s="626">
        <v>0</v>
      </c>
      <c r="C4625" s="626">
        <v>1000000</v>
      </c>
      <c r="D4625" s="626">
        <v>0</v>
      </c>
    </row>
    <row r="4626" spans="1:4" x14ac:dyDescent="0.2">
      <c r="A4626">
        <v>4625</v>
      </c>
      <c r="B4626" s="626">
        <v>0</v>
      </c>
      <c r="C4626" s="626">
        <v>1000000</v>
      </c>
      <c r="D4626" s="626">
        <v>0</v>
      </c>
    </row>
    <row r="4627" spans="1:4" x14ac:dyDescent="0.2">
      <c r="A4627">
        <v>4626</v>
      </c>
      <c r="B4627" s="626">
        <v>0</v>
      </c>
      <c r="C4627" s="626">
        <v>1000000</v>
      </c>
      <c r="D4627" s="626">
        <v>0</v>
      </c>
    </row>
    <row r="4628" spans="1:4" x14ac:dyDescent="0.2">
      <c r="A4628">
        <v>4627</v>
      </c>
      <c r="B4628" s="626">
        <v>0</v>
      </c>
      <c r="C4628" s="626">
        <v>1000000</v>
      </c>
      <c r="D4628" s="626">
        <v>0</v>
      </c>
    </row>
    <row r="4629" spans="1:4" x14ac:dyDescent="0.2">
      <c r="A4629">
        <v>4628</v>
      </c>
      <c r="B4629" s="626">
        <v>0</v>
      </c>
      <c r="C4629" s="626">
        <v>1000000</v>
      </c>
      <c r="D4629" s="626">
        <v>0</v>
      </c>
    </row>
    <row r="4630" spans="1:4" x14ac:dyDescent="0.2">
      <c r="A4630">
        <v>4629</v>
      </c>
      <c r="B4630" s="626">
        <v>0</v>
      </c>
      <c r="C4630" s="626">
        <v>1000000</v>
      </c>
      <c r="D4630" s="626">
        <v>0</v>
      </c>
    </row>
    <row r="4631" spans="1:4" x14ac:dyDescent="0.2">
      <c r="A4631">
        <v>4630</v>
      </c>
      <c r="B4631" s="626">
        <v>0</v>
      </c>
      <c r="C4631" s="626">
        <v>1000000</v>
      </c>
      <c r="D4631" s="626">
        <v>0</v>
      </c>
    </row>
    <row r="4632" spans="1:4" x14ac:dyDescent="0.2">
      <c r="A4632">
        <v>4631</v>
      </c>
      <c r="B4632" s="626">
        <v>0</v>
      </c>
      <c r="C4632" s="626">
        <v>1000000</v>
      </c>
      <c r="D4632" s="626">
        <v>0</v>
      </c>
    </row>
    <row r="4633" spans="1:4" x14ac:dyDescent="0.2">
      <c r="A4633">
        <v>4632</v>
      </c>
      <c r="B4633" s="626">
        <v>0</v>
      </c>
      <c r="C4633" s="626">
        <v>1000000</v>
      </c>
      <c r="D4633" s="626">
        <v>0</v>
      </c>
    </row>
    <row r="4634" spans="1:4" x14ac:dyDescent="0.2">
      <c r="A4634">
        <v>4633</v>
      </c>
      <c r="B4634" s="626">
        <v>0</v>
      </c>
      <c r="C4634" s="626">
        <v>1000000</v>
      </c>
      <c r="D4634" s="626">
        <v>0</v>
      </c>
    </row>
    <row r="4635" spans="1:4" x14ac:dyDescent="0.2">
      <c r="A4635">
        <v>4634</v>
      </c>
      <c r="B4635" s="626">
        <v>0</v>
      </c>
      <c r="C4635" s="626">
        <v>1000000</v>
      </c>
      <c r="D4635" s="626">
        <v>0</v>
      </c>
    </row>
    <row r="4636" spans="1:4" x14ac:dyDescent="0.2">
      <c r="A4636">
        <v>4635</v>
      </c>
      <c r="B4636" s="626">
        <v>0</v>
      </c>
      <c r="C4636" s="626">
        <v>1000000</v>
      </c>
      <c r="D4636" s="626">
        <v>0</v>
      </c>
    </row>
    <row r="4637" spans="1:4" x14ac:dyDescent="0.2">
      <c r="A4637">
        <v>4636</v>
      </c>
      <c r="B4637" s="626">
        <v>0</v>
      </c>
      <c r="C4637" s="626">
        <v>1000000</v>
      </c>
      <c r="D4637" s="626">
        <v>0</v>
      </c>
    </row>
    <row r="4638" spans="1:4" x14ac:dyDescent="0.2">
      <c r="A4638">
        <v>4637</v>
      </c>
      <c r="B4638" s="626">
        <v>0</v>
      </c>
      <c r="C4638" s="626">
        <v>1000000</v>
      </c>
      <c r="D4638" s="626">
        <v>0</v>
      </c>
    </row>
    <row r="4639" spans="1:4" x14ac:dyDescent="0.2">
      <c r="A4639">
        <v>4638</v>
      </c>
      <c r="B4639" s="626">
        <v>0</v>
      </c>
      <c r="C4639" s="626">
        <v>1000000</v>
      </c>
      <c r="D4639" s="626">
        <v>0</v>
      </c>
    </row>
    <row r="4640" spans="1:4" x14ac:dyDescent="0.2">
      <c r="A4640">
        <v>4639</v>
      </c>
      <c r="B4640" s="626">
        <v>0</v>
      </c>
      <c r="C4640" s="626">
        <v>1000000</v>
      </c>
      <c r="D4640" s="626">
        <v>0</v>
      </c>
    </row>
    <row r="4641" spans="1:4" x14ac:dyDescent="0.2">
      <c r="A4641">
        <v>4640</v>
      </c>
      <c r="B4641" s="626">
        <v>0</v>
      </c>
      <c r="C4641" s="626">
        <v>1000000</v>
      </c>
      <c r="D4641" s="626">
        <v>0</v>
      </c>
    </row>
    <row r="4642" spans="1:4" x14ac:dyDescent="0.2">
      <c r="A4642">
        <v>4641</v>
      </c>
      <c r="B4642" s="626">
        <v>0</v>
      </c>
      <c r="C4642" s="626">
        <v>1000000</v>
      </c>
      <c r="D4642" s="626">
        <v>0</v>
      </c>
    </row>
    <row r="4643" spans="1:4" x14ac:dyDescent="0.2">
      <c r="A4643">
        <v>4642</v>
      </c>
      <c r="B4643" s="626">
        <v>0</v>
      </c>
      <c r="C4643" s="626">
        <v>1000000</v>
      </c>
      <c r="D4643" s="626">
        <v>0</v>
      </c>
    </row>
    <row r="4644" spans="1:4" x14ac:dyDescent="0.2">
      <c r="A4644">
        <v>4643</v>
      </c>
      <c r="B4644" s="626">
        <v>0</v>
      </c>
      <c r="C4644" s="626">
        <v>1000000</v>
      </c>
      <c r="D4644" s="626">
        <v>0</v>
      </c>
    </row>
    <row r="4645" spans="1:4" x14ac:dyDescent="0.2">
      <c r="A4645">
        <v>4644</v>
      </c>
      <c r="B4645" s="626">
        <v>0</v>
      </c>
      <c r="C4645" s="626">
        <v>1000000</v>
      </c>
      <c r="D4645" s="626">
        <v>0</v>
      </c>
    </row>
    <row r="4646" spans="1:4" x14ac:dyDescent="0.2">
      <c r="A4646">
        <v>4645</v>
      </c>
      <c r="B4646" s="626">
        <v>0</v>
      </c>
      <c r="C4646" s="626">
        <v>1000000</v>
      </c>
      <c r="D4646" s="626">
        <v>0</v>
      </c>
    </row>
    <row r="4647" spans="1:4" x14ac:dyDescent="0.2">
      <c r="A4647">
        <v>4646</v>
      </c>
      <c r="B4647" s="626">
        <v>0</v>
      </c>
      <c r="C4647" s="626">
        <v>1000000</v>
      </c>
      <c r="D4647" s="626">
        <v>0</v>
      </c>
    </row>
    <row r="4648" spans="1:4" x14ac:dyDescent="0.2">
      <c r="A4648">
        <v>4647</v>
      </c>
      <c r="B4648" s="626">
        <v>0</v>
      </c>
      <c r="C4648" s="626">
        <v>1000000</v>
      </c>
      <c r="D4648" s="626">
        <v>0</v>
      </c>
    </row>
    <row r="4649" spans="1:4" x14ac:dyDescent="0.2">
      <c r="A4649">
        <v>4648</v>
      </c>
      <c r="B4649" s="626">
        <v>0</v>
      </c>
      <c r="C4649" s="626">
        <v>1000000</v>
      </c>
      <c r="D4649" s="626">
        <v>0</v>
      </c>
    </row>
    <row r="4650" spans="1:4" x14ac:dyDescent="0.2">
      <c r="A4650">
        <v>4649</v>
      </c>
      <c r="B4650" s="626">
        <v>0</v>
      </c>
      <c r="C4650" s="626">
        <v>1000000</v>
      </c>
      <c r="D4650" s="626">
        <v>0</v>
      </c>
    </row>
    <row r="4651" spans="1:4" x14ac:dyDescent="0.2">
      <c r="A4651">
        <v>4650</v>
      </c>
      <c r="B4651" s="626">
        <v>0</v>
      </c>
      <c r="C4651" s="626">
        <v>1000000</v>
      </c>
      <c r="D4651" s="626">
        <v>0</v>
      </c>
    </row>
    <row r="4652" spans="1:4" x14ac:dyDescent="0.2">
      <c r="A4652">
        <v>4651</v>
      </c>
      <c r="B4652" s="626">
        <v>0</v>
      </c>
      <c r="C4652" s="626">
        <v>1000000</v>
      </c>
      <c r="D4652" s="626">
        <v>0</v>
      </c>
    </row>
    <row r="4653" spans="1:4" x14ac:dyDescent="0.2">
      <c r="A4653">
        <v>4652</v>
      </c>
      <c r="B4653" s="626">
        <v>0</v>
      </c>
      <c r="C4653" s="626">
        <v>1000000</v>
      </c>
      <c r="D4653" s="626">
        <v>0</v>
      </c>
    </row>
    <row r="4654" spans="1:4" x14ac:dyDescent="0.2">
      <c r="A4654">
        <v>4653</v>
      </c>
      <c r="B4654" s="626">
        <v>0</v>
      </c>
      <c r="C4654" s="626">
        <v>1000000</v>
      </c>
      <c r="D4654" s="626">
        <v>0</v>
      </c>
    </row>
    <row r="4655" spans="1:4" x14ac:dyDescent="0.2">
      <c r="A4655">
        <v>4654</v>
      </c>
      <c r="B4655" s="626">
        <v>0</v>
      </c>
      <c r="C4655" s="626">
        <v>1000000</v>
      </c>
      <c r="D4655" s="626">
        <v>0</v>
      </c>
    </row>
    <row r="4656" spans="1:4" x14ac:dyDescent="0.2">
      <c r="A4656">
        <v>4655</v>
      </c>
      <c r="B4656" s="626">
        <v>0</v>
      </c>
      <c r="C4656" s="626">
        <v>1000000</v>
      </c>
      <c r="D4656" s="626">
        <v>0</v>
      </c>
    </row>
    <row r="4657" spans="1:4" x14ac:dyDescent="0.2">
      <c r="A4657">
        <v>4656</v>
      </c>
      <c r="B4657" s="626">
        <v>0</v>
      </c>
      <c r="C4657" s="626">
        <v>1000000</v>
      </c>
      <c r="D4657" s="626">
        <v>0</v>
      </c>
    </row>
    <row r="4658" spans="1:4" x14ac:dyDescent="0.2">
      <c r="A4658">
        <v>4657</v>
      </c>
      <c r="B4658" s="626">
        <v>0</v>
      </c>
      <c r="C4658" s="626">
        <v>1000000</v>
      </c>
      <c r="D4658" s="626">
        <v>0</v>
      </c>
    </row>
    <row r="4659" spans="1:4" x14ac:dyDescent="0.2">
      <c r="A4659">
        <v>4658</v>
      </c>
      <c r="B4659" s="626">
        <v>0</v>
      </c>
      <c r="C4659" s="626">
        <v>1000000</v>
      </c>
      <c r="D4659" s="626">
        <v>0</v>
      </c>
    </row>
    <row r="4660" spans="1:4" x14ac:dyDescent="0.2">
      <c r="A4660">
        <v>4659</v>
      </c>
      <c r="B4660" s="626">
        <v>0</v>
      </c>
      <c r="C4660" s="626">
        <v>1000000</v>
      </c>
      <c r="D4660" s="626">
        <v>0</v>
      </c>
    </row>
    <row r="4661" spans="1:4" x14ac:dyDescent="0.2">
      <c r="A4661">
        <v>4660</v>
      </c>
      <c r="B4661" s="626">
        <v>0</v>
      </c>
      <c r="C4661" s="626">
        <v>1000000</v>
      </c>
      <c r="D4661" s="626">
        <v>0</v>
      </c>
    </row>
    <row r="4662" spans="1:4" x14ac:dyDescent="0.2">
      <c r="A4662">
        <v>4661</v>
      </c>
      <c r="B4662" s="626">
        <v>0</v>
      </c>
      <c r="C4662" s="626">
        <v>1000000</v>
      </c>
      <c r="D4662" s="626">
        <v>0</v>
      </c>
    </row>
    <row r="4663" spans="1:4" x14ac:dyDescent="0.2">
      <c r="A4663">
        <v>4662</v>
      </c>
      <c r="B4663" s="626">
        <v>0</v>
      </c>
      <c r="C4663" s="626">
        <v>1000000</v>
      </c>
      <c r="D4663" s="626">
        <v>0</v>
      </c>
    </row>
    <row r="4664" spans="1:4" x14ac:dyDescent="0.2">
      <c r="A4664">
        <v>4663</v>
      </c>
      <c r="B4664" s="626">
        <v>0</v>
      </c>
      <c r="C4664" s="626">
        <v>1000000</v>
      </c>
      <c r="D4664" s="626">
        <v>0</v>
      </c>
    </row>
    <row r="4665" spans="1:4" x14ac:dyDescent="0.2">
      <c r="A4665">
        <v>4664</v>
      </c>
      <c r="B4665" s="626">
        <v>0</v>
      </c>
      <c r="C4665" s="626">
        <v>1000000</v>
      </c>
      <c r="D4665" s="626">
        <v>0</v>
      </c>
    </row>
    <row r="4666" spans="1:4" x14ac:dyDescent="0.2">
      <c r="A4666">
        <v>4665</v>
      </c>
      <c r="B4666" s="626">
        <v>0</v>
      </c>
      <c r="C4666" s="626">
        <v>1000000</v>
      </c>
      <c r="D4666" s="626">
        <v>0</v>
      </c>
    </row>
    <row r="4667" spans="1:4" x14ac:dyDescent="0.2">
      <c r="A4667">
        <v>4666</v>
      </c>
      <c r="B4667" s="626">
        <v>0</v>
      </c>
      <c r="C4667" s="626">
        <v>1000000</v>
      </c>
      <c r="D4667" s="626">
        <v>0</v>
      </c>
    </row>
    <row r="4668" spans="1:4" x14ac:dyDescent="0.2">
      <c r="A4668">
        <v>4667</v>
      </c>
      <c r="B4668" s="626">
        <v>0</v>
      </c>
      <c r="C4668" s="626">
        <v>1000000</v>
      </c>
      <c r="D4668" s="626">
        <v>0</v>
      </c>
    </row>
    <row r="4669" spans="1:4" x14ac:dyDescent="0.2">
      <c r="A4669">
        <v>4668</v>
      </c>
      <c r="B4669" s="626">
        <v>0</v>
      </c>
      <c r="C4669" s="626">
        <v>1000000</v>
      </c>
      <c r="D4669" s="626">
        <v>0</v>
      </c>
    </row>
    <row r="4670" spans="1:4" x14ac:dyDescent="0.2">
      <c r="A4670">
        <v>4669</v>
      </c>
      <c r="B4670" s="626">
        <v>0</v>
      </c>
      <c r="C4670" s="626">
        <v>1000000</v>
      </c>
      <c r="D4670" s="626">
        <v>0</v>
      </c>
    </row>
    <row r="4671" spans="1:4" x14ac:dyDescent="0.2">
      <c r="A4671">
        <v>4670</v>
      </c>
      <c r="B4671" s="626">
        <v>0</v>
      </c>
      <c r="C4671" s="626">
        <v>1000000</v>
      </c>
      <c r="D4671" s="626">
        <v>0</v>
      </c>
    </row>
    <row r="4672" spans="1:4" x14ac:dyDescent="0.2">
      <c r="A4672">
        <v>4671</v>
      </c>
      <c r="B4672" s="626">
        <v>0</v>
      </c>
      <c r="C4672" s="626">
        <v>1000000</v>
      </c>
      <c r="D4672" s="626">
        <v>0</v>
      </c>
    </row>
    <row r="4673" spans="1:4" x14ac:dyDescent="0.2">
      <c r="A4673">
        <v>4672</v>
      </c>
      <c r="B4673" s="626">
        <v>0</v>
      </c>
      <c r="C4673" s="626">
        <v>1000000</v>
      </c>
      <c r="D4673" s="626">
        <v>0</v>
      </c>
    </row>
    <row r="4674" spans="1:4" x14ac:dyDescent="0.2">
      <c r="A4674">
        <v>4673</v>
      </c>
      <c r="B4674" s="626">
        <v>0</v>
      </c>
      <c r="C4674" s="626">
        <v>1000000</v>
      </c>
      <c r="D4674" s="626">
        <v>0</v>
      </c>
    </row>
    <row r="4675" spans="1:4" x14ac:dyDescent="0.2">
      <c r="A4675">
        <v>4674</v>
      </c>
      <c r="B4675" s="626">
        <v>0</v>
      </c>
      <c r="C4675" s="626">
        <v>1000000</v>
      </c>
      <c r="D4675" s="626">
        <v>0</v>
      </c>
    </row>
    <row r="4676" spans="1:4" x14ac:dyDescent="0.2">
      <c r="A4676">
        <v>4675</v>
      </c>
      <c r="B4676" s="626">
        <v>0</v>
      </c>
      <c r="C4676" s="626">
        <v>1000000</v>
      </c>
      <c r="D4676" s="626">
        <v>0</v>
      </c>
    </row>
    <row r="4677" spans="1:4" x14ac:dyDescent="0.2">
      <c r="A4677">
        <v>4676</v>
      </c>
      <c r="B4677" s="626">
        <v>0</v>
      </c>
      <c r="C4677" s="626">
        <v>1000000</v>
      </c>
      <c r="D4677" s="626">
        <v>0</v>
      </c>
    </row>
    <row r="4678" spans="1:4" x14ac:dyDescent="0.2">
      <c r="A4678">
        <v>4677</v>
      </c>
      <c r="B4678" s="626">
        <v>0</v>
      </c>
      <c r="C4678" s="626">
        <v>1000000</v>
      </c>
      <c r="D4678" s="626">
        <v>0</v>
      </c>
    </row>
    <row r="4679" spans="1:4" x14ac:dyDescent="0.2">
      <c r="A4679">
        <v>4678</v>
      </c>
      <c r="B4679" s="626">
        <v>0</v>
      </c>
      <c r="C4679" s="626">
        <v>1000000</v>
      </c>
      <c r="D4679" s="626">
        <v>0</v>
      </c>
    </row>
    <row r="4680" spans="1:4" x14ac:dyDescent="0.2">
      <c r="A4680">
        <v>4679</v>
      </c>
      <c r="B4680" s="626">
        <v>0</v>
      </c>
      <c r="C4680" s="626">
        <v>1000000</v>
      </c>
      <c r="D4680" s="626">
        <v>0</v>
      </c>
    </row>
    <row r="4681" spans="1:4" x14ac:dyDescent="0.2">
      <c r="A4681">
        <v>4680</v>
      </c>
      <c r="B4681" s="626">
        <v>0</v>
      </c>
      <c r="C4681" s="626">
        <v>1000000</v>
      </c>
      <c r="D4681" s="626">
        <v>0</v>
      </c>
    </row>
    <row r="4682" spans="1:4" x14ac:dyDescent="0.2">
      <c r="A4682">
        <v>4681</v>
      </c>
      <c r="B4682" s="626">
        <v>0</v>
      </c>
      <c r="C4682" s="626">
        <v>1000000</v>
      </c>
      <c r="D4682" s="626">
        <v>0</v>
      </c>
    </row>
    <row r="4683" spans="1:4" x14ac:dyDescent="0.2">
      <c r="A4683">
        <v>4682</v>
      </c>
      <c r="B4683" s="626">
        <v>0</v>
      </c>
      <c r="C4683" s="626">
        <v>1000000</v>
      </c>
      <c r="D4683" s="626">
        <v>0</v>
      </c>
    </row>
    <row r="4684" spans="1:4" x14ac:dyDescent="0.2">
      <c r="A4684">
        <v>4683</v>
      </c>
      <c r="B4684" s="626">
        <v>0</v>
      </c>
      <c r="C4684" s="626">
        <v>1000000</v>
      </c>
      <c r="D4684" s="626">
        <v>0</v>
      </c>
    </row>
    <row r="4685" spans="1:4" x14ac:dyDescent="0.2">
      <c r="A4685">
        <v>4684</v>
      </c>
      <c r="B4685" s="626">
        <v>0</v>
      </c>
      <c r="C4685" s="626">
        <v>1000000</v>
      </c>
      <c r="D4685" s="626">
        <v>0</v>
      </c>
    </row>
    <row r="4686" spans="1:4" x14ac:dyDescent="0.2">
      <c r="A4686">
        <v>4685</v>
      </c>
      <c r="B4686" s="626">
        <v>0</v>
      </c>
      <c r="C4686" s="626">
        <v>1000000</v>
      </c>
      <c r="D4686" s="626">
        <v>0</v>
      </c>
    </row>
    <row r="4687" spans="1:4" x14ac:dyDescent="0.2">
      <c r="A4687">
        <v>4686</v>
      </c>
      <c r="B4687" s="626">
        <v>0</v>
      </c>
      <c r="C4687" s="626">
        <v>1000000</v>
      </c>
      <c r="D4687" s="626">
        <v>0</v>
      </c>
    </row>
    <row r="4688" spans="1:4" x14ac:dyDescent="0.2">
      <c r="A4688">
        <v>4687</v>
      </c>
      <c r="B4688" s="626">
        <v>0</v>
      </c>
      <c r="C4688" s="626">
        <v>1000000</v>
      </c>
      <c r="D4688" s="626">
        <v>0</v>
      </c>
    </row>
    <row r="4689" spans="1:4" x14ac:dyDescent="0.2">
      <c r="A4689">
        <v>4688</v>
      </c>
      <c r="B4689" s="626">
        <v>0</v>
      </c>
      <c r="C4689" s="626">
        <v>1000000</v>
      </c>
      <c r="D4689" s="626">
        <v>0</v>
      </c>
    </row>
    <row r="4690" spans="1:4" x14ac:dyDescent="0.2">
      <c r="A4690">
        <v>4689</v>
      </c>
      <c r="B4690" s="626">
        <v>0</v>
      </c>
      <c r="C4690" s="626">
        <v>1000000</v>
      </c>
      <c r="D4690" s="626">
        <v>0</v>
      </c>
    </row>
    <row r="4691" spans="1:4" x14ac:dyDescent="0.2">
      <c r="A4691">
        <v>4690</v>
      </c>
      <c r="B4691" s="626">
        <v>0</v>
      </c>
      <c r="C4691" s="626">
        <v>1000000</v>
      </c>
      <c r="D4691" s="626">
        <v>0</v>
      </c>
    </row>
    <row r="4692" spans="1:4" x14ac:dyDescent="0.2">
      <c r="A4692">
        <v>4691</v>
      </c>
      <c r="B4692" s="626">
        <v>0</v>
      </c>
      <c r="C4692" s="626">
        <v>1000000</v>
      </c>
      <c r="D4692" s="626">
        <v>0</v>
      </c>
    </row>
    <row r="4693" spans="1:4" x14ac:dyDescent="0.2">
      <c r="A4693">
        <v>4692</v>
      </c>
      <c r="B4693" s="626">
        <v>0</v>
      </c>
      <c r="C4693" s="626">
        <v>1000000</v>
      </c>
      <c r="D4693" s="626">
        <v>0</v>
      </c>
    </row>
    <row r="4694" spans="1:4" x14ac:dyDescent="0.2">
      <c r="A4694">
        <v>4693</v>
      </c>
      <c r="B4694" s="626">
        <v>0</v>
      </c>
      <c r="C4694" s="626">
        <v>1000000</v>
      </c>
      <c r="D4694" s="626">
        <v>0</v>
      </c>
    </row>
    <row r="4695" spans="1:4" x14ac:dyDescent="0.2">
      <c r="A4695">
        <v>4694</v>
      </c>
      <c r="B4695" s="626">
        <v>0</v>
      </c>
      <c r="C4695" s="626">
        <v>1000000</v>
      </c>
      <c r="D4695" s="626">
        <v>0</v>
      </c>
    </row>
    <row r="4696" spans="1:4" x14ac:dyDescent="0.2">
      <c r="A4696">
        <v>4695</v>
      </c>
      <c r="B4696" s="626">
        <v>0</v>
      </c>
      <c r="C4696" s="626">
        <v>1000000</v>
      </c>
      <c r="D4696" s="626">
        <v>0</v>
      </c>
    </row>
    <row r="4697" spans="1:4" x14ac:dyDescent="0.2">
      <c r="A4697">
        <v>4696</v>
      </c>
      <c r="B4697" s="626">
        <v>0</v>
      </c>
      <c r="C4697" s="626">
        <v>1000000</v>
      </c>
      <c r="D4697" s="626">
        <v>0</v>
      </c>
    </row>
    <row r="4698" spans="1:4" x14ac:dyDescent="0.2">
      <c r="A4698">
        <v>4697</v>
      </c>
      <c r="B4698" s="626">
        <v>0</v>
      </c>
      <c r="C4698" s="626">
        <v>1000000</v>
      </c>
      <c r="D4698" s="626">
        <v>0</v>
      </c>
    </row>
    <row r="4699" spans="1:4" x14ac:dyDescent="0.2">
      <c r="A4699">
        <v>4698</v>
      </c>
      <c r="B4699" s="626">
        <v>0</v>
      </c>
      <c r="C4699" s="626">
        <v>1000000</v>
      </c>
      <c r="D4699" s="626">
        <v>0</v>
      </c>
    </row>
    <row r="4700" spans="1:4" x14ac:dyDescent="0.2">
      <c r="A4700">
        <v>4699</v>
      </c>
      <c r="B4700" s="626">
        <v>0</v>
      </c>
      <c r="C4700" s="626">
        <v>1000000</v>
      </c>
      <c r="D4700" s="626">
        <v>0</v>
      </c>
    </row>
    <row r="4701" spans="1:4" x14ac:dyDescent="0.2">
      <c r="A4701">
        <v>4700</v>
      </c>
      <c r="B4701" s="626">
        <v>0</v>
      </c>
      <c r="C4701" s="626">
        <v>1000000</v>
      </c>
      <c r="D4701" s="626">
        <v>0</v>
      </c>
    </row>
    <row r="4702" spans="1:4" x14ac:dyDescent="0.2">
      <c r="A4702">
        <v>4701</v>
      </c>
      <c r="B4702" s="626">
        <v>0</v>
      </c>
      <c r="C4702" s="626">
        <v>1000000</v>
      </c>
      <c r="D4702" s="626">
        <v>0</v>
      </c>
    </row>
    <row r="4703" spans="1:4" x14ac:dyDescent="0.2">
      <c r="A4703">
        <v>4702</v>
      </c>
      <c r="B4703" s="626">
        <v>0</v>
      </c>
      <c r="C4703" s="626">
        <v>1000000</v>
      </c>
      <c r="D4703" s="626">
        <v>0</v>
      </c>
    </row>
    <row r="4704" spans="1:4" x14ac:dyDescent="0.2">
      <c r="A4704">
        <v>4703</v>
      </c>
      <c r="B4704" s="626">
        <v>0</v>
      </c>
      <c r="C4704" s="626">
        <v>1000000</v>
      </c>
      <c r="D4704" s="626">
        <v>0</v>
      </c>
    </row>
    <row r="4705" spans="1:4" x14ac:dyDescent="0.2">
      <c r="A4705">
        <v>4704</v>
      </c>
      <c r="B4705" s="626">
        <v>0</v>
      </c>
      <c r="C4705" s="626">
        <v>1000000</v>
      </c>
      <c r="D4705" s="626">
        <v>0</v>
      </c>
    </row>
    <row r="4706" spans="1:4" x14ac:dyDescent="0.2">
      <c r="A4706">
        <v>4705</v>
      </c>
      <c r="B4706" s="626">
        <v>0</v>
      </c>
      <c r="C4706" s="626">
        <v>1000000</v>
      </c>
      <c r="D4706" s="626">
        <v>0</v>
      </c>
    </row>
    <row r="4707" spans="1:4" x14ac:dyDescent="0.2">
      <c r="A4707">
        <v>4706</v>
      </c>
      <c r="B4707" s="626">
        <v>0</v>
      </c>
      <c r="C4707" s="626">
        <v>1000000</v>
      </c>
      <c r="D4707" s="626">
        <v>0</v>
      </c>
    </row>
    <row r="4708" spans="1:4" x14ac:dyDescent="0.2">
      <c r="A4708">
        <v>4707</v>
      </c>
      <c r="B4708" s="626">
        <v>0</v>
      </c>
      <c r="C4708" s="626">
        <v>1000000</v>
      </c>
      <c r="D4708" s="626">
        <v>0</v>
      </c>
    </row>
    <row r="4709" spans="1:4" x14ac:dyDescent="0.2">
      <c r="A4709">
        <v>4708</v>
      </c>
      <c r="B4709" s="626">
        <v>0</v>
      </c>
      <c r="C4709" s="626">
        <v>1000000</v>
      </c>
      <c r="D4709" s="626">
        <v>0</v>
      </c>
    </row>
    <row r="4710" spans="1:4" x14ac:dyDescent="0.2">
      <c r="A4710">
        <v>4709</v>
      </c>
      <c r="B4710" s="626">
        <v>0</v>
      </c>
      <c r="C4710" s="626">
        <v>1000000</v>
      </c>
      <c r="D4710" s="626">
        <v>0</v>
      </c>
    </row>
    <row r="4711" spans="1:4" x14ac:dyDescent="0.2">
      <c r="A4711">
        <v>4710</v>
      </c>
      <c r="B4711" s="626">
        <v>0</v>
      </c>
      <c r="C4711" s="626">
        <v>1000000</v>
      </c>
      <c r="D4711" s="626">
        <v>0</v>
      </c>
    </row>
    <row r="4712" spans="1:4" x14ac:dyDescent="0.2">
      <c r="A4712">
        <v>4711</v>
      </c>
      <c r="B4712" s="626">
        <v>0</v>
      </c>
      <c r="C4712" s="626">
        <v>1000000</v>
      </c>
      <c r="D4712" s="626">
        <v>0</v>
      </c>
    </row>
    <row r="4713" spans="1:4" x14ac:dyDescent="0.2">
      <c r="A4713">
        <v>4712</v>
      </c>
      <c r="B4713" s="626">
        <v>0</v>
      </c>
      <c r="C4713" s="626">
        <v>1000000</v>
      </c>
      <c r="D4713" s="626">
        <v>0</v>
      </c>
    </row>
    <row r="4714" spans="1:4" x14ac:dyDescent="0.2">
      <c r="A4714">
        <v>4713</v>
      </c>
      <c r="B4714" s="626">
        <v>0</v>
      </c>
      <c r="C4714" s="626">
        <v>1000000</v>
      </c>
      <c r="D4714" s="626">
        <v>0</v>
      </c>
    </row>
    <row r="4715" spans="1:4" x14ac:dyDescent="0.2">
      <c r="A4715">
        <v>4714</v>
      </c>
      <c r="B4715" s="626">
        <v>0</v>
      </c>
      <c r="C4715" s="626">
        <v>1000000</v>
      </c>
      <c r="D4715" s="626">
        <v>0</v>
      </c>
    </row>
    <row r="4716" spans="1:4" x14ac:dyDescent="0.2">
      <c r="A4716">
        <v>4715</v>
      </c>
      <c r="B4716" s="626">
        <v>0</v>
      </c>
      <c r="C4716" s="626">
        <v>1000000</v>
      </c>
      <c r="D4716" s="626">
        <v>0</v>
      </c>
    </row>
    <row r="4717" spans="1:4" x14ac:dyDescent="0.2">
      <c r="A4717">
        <v>4716</v>
      </c>
      <c r="B4717" s="626">
        <v>0</v>
      </c>
      <c r="C4717" s="626">
        <v>1000000</v>
      </c>
      <c r="D4717" s="626">
        <v>0</v>
      </c>
    </row>
    <row r="4718" spans="1:4" x14ac:dyDescent="0.2">
      <c r="A4718">
        <v>4717</v>
      </c>
      <c r="B4718" s="626">
        <v>0</v>
      </c>
      <c r="C4718" s="626">
        <v>1000000</v>
      </c>
      <c r="D4718" s="626">
        <v>0</v>
      </c>
    </row>
    <row r="4719" spans="1:4" x14ac:dyDescent="0.2">
      <c r="A4719">
        <v>4718</v>
      </c>
      <c r="B4719" s="626">
        <v>0</v>
      </c>
      <c r="C4719" s="626">
        <v>1000000</v>
      </c>
      <c r="D4719" s="626">
        <v>0</v>
      </c>
    </row>
    <row r="4720" spans="1:4" x14ac:dyDescent="0.2">
      <c r="A4720">
        <v>4719</v>
      </c>
      <c r="B4720" s="626">
        <v>0</v>
      </c>
      <c r="C4720" s="626">
        <v>1000000</v>
      </c>
      <c r="D4720" s="626">
        <v>0</v>
      </c>
    </row>
    <row r="4721" spans="1:4" x14ac:dyDescent="0.2">
      <c r="A4721">
        <v>4720</v>
      </c>
      <c r="B4721" s="626">
        <v>0</v>
      </c>
      <c r="C4721" s="626">
        <v>1000000</v>
      </c>
      <c r="D4721" s="626">
        <v>0</v>
      </c>
    </row>
    <row r="4722" spans="1:4" x14ac:dyDescent="0.2">
      <c r="A4722">
        <v>4721</v>
      </c>
      <c r="B4722" s="626">
        <v>0</v>
      </c>
      <c r="C4722" s="626">
        <v>1000000</v>
      </c>
      <c r="D4722" s="626">
        <v>0</v>
      </c>
    </row>
    <row r="4723" spans="1:4" x14ac:dyDescent="0.2">
      <c r="A4723">
        <v>4722</v>
      </c>
      <c r="B4723" s="626">
        <v>0</v>
      </c>
      <c r="C4723" s="626">
        <v>1000000</v>
      </c>
      <c r="D4723" s="626">
        <v>0</v>
      </c>
    </row>
    <row r="4724" spans="1:4" x14ac:dyDescent="0.2">
      <c r="A4724">
        <v>4723</v>
      </c>
      <c r="B4724" s="626">
        <v>0</v>
      </c>
      <c r="C4724" s="626">
        <v>1000000</v>
      </c>
      <c r="D4724" s="626">
        <v>0</v>
      </c>
    </row>
    <row r="4725" spans="1:4" x14ac:dyDescent="0.2">
      <c r="A4725">
        <v>4724</v>
      </c>
      <c r="B4725" s="626">
        <v>0</v>
      </c>
      <c r="C4725" s="626">
        <v>1000000</v>
      </c>
      <c r="D4725" s="626">
        <v>0</v>
      </c>
    </row>
    <row r="4726" spans="1:4" x14ac:dyDescent="0.2">
      <c r="A4726">
        <v>4725</v>
      </c>
      <c r="B4726" s="626">
        <v>0</v>
      </c>
      <c r="C4726" s="626">
        <v>1000000</v>
      </c>
      <c r="D4726" s="626">
        <v>0</v>
      </c>
    </row>
    <row r="4727" spans="1:4" x14ac:dyDescent="0.2">
      <c r="A4727">
        <v>4726</v>
      </c>
      <c r="B4727" s="626">
        <v>0</v>
      </c>
      <c r="C4727" s="626">
        <v>1000000</v>
      </c>
      <c r="D4727" s="626">
        <v>0</v>
      </c>
    </row>
    <row r="4728" spans="1:4" x14ac:dyDescent="0.2">
      <c r="A4728">
        <v>4727</v>
      </c>
      <c r="B4728" s="626">
        <v>0</v>
      </c>
      <c r="C4728" s="626">
        <v>1000000</v>
      </c>
      <c r="D4728" s="626">
        <v>0</v>
      </c>
    </row>
    <row r="4729" spans="1:4" x14ac:dyDescent="0.2">
      <c r="A4729">
        <v>4728</v>
      </c>
      <c r="B4729" s="626">
        <v>0</v>
      </c>
      <c r="C4729" s="626">
        <v>1000000</v>
      </c>
      <c r="D4729" s="626">
        <v>0</v>
      </c>
    </row>
    <row r="4730" spans="1:4" x14ac:dyDescent="0.2">
      <c r="A4730">
        <v>4729</v>
      </c>
      <c r="B4730" s="626">
        <v>0</v>
      </c>
      <c r="C4730" s="626">
        <v>1000000</v>
      </c>
      <c r="D4730" s="626">
        <v>0</v>
      </c>
    </row>
    <row r="4731" spans="1:4" x14ac:dyDescent="0.2">
      <c r="A4731">
        <v>4730</v>
      </c>
      <c r="B4731" s="626">
        <v>0</v>
      </c>
      <c r="C4731" s="626">
        <v>1000000</v>
      </c>
      <c r="D4731" s="626">
        <v>0</v>
      </c>
    </row>
    <row r="4732" spans="1:4" x14ac:dyDescent="0.2">
      <c r="A4732">
        <v>4731</v>
      </c>
      <c r="B4732" s="626">
        <v>0</v>
      </c>
      <c r="C4732" s="626">
        <v>1000000</v>
      </c>
      <c r="D4732" s="626">
        <v>0</v>
      </c>
    </row>
    <row r="4733" spans="1:4" x14ac:dyDescent="0.2">
      <c r="A4733">
        <v>4732</v>
      </c>
      <c r="B4733" s="626">
        <v>0</v>
      </c>
      <c r="C4733" s="626">
        <v>1000000</v>
      </c>
      <c r="D4733" s="626">
        <v>0</v>
      </c>
    </row>
    <row r="4734" spans="1:4" x14ac:dyDescent="0.2">
      <c r="A4734">
        <v>4733</v>
      </c>
      <c r="B4734" s="626">
        <v>0</v>
      </c>
      <c r="C4734" s="626">
        <v>1000000</v>
      </c>
      <c r="D4734" s="626">
        <v>0</v>
      </c>
    </row>
    <row r="4735" spans="1:4" x14ac:dyDescent="0.2">
      <c r="A4735">
        <v>4734</v>
      </c>
      <c r="B4735" s="626">
        <v>0</v>
      </c>
      <c r="C4735" s="626">
        <v>1000000</v>
      </c>
      <c r="D4735" s="626">
        <v>0</v>
      </c>
    </row>
    <row r="4736" spans="1:4" x14ac:dyDescent="0.2">
      <c r="A4736">
        <v>4735</v>
      </c>
      <c r="B4736" s="626">
        <v>0</v>
      </c>
      <c r="C4736" s="626">
        <v>1000000</v>
      </c>
      <c r="D4736" s="626">
        <v>0</v>
      </c>
    </row>
    <row r="4737" spans="1:4" x14ac:dyDescent="0.2">
      <c r="A4737">
        <v>4736</v>
      </c>
      <c r="B4737" s="626">
        <v>0</v>
      </c>
      <c r="C4737" s="626">
        <v>1000000</v>
      </c>
      <c r="D4737" s="626">
        <v>0</v>
      </c>
    </row>
    <row r="4738" spans="1:4" x14ac:dyDescent="0.2">
      <c r="A4738">
        <v>4737</v>
      </c>
      <c r="B4738" s="626">
        <v>0</v>
      </c>
      <c r="C4738" s="626">
        <v>1000000</v>
      </c>
      <c r="D4738" s="626">
        <v>0</v>
      </c>
    </row>
    <row r="4739" spans="1:4" x14ac:dyDescent="0.2">
      <c r="A4739">
        <v>4738</v>
      </c>
      <c r="B4739" s="626">
        <v>0</v>
      </c>
      <c r="C4739" s="626">
        <v>1000000</v>
      </c>
      <c r="D4739" s="626">
        <v>0</v>
      </c>
    </row>
    <row r="4740" spans="1:4" x14ac:dyDescent="0.2">
      <c r="A4740">
        <v>4739</v>
      </c>
      <c r="B4740" s="626">
        <v>0</v>
      </c>
      <c r="C4740" s="626">
        <v>1000000</v>
      </c>
      <c r="D4740" s="626">
        <v>0</v>
      </c>
    </row>
    <row r="4741" spans="1:4" x14ac:dyDescent="0.2">
      <c r="A4741">
        <v>4740</v>
      </c>
      <c r="B4741" s="626">
        <v>0</v>
      </c>
      <c r="C4741" s="626">
        <v>1000000</v>
      </c>
      <c r="D4741" s="626">
        <v>0</v>
      </c>
    </row>
    <row r="4742" spans="1:4" x14ac:dyDescent="0.2">
      <c r="A4742">
        <v>4741</v>
      </c>
      <c r="B4742" s="626">
        <v>0</v>
      </c>
      <c r="C4742" s="626">
        <v>1000000</v>
      </c>
      <c r="D4742" s="626">
        <v>0</v>
      </c>
    </row>
    <row r="4743" spans="1:4" x14ac:dyDescent="0.2">
      <c r="A4743">
        <v>4742</v>
      </c>
      <c r="B4743" s="626">
        <v>0</v>
      </c>
      <c r="C4743" s="626">
        <v>1000000</v>
      </c>
      <c r="D4743" s="626">
        <v>0</v>
      </c>
    </row>
    <row r="4744" spans="1:4" x14ac:dyDescent="0.2">
      <c r="A4744">
        <v>4743</v>
      </c>
      <c r="B4744" s="626">
        <v>0</v>
      </c>
      <c r="C4744" s="626">
        <v>1000000</v>
      </c>
      <c r="D4744" s="626">
        <v>0</v>
      </c>
    </row>
    <row r="4745" spans="1:4" x14ac:dyDescent="0.2">
      <c r="A4745">
        <v>4744</v>
      </c>
      <c r="B4745" s="626">
        <v>0</v>
      </c>
      <c r="C4745" s="626">
        <v>1000000</v>
      </c>
      <c r="D4745" s="626">
        <v>0</v>
      </c>
    </row>
    <row r="4746" spans="1:4" x14ac:dyDescent="0.2">
      <c r="A4746">
        <v>4745</v>
      </c>
      <c r="B4746" s="626">
        <v>0</v>
      </c>
      <c r="C4746" s="626">
        <v>1000000</v>
      </c>
      <c r="D4746" s="626">
        <v>0</v>
      </c>
    </row>
    <row r="4747" spans="1:4" x14ac:dyDescent="0.2">
      <c r="A4747">
        <v>4746</v>
      </c>
      <c r="B4747" s="626">
        <v>0</v>
      </c>
      <c r="C4747" s="626">
        <v>1000000</v>
      </c>
      <c r="D4747" s="626">
        <v>0</v>
      </c>
    </row>
    <row r="4748" spans="1:4" x14ac:dyDescent="0.2">
      <c r="A4748">
        <v>4747</v>
      </c>
      <c r="B4748" s="626">
        <v>0</v>
      </c>
      <c r="C4748" s="626">
        <v>1000000</v>
      </c>
      <c r="D4748" s="626">
        <v>0</v>
      </c>
    </row>
    <row r="4749" spans="1:4" x14ac:dyDescent="0.2">
      <c r="A4749">
        <v>4748</v>
      </c>
      <c r="B4749" s="626">
        <v>0</v>
      </c>
      <c r="C4749" s="626">
        <v>1000000</v>
      </c>
      <c r="D4749" s="626">
        <v>0</v>
      </c>
    </row>
    <row r="4750" spans="1:4" x14ac:dyDescent="0.2">
      <c r="A4750">
        <v>4749</v>
      </c>
      <c r="B4750" s="626">
        <v>0</v>
      </c>
      <c r="C4750" s="626">
        <v>1000000</v>
      </c>
      <c r="D4750" s="626">
        <v>0</v>
      </c>
    </row>
    <row r="4751" spans="1:4" x14ac:dyDescent="0.2">
      <c r="A4751">
        <v>4750</v>
      </c>
      <c r="B4751" s="626">
        <v>0</v>
      </c>
      <c r="C4751" s="626">
        <v>1000000</v>
      </c>
      <c r="D4751" s="626">
        <v>0</v>
      </c>
    </row>
    <row r="4752" spans="1:4" x14ac:dyDescent="0.2">
      <c r="A4752">
        <v>4751</v>
      </c>
      <c r="B4752" s="626">
        <v>0</v>
      </c>
      <c r="C4752" s="626">
        <v>1000000</v>
      </c>
      <c r="D4752" s="626">
        <v>0</v>
      </c>
    </row>
    <row r="4753" spans="1:4" x14ac:dyDescent="0.2">
      <c r="A4753">
        <v>4752</v>
      </c>
      <c r="B4753" s="626">
        <v>0</v>
      </c>
      <c r="C4753" s="626">
        <v>1000000</v>
      </c>
      <c r="D4753" s="626">
        <v>0</v>
      </c>
    </row>
    <row r="4754" spans="1:4" x14ac:dyDescent="0.2">
      <c r="A4754">
        <v>4753</v>
      </c>
      <c r="B4754" s="626">
        <v>0</v>
      </c>
      <c r="C4754" s="626">
        <v>1000000</v>
      </c>
      <c r="D4754" s="626">
        <v>0</v>
      </c>
    </row>
    <row r="4755" spans="1:4" x14ac:dyDescent="0.2">
      <c r="A4755">
        <v>4754</v>
      </c>
      <c r="B4755" s="626">
        <v>0</v>
      </c>
      <c r="C4755" s="626">
        <v>1000000</v>
      </c>
      <c r="D4755" s="626">
        <v>0</v>
      </c>
    </row>
    <row r="4756" spans="1:4" x14ac:dyDescent="0.2">
      <c r="A4756">
        <v>4755</v>
      </c>
      <c r="B4756" s="626">
        <v>0</v>
      </c>
      <c r="C4756" s="626">
        <v>1000000</v>
      </c>
      <c r="D4756" s="626">
        <v>0</v>
      </c>
    </row>
    <row r="4757" spans="1:4" x14ac:dyDescent="0.2">
      <c r="A4757">
        <v>4756</v>
      </c>
      <c r="B4757" s="626">
        <v>0</v>
      </c>
      <c r="C4757" s="626">
        <v>1000000</v>
      </c>
      <c r="D4757" s="626">
        <v>0</v>
      </c>
    </row>
    <row r="4758" spans="1:4" x14ac:dyDescent="0.2">
      <c r="A4758">
        <v>4757</v>
      </c>
      <c r="B4758" s="626">
        <v>0</v>
      </c>
      <c r="C4758" s="626">
        <v>1000000</v>
      </c>
      <c r="D4758" s="626">
        <v>0</v>
      </c>
    </row>
    <row r="4759" spans="1:4" x14ac:dyDescent="0.2">
      <c r="A4759">
        <v>4758</v>
      </c>
      <c r="B4759" s="626">
        <v>0</v>
      </c>
      <c r="C4759" s="626">
        <v>1000000</v>
      </c>
      <c r="D4759" s="626">
        <v>0</v>
      </c>
    </row>
    <row r="4760" spans="1:4" x14ac:dyDescent="0.2">
      <c r="A4760">
        <v>4759</v>
      </c>
      <c r="B4760" s="626">
        <v>0</v>
      </c>
      <c r="C4760" s="626">
        <v>1000000</v>
      </c>
      <c r="D4760" s="626">
        <v>0</v>
      </c>
    </row>
    <row r="4761" spans="1:4" x14ac:dyDescent="0.2">
      <c r="A4761">
        <v>4760</v>
      </c>
      <c r="B4761" s="626">
        <v>0</v>
      </c>
      <c r="C4761" s="626">
        <v>1000000</v>
      </c>
      <c r="D4761" s="626">
        <v>0</v>
      </c>
    </row>
    <row r="4762" spans="1:4" x14ac:dyDescent="0.2">
      <c r="A4762">
        <v>4761</v>
      </c>
      <c r="B4762" s="626">
        <v>0</v>
      </c>
      <c r="C4762" s="626">
        <v>1000000</v>
      </c>
      <c r="D4762" s="626">
        <v>0</v>
      </c>
    </row>
    <row r="4763" spans="1:4" x14ac:dyDescent="0.2">
      <c r="A4763">
        <v>4762</v>
      </c>
      <c r="B4763" s="626">
        <v>0</v>
      </c>
      <c r="C4763" s="626">
        <v>1000000</v>
      </c>
      <c r="D4763" s="626">
        <v>0</v>
      </c>
    </row>
    <row r="4764" spans="1:4" x14ac:dyDescent="0.2">
      <c r="A4764">
        <v>4763</v>
      </c>
      <c r="B4764" s="626">
        <v>0</v>
      </c>
      <c r="C4764" s="626">
        <v>1000000</v>
      </c>
      <c r="D4764" s="626">
        <v>0</v>
      </c>
    </row>
    <row r="4765" spans="1:4" x14ac:dyDescent="0.2">
      <c r="A4765">
        <v>4764</v>
      </c>
      <c r="B4765" s="626">
        <v>0</v>
      </c>
      <c r="C4765" s="626">
        <v>1000000</v>
      </c>
      <c r="D4765" s="626">
        <v>0</v>
      </c>
    </row>
    <row r="4766" spans="1:4" x14ac:dyDescent="0.2">
      <c r="A4766">
        <v>4765</v>
      </c>
      <c r="B4766" s="626">
        <v>0</v>
      </c>
      <c r="C4766" s="626">
        <v>1000000</v>
      </c>
      <c r="D4766" s="626">
        <v>0</v>
      </c>
    </row>
    <row r="4767" spans="1:4" x14ac:dyDescent="0.2">
      <c r="A4767">
        <v>4766</v>
      </c>
      <c r="B4767" s="626">
        <v>0</v>
      </c>
      <c r="C4767" s="626">
        <v>1000000</v>
      </c>
      <c r="D4767" s="626">
        <v>0</v>
      </c>
    </row>
    <row r="4768" spans="1:4" x14ac:dyDescent="0.2">
      <c r="A4768">
        <v>4767</v>
      </c>
      <c r="B4768" s="626">
        <v>0</v>
      </c>
      <c r="C4768" s="626">
        <v>1000000</v>
      </c>
      <c r="D4768" s="626">
        <v>0</v>
      </c>
    </row>
    <row r="4769" spans="1:4" x14ac:dyDescent="0.2">
      <c r="A4769">
        <v>4768</v>
      </c>
      <c r="B4769" s="626">
        <v>0</v>
      </c>
      <c r="C4769" s="626">
        <v>1000000</v>
      </c>
      <c r="D4769" s="626">
        <v>0</v>
      </c>
    </row>
    <row r="4770" spans="1:4" x14ac:dyDescent="0.2">
      <c r="A4770">
        <v>4769</v>
      </c>
      <c r="B4770" s="626">
        <v>0</v>
      </c>
      <c r="C4770" s="626">
        <v>1000000</v>
      </c>
      <c r="D4770" s="626">
        <v>0</v>
      </c>
    </row>
    <row r="4771" spans="1:4" x14ac:dyDescent="0.2">
      <c r="A4771">
        <v>4770</v>
      </c>
      <c r="B4771" s="626">
        <v>0</v>
      </c>
      <c r="C4771" s="626">
        <v>1000000</v>
      </c>
      <c r="D4771" s="626">
        <v>0</v>
      </c>
    </row>
    <row r="4772" spans="1:4" x14ac:dyDescent="0.2">
      <c r="A4772">
        <v>4771</v>
      </c>
      <c r="B4772" s="626">
        <v>0</v>
      </c>
      <c r="C4772" s="626">
        <v>1000000</v>
      </c>
      <c r="D4772" s="626">
        <v>0</v>
      </c>
    </row>
    <row r="4773" spans="1:4" x14ac:dyDescent="0.2">
      <c r="A4773">
        <v>4772</v>
      </c>
      <c r="B4773" s="626">
        <v>0</v>
      </c>
      <c r="C4773" s="626">
        <v>1000000</v>
      </c>
      <c r="D4773" s="626">
        <v>0</v>
      </c>
    </row>
    <row r="4774" spans="1:4" x14ac:dyDescent="0.2">
      <c r="A4774">
        <v>4773</v>
      </c>
      <c r="B4774" s="626">
        <v>0</v>
      </c>
      <c r="C4774" s="626">
        <v>1000000</v>
      </c>
      <c r="D4774" s="626">
        <v>0</v>
      </c>
    </row>
    <row r="4775" spans="1:4" x14ac:dyDescent="0.2">
      <c r="A4775">
        <v>4774</v>
      </c>
      <c r="B4775" s="626">
        <v>0</v>
      </c>
      <c r="C4775" s="626">
        <v>1000000</v>
      </c>
      <c r="D4775" s="626">
        <v>0</v>
      </c>
    </row>
    <row r="4776" spans="1:4" x14ac:dyDescent="0.2">
      <c r="A4776">
        <v>4775</v>
      </c>
      <c r="B4776" s="626">
        <v>0</v>
      </c>
      <c r="C4776" s="626">
        <v>1000000</v>
      </c>
      <c r="D4776" s="626">
        <v>0</v>
      </c>
    </row>
    <row r="4777" spans="1:4" x14ac:dyDescent="0.2">
      <c r="A4777">
        <v>4776</v>
      </c>
      <c r="B4777" s="626">
        <v>0</v>
      </c>
      <c r="C4777" s="626">
        <v>1000000</v>
      </c>
      <c r="D4777" s="626">
        <v>0</v>
      </c>
    </row>
    <row r="4778" spans="1:4" x14ac:dyDescent="0.2">
      <c r="A4778">
        <v>4777</v>
      </c>
      <c r="B4778" s="626">
        <v>0</v>
      </c>
      <c r="C4778" s="626">
        <v>1000000</v>
      </c>
      <c r="D4778" s="626">
        <v>0</v>
      </c>
    </row>
    <row r="4779" spans="1:4" x14ac:dyDescent="0.2">
      <c r="A4779">
        <v>4778</v>
      </c>
      <c r="B4779" s="626">
        <v>0</v>
      </c>
      <c r="C4779" s="626">
        <v>1000000</v>
      </c>
      <c r="D4779" s="626">
        <v>0</v>
      </c>
    </row>
    <row r="4780" spans="1:4" x14ac:dyDescent="0.2">
      <c r="A4780">
        <v>4779</v>
      </c>
      <c r="B4780" s="626">
        <v>0</v>
      </c>
      <c r="C4780" s="626">
        <v>1000000</v>
      </c>
      <c r="D4780" s="626">
        <v>0</v>
      </c>
    </row>
    <row r="4781" spans="1:4" x14ac:dyDescent="0.2">
      <c r="A4781">
        <v>4780</v>
      </c>
      <c r="B4781" s="626">
        <v>0</v>
      </c>
      <c r="C4781" s="626">
        <v>1000000</v>
      </c>
      <c r="D4781" s="626">
        <v>0</v>
      </c>
    </row>
    <row r="4782" spans="1:4" x14ac:dyDescent="0.2">
      <c r="A4782">
        <v>4781</v>
      </c>
      <c r="B4782" s="626">
        <v>0</v>
      </c>
      <c r="C4782" s="626">
        <v>1000000</v>
      </c>
      <c r="D4782" s="626">
        <v>0</v>
      </c>
    </row>
    <row r="4783" spans="1:4" x14ac:dyDescent="0.2">
      <c r="A4783">
        <v>4782</v>
      </c>
      <c r="B4783" s="626">
        <v>0</v>
      </c>
      <c r="C4783" s="626">
        <v>1000000</v>
      </c>
      <c r="D4783" s="626">
        <v>0</v>
      </c>
    </row>
    <row r="4784" spans="1:4" x14ac:dyDescent="0.2">
      <c r="A4784">
        <v>4783</v>
      </c>
      <c r="B4784" s="626">
        <v>0</v>
      </c>
      <c r="C4784" s="626">
        <v>1000000</v>
      </c>
      <c r="D4784" s="626">
        <v>0</v>
      </c>
    </row>
    <row r="4785" spans="1:4" x14ac:dyDescent="0.2">
      <c r="A4785">
        <v>4784</v>
      </c>
      <c r="B4785" s="626">
        <v>0</v>
      </c>
      <c r="C4785" s="626">
        <v>1000000</v>
      </c>
      <c r="D4785" s="626">
        <v>0</v>
      </c>
    </row>
    <row r="4786" spans="1:4" x14ac:dyDescent="0.2">
      <c r="A4786">
        <v>4785</v>
      </c>
      <c r="B4786" s="626">
        <v>0</v>
      </c>
      <c r="C4786" s="626">
        <v>1000000</v>
      </c>
      <c r="D4786" s="626">
        <v>0</v>
      </c>
    </row>
    <row r="4787" spans="1:4" x14ac:dyDescent="0.2">
      <c r="A4787">
        <v>4786</v>
      </c>
      <c r="B4787" s="626">
        <v>0</v>
      </c>
      <c r="C4787" s="626">
        <v>1000000</v>
      </c>
      <c r="D4787" s="626">
        <v>0</v>
      </c>
    </row>
    <row r="4788" spans="1:4" x14ac:dyDescent="0.2">
      <c r="A4788">
        <v>4787</v>
      </c>
      <c r="B4788" s="626">
        <v>0</v>
      </c>
      <c r="C4788" s="626">
        <v>1000000</v>
      </c>
      <c r="D4788" s="626">
        <v>0</v>
      </c>
    </row>
    <row r="4789" spans="1:4" x14ac:dyDescent="0.2">
      <c r="A4789">
        <v>4788</v>
      </c>
      <c r="B4789" s="626">
        <v>0</v>
      </c>
      <c r="C4789" s="626">
        <v>1000000</v>
      </c>
      <c r="D4789" s="626">
        <v>0</v>
      </c>
    </row>
    <row r="4790" spans="1:4" x14ac:dyDescent="0.2">
      <c r="A4790">
        <v>4789</v>
      </c>
      <c r="B4790" s="626">
        <v>0</v>
      </c>
      <c r="C4790" s="626">
        <v>1000000</v>
      </c>
      <c r="D4790" s="626">
        <v>0</v>
      </c>
    </row>
    <row r="4791" spans="1:4" x14ac:dyDescent="0.2">
      <c r="A4791">
        <v>4790</v>
      </c>
      <c r="B4791" s="626">
        <v>0</v>
      </c>
      <c r="C4791" s="626">
        <v>1000000</v>
      </c>
      <c r="D4791" s="626">
        <v>0</v>
      </c>
    </row>
    <row r="4792" spans="1:4" x14ac:dyDescent="0.2">
      <c r="A4792">
        <v>4791</v>
      </c>
      <c r="B4792" s="626">
        <v>0</v>
      </c>
      <c r="C4792" s="626">
        <v>1000000</v>
      </c>
      <c r="D4792" s="626">
        <v>0</v>
      </c>
    </row>
    <row r="4793" spans="1:4" x14ac:dyDescent="0.2">
      <c r="A4793">
        <v>4792</v>
      </c>
      <c r="B4793" s="626">
        <v>0</v>
      </c>
      <c r="C4793" s="626">
        <v>1000000</v>
      </c>
      <c r="D4793" s="626">
        <v>0</v>
      </c>
    </row>
    <row r="4794" spans="1:4" x14ac:dyDescent="0.2">
      <c r="A4794">
        <v>4793</v>
      </c>
      <c r="B4794" s="626">
        <v>0</v>
      </c>
      <c r="C4794" s="626">
        <v>1000000</v>
      </c>
      <c r="D4794" s="626">
        <v>0</v>
      </c>
    </row>
    <row r="4795" spans="1:4" x14ac:dyDescent="0.2">
      <c r="A4795">
        <v>4794</v>
      </c>
      <c r="B4795" s="626">
        <v>0</v>
      </c>
      <c r="C4795" s="626">
        <v>1000000</v>
      </c>
      <c r="D4795" s="626">
        <v>0</v>
      </c>
    </row>
    <row r="4796" spans="1:4" x14ac:dyDescent="0.2">
      <c r="A4796">
        <v>4795</v>
      </c>
      <c r="B4796" s="626">
        <v>0</v>
      </c>
      <c r="C4796" s="626">
        <v>1000000</v>
      </c>
      <c r="D4796" s="626">
        <v>0</v>
      </c>
    </row>
    <row r="4797" spans="1:4" x14ac:dyDescent="0.2">
      <c r="A4797">
        <v>4796</v>
      </c>
      <c r="B4797" s="626">
        <v>0</v>
      </c>
      <c r="C4797" s="626">
        <v>1000000</v>
      </c>
      <c r="D4797" s="626">
        <v>0</v>
      </c>
    </row>
    <row r="4798" spans="1:4" x14ac:dyDescent="0.2">
      <c r="A4798">
        <v>4797</v>
      </c>
      <c r="B4798" s="626">
        <v>0</v>
      </c>
      <c r="C4798" s="626">
        <v>1000000</v>
      </c>
      <c r="D4798" s="626">
        <v>0</v>
      </c>
    </row>
    <row r="4799" spans="1:4" x14ac:dyDescent="0.2">
      <c r="A4799">
        <v>4798</v>
      </c>
      <c r="B4799" s="626">
        <v>0</v>
      </c>
      <c r="C4799" s="626">
        <v>1000000</v>
      </c>
      <c r="D4799" s="626">
        <v>0</v>
      </c>
    </row>
    <row r="4800" spans="1:4" x14ac:dyDescent="0.2">
      <c r="A4800">
        <v>4799</v>
      </c>
      <c r="B4800" s="626">
        <v>0</v>
      </c>
      <c r="C4800" s="626">
        <v>1000000</v>
      </c>
      <c r="D4800" s="626">
        <v>0</v>
      </c>
    </row>
    <row r="4801" spans="1:4" x14ac:dyDescent="0.2">
      <c r="A4801">
        <v>4800</v>
      </c>
      <c r="B4801" s="626">
        <v>0</v>
      </c>
      <c r="C4801" s="626">
        <v>1000000</v>
      </c>
      <c r="D4801" s="626">
        <v>0</v>
      </c>
    </row>
    <row r="4802" spans="1:4" x14ac:dyDescent="0.2">
      <c r="A4802">
        <v>4801</v>
      </c>
      <c r="B4802" s="626">
        <v>0</v>
      </c>
      <c r="C4802" s="626">
        <v>1000000</v>
      </c>
      <c r="D4802" s="626">
        <v>0</v>
      </c>
    </row>
    <row r="4803" spans="1:4" x14ac:dyDescent="0.2">
      <c r="A4803">
        <v>4802</v>
      </c>
      <c r="B4803" s="626">
        <v>0</v>
      </c>
      <c r="C4803" s="626">
        <v>1000000</v>
      </c>
      <c r="D4803" s="626">
        <v>0</v>
      </c>
    </row>
    <row r="4804" spans="1:4" x14ac:dyDescent="0.2">
      <c r="A4804">
        <v>4803</v>
      </c>
      <c r="B4804" s="626">
        <v>0</v>
      </c>
      <c r="C4804" s="626">
        <v>1000000</v>
      </c>
      <c r="D4804" s="626">
        <v>0</v>
      </c>
    </row>
    <row r="4805" spans="1:4" x14ac:dyDescent="0.2">
      <c r="A4805">
        <v>4804</v>
      </c>
      <c r="B4805" s="626">
        <v>0</v>
      </c>
      <c r="C4805" s="626">
        <v>1000000</v>
      </c>
      <c r="D4805" s="626">
        <v>0</v>
      </c>
    </row>
    <row r="4806" spans="1:4" x14ac:dyDescent="0.2">
      <c r="A4806">
        <v>4805</v>
      </c>
      <c r="B4806" s="626">
        <v>0</v>
      </c>
      <c r="C4806" s="626">
        <v>1000000</v>
      </c>
      <c r="D4806" s="626">
        <v>0</v>
      </c>
    </row>
    <row r="4807" spans="1:4" x14ac:dyDescent="0.2">
      <c r="A4807">
        <v>4806</v>
      </c>
      <c r="B4807" s="626">
        <v>0</v>
      </c>
      <c r="C4807" s="626">
        <v>1000000</v>
      </c>
      <c r="D4807" s="626">
        <v>0</v>
      </c>
    </row>
    <row r="4808" spans="1:4" x14ac:dyDescent="0.2">
      <c r="A4808">
        <v>4807</v>
      </c>
      <c r="B4808" s="626">
        <v>0</v>
      </c>
      <c r="C4808" s="626">
        <v>1000000</v>
      </c>
      <c r="D4808" s="626">
        <v>0</v>
      </c>
    </row>
    <row r="4809" spans="1:4" x14ac:dyDescent="0.2">
      <c r="A4809">
        <v>4808</v>
      </c>
      <c r="B4809" s="626">
        <v>0</v>
      </c>
      <c r="C4809" s="626">
        <v>1000000</v>
      </c>
      <c r="D4809" s="626">
        <v>0</v>
      </c>
    </row>
    <row r="4810" spans="1:4" x14ac:dyDescent="0.2">
      <c r="A4810">
        <v>4809</v>
      </c>
      <c r="B4810" s="626">
        <v>0</v>
      </c>
      <c r="C4810" s="626">
        <v>1000000</v>
      </c>
      <c r="D4810" s="626">
        <v>0</v>
      </c>
    </row>
    <row r="4811" spans="1:4" x14ac:dyDescent="0.2">
      <c r="A4811">
        <v>4810</v>
      </c>
      <c r="B4811" s="626">
        <v>0</v>
      </c>
      <c r="C4811" s="626">
        <v>1000000</v>
      </c>
      <c r="D4811" s="626">
        <v>0</v>
      </c>
    </row>
    <row r="4812" spans="1:4" x14ac:dyDescent="0.2">
      <c r="A4812">
        <v>4811</v>
      </c>
      <c r="B4812" s="626">
        <v>0</v>
      </c>
      <c r="C4812" s="626">
        <v>1000000</v>
      </c>
      <c r="D4812" s="626">
        <v>0</v>
      </c>
    </row>
    <row r="4813" spans="1:4" x14ac:dyDescent="0.2">
      <c r="A4813">
        <v>4812</v>
      </c>
      <c r="B4813" s="626">
        <v>0</v>
      </c>
      <c r="C4813" s="626">
        <v>1000000</v>
      </c>
      <c r="D4813" s="626">
        <v>0</v>
      </c>
    </row>
    <row r="4814" spans="1:4" x14ac:dyDescent="0.2">
      <c r="A4814">
        <v>4813</v>
      </c>
      <c r="B4814" s="626">
        <v>0</v>
      </c>
      <c r="C4814" s="626">
        <v>1000000</v>
      </c>
      <c r="D4814" s="626">
        <v>0</v>
      </c>
    </row>
    <row r="4815" spans="1:4" x14ac:dyDescent="0.2">
      <c r="A4815">
        <v>4814</v>
      </c>
      <c r="B4815" s="626">
        <v>0</v>
      </c>
      <c r="C4815" s="626">
        <v>1000000</v>
      </c>
      <c r="D4815" s="626">
        <v>0</v>
      </c>
    </row>
    <row r="4816" spans="1:4" x14ac:dyDescent="0.2">
      <c r="A4816">
        <v>4815</v>
      </c>
      <c r="B4816" s="626">
        <v>0</v>
      </c>
      <c r="C4816" s="626">
        <v>1000000</v>
      </c>
      <c r="D4816" s="626">
        <v>0</v>
      </c>
    </row>
    <row r="4817" spans="1:4" x14ac:dyDescent="0.2">
      <c r="A4817">
        <v>4816</v>
      </c>
      <c r="B4817" s="626">
        <v>0</v>
      </c>
      <c r="C4817" s="626">
        <v>1000000</v>
      </c>
      <c r="D4817" s="626">
        <v>0</v>
      </c>
    </row>
    <row r="4818" spans="1:4" x14ac:dyDescent="0.2">
      <c r="A4818">
        <v>4817</v>
      </c>
      <c r="B4818" s="626">
        <v>0</v>
      </c>
      <c r="C4818" s="626">
        <v>1000000</v>
      </c>
      <c r="D4818" s="626">
        <v>0</v>
      </c>
    </row>
    <row r="4819" spans="1:4" x14ac:dyDescent="0.2">
      <c r="A4819">
        <v>4818</v>
      </c>
      <c r="B4819" s="626">
        <v>0</v>
      </c>
      <c r="C4819" s="626">
        <v>1000000</v>
      </c>
      <c r="D4819" s="626">
        <v>0</v>
      </c>
    </row>
    <row r="4820" spans="1:4" x14ac:dyDescent="0.2">
      <c r="A4820">
        <v>4819</v>
      </c>
      <c r="B4820" s="626">
        <v>0</v>
      </c>
      <c r="C4820" s="626">
        <v>1000000</v>
      </c>
      <c r="D4820" s="626">
        <v>0</v>
      </c>
    </row>
    <row r="4821" spans="1:4" x14ac:dyDescent="0.2">
      <c r="A4821">
        <v>4820</v>
      </c>
      <c r="B4821" s="626">
        <v>0</v>
      </c>
      <c r="C4821" s="626">
        <v>1000000</v>
      </c>
      <c r="D4821" s="626">
        <v>0</v>
      </c>
    </row>
    <row r="4822" spans="1:4" x14ac:dyDescent="0.2">
      <c r="A4822">
        <v>4821</v>
      </c>
      <c r="B4822" s="626">
        <v>0</v>
      </c>
      <c r="C4822" s="626">
        <v>1000000</v>
      </c>
      <c r="D4822" s="626">
        <v>0</v>
      </c>
    </row>
    <row r="4823" spans="1:4" x14ac:dyDescent="0.2">
      <c r="A4823">
        <v>4822</v>
      </c>
      <c r="B4823" s="626">
        <v>0</v>
      </c>
      <c r="C4823" s="626">
        <v>1000000</v>
      </c>
      <c r="D4823" s="626">
        <v>0</v>
      </c>
    </row>
    <row r="4824" spans="1:4" x14ac:dyDescent="0.2">
      <c r="A4824">
        <v>4823</v>
      </c>
      <c r="B4824" s="626">
        <v>0</v>
      </c>
      <c r="C4824" s="626">
        <v>1000000</v>
      </c>
      <c r="D4824" s="626">
        <v>0</v>
      </c>
    </row>
    <row r="4825" spans="1:4" x14ac:dyDescent="0.2">
      <c r="A4825">
        <v>4824</v>
      </c>
      <c r="B4825" s="626">
        <v>0</v>
      </c>
      <c r="C4825" s="626">
        <v>1000000</v>
      </c>
      <c r="D4825" s="626">
        <v>0</v>
      </c>
    </row>
    <row r="4826" spans="1:4" x14ac:dyDescent="0.2">
      <c r="A4826">
        <v>4825</v>
      </c>
      <c r="B4826" s="626">
        <v>0</v>
      </c>
      <c r="C4826" s="626">
        <v>1000000</v>
      </c>
      <c r="D4826" s="626">
        <v>0</v>
      </c>
    </row>
    <row r="4827" spans="1:4" x14ac:dyDescent="0.2">
      <c r="A4827">
        <v>4826</v>
      </c>
      <c r="B4827" s="626">
        <v>0</v>
      </c>
      <c r="C4827" s="626">
        <v>1000000</v>
      </c>
      <c r="D4827" s="626">
        <v>0</v>
      </c>
    </row>
    <row r="4828" spans="1:4" x14ac:dyDescent="0.2">
      <c r="A4828">
        <v>4827</v>
      </c>
      <c r="B4828" s="626">
        <v>0</v>
      </c>
      <c r="C4828" s="626">
        <v>1000000</v>
      </c>
      <c r="D4828" s="626">
        <v>0</v>
      </c>
    </row>
    <row r="4829" spans="1:4" x14ac:dyDescent="0.2">
      <c r="A4829">
        <v>4828</v>
      </c>
      <c r="B4829" s="626">
        <v>0</v>
      </c>
      <c r="C4829" s="626">
        <v>1000000</v>
      </c>
      <c r="D4829" s="626">
        <v>0</v>
      </c>
    </row>
    <row r="4830" spans="1:4" x14ac:dyDescent="0.2">
      <c r="A4830">
        <v>4829</v>
      </c>
      <c r="B4830" s="626">
        <v>0</v>
      </c>
      <c r="C4830" s="626">
        <v>1000000</v>
      </c>
      <c r="D4830" s="626">
        <v>0</v>
      </c>
    </row>
    <row r="4831" spans="1:4" x14ac:dyDescent="0.2">
      <c r="A4831">
        <v>4830</v>
      </c>
      <c r="B4831" s="626">
        <v>0</v>
      </c>
      <c r="C4831" s="626">
        <v>1000000</v>
      </c>
      <c r="D4831" s="626">
        <v>0</v>
      </c>
    </row>
    <row r="4832" spans="1:4" x14ac:dyDescent="0.2">
      <c r="A4832">
        <v>4831</v>
      </c>
      <c r="B4832" s="626">
        <v>0</v>
      </c>
      <c r="C4832" s="626">
        <v>1000000</v>
      </c>
      <c r="D4832" s="626">
        <v>0</v>
      </c>
    </row>
    <row r="4833" spans="1:4" x14ac:dyDescent="0.2">
      <c r="A4833">
        <v>4832</v>
      </c>
      <c r="B4833" s="626">
        <v>0</v>
      </c>
      <c r="C4833" s="626">
        <v>1000000</v>
      </c>
      <c r="D4833" s="626">
        <v>0</v>
      </c>
    </row>
    <row r="4834" spans="1:4" x14ac:dyDescent="0.2">
      <c r="A4834">
        <v>4833</v>
      </c>
      <c r="B4834" s="626">
        <v>0</v>
      </c>
      <c r="C4834" s="626">
        <v>1000000</v>
      </c>
      <c r="D4834" s="626">
        <v>0</v>
      </c>
    </row>
    <row r="4835" spans="1:4" x14ac:dyDescent="0.2">
      <c r="A4835">
        <v>4834</v>
      </c>
      <c r="B4835" s="626">
        <v>0</v>
      </c>
      <c r="C4835" s="626">
        <v>1000000</v>
      </c>
      <c r="D4835" s="626">
        <v>0</v>
      </c>
    </row>
    <row r="4836" spans="1:4" x14ac:dyDescent="0.2">
      <c r="A4836">
        <v>4835</v>
      </c>
      <c r="B4836" s="626">
        <v>0</v>
      </c>
      <c r="C4836" s="626">
        <v>1000000</v>
      </c>
      <c r="D4836" s="626">
        <v>0</v>
      </c>
    </row>
    <row r="4837" spans="1:4" x14ac:dyDescent="0.2">
      <c r="A4837">
        <v>4836</v>
      </c>
      <c r="B4837" s="626">
        <v>0</v>
      </c>
      <c r="C4837" s="626">
        <v>1000000</v>
      </c>
      <c r="D4837" s="626">
        <v>0</v>
      </c>
    </row>
    <row r="4838" spans="1:4" x14ac:dyDescent="0.2">
      <c r="A4838">
        <v>4837</v>
      </c>
      <c r="B4838" s="626">
        <v>0</v>
      </c>
      <c r="C4838" s="626">
        <v>1000000</v>
      </c>
      <c r="D4838" s="626">
        <v>0</v>
      </c>
    </row>
    <row r="4839" spans="1:4" x14ac:dyDescent="0.2">
      <c r="A4839">
        <v>4838</v>
      </c>
      <c r="B4839" s="626">
        <v>0</v>
      </c>
      <c r="C4839" s="626">
        <v>1000000</v>
      </c>
      <c r="D4839" s="626">
        <v>0</v>
      </c>
    </row>
    <row r="4840" spans="1:4" x14ac:dyDescent="0.2">
      <c r="A4840">
        <v>4839</v>
      </c>
      <c r="B4840" s="626">
        <v>0</v>
      </c>
      <c r="C4840" s="626">
        <v>1000000</v>
      </c>
      <c r="D4840" s="626">
        <v>0</v>
      </c>
    </row>
    <row r="4841" spans="1:4" x14ac:dyDescent="0.2">
      <c r="A4841">
        <v>4840</v>
      </c>
      <c r="B4841" s="626">
        <v>0</v>
      </c>
      <c r="C4841" s="626">
        <v>1000000</v>
      </c>
      <c r="D4841" s="626">
        <v>0</v>
      </c>
    </row>
    <row r="4842" spans="1:4" x14ac:dyDescent="0.2">
      <c r="A4842">
        <v>4841</v>
      </c>
      <c r="B4842" s="626">
        <v>0</v>
      </c>
      <c r="C4842" s="626">
        <v>1000000</v>
      </c>
      <c r="D4842" s="626">
        <v>0</v>
      </c>
    </row>
    <row r="4843" spans="1:4" x14ac:dyDescent="0.2">
      <c r="A4843">
        <v>4842</v>
      </c>
      <c r="B4843" s="626">
        <v>0</v>
      </c>
      <c r="C4843" s="626">
        <v>1000000</v>
      </c>
      <c r="D4843" s="626">
        <v>0</v>
      </c>
    </row>
    <row r="4844" spans="1:4" x14ac:dyDescent="0.2">
      <c r="A4844">
        <v>4843</v>
      </c>
      <c r="B4844" s="626">
        <v>0</v>
      </c>
      <c r="C4844" s="626">
        <v>1000000</v>
      </c>
      <c r="D4844" s="626">
        <v>0</v>
      </c>
    </row>
    <row r="4845" spans="1:4" x14ac:dyDescent="0.2">
      <c r="A4845">
        <v>4844</v>
      </c>
      <c r="B4845" s="626">
        <v>0</v>
      </c>
      <c r="C4845" s="626">
        <v>1000000</v>
      </c>
      <c r="D4845" s="626">
        <v>0</v>
      </c>
    </row>
    <row r="4846" spans="1:4" x14ac:dyDescent="0.2">
      <c r="A4846">
        <v>4845</v>
      </c>
      <c r="B4846" s="626">
        <v>0</v>
      </c>
      <c r="C4846" s="626">
        <v>1000000</v>
      </c>
      <c r="D4846" s="626">
        <v>0</v>
      </c>
    </row>
    <row r="4847" spans="1:4" x14ac:dyDescent="0.2">
      <c r="A4847">
        <v>4846</v>
      </c>
      <c r="B4847" s="626">
        <v>0</v>
      </c>
      <c r="C4847" s="626">
        <v>1000000</v>
      </c>
      <c r="D4847" s="626">
        <v>0</v>
      </c>
    </row>
    <row r="4848" spans="1:4" x14ac:dyDescent="0.2">
      <c r="A4848">
        <v>4847</v>
      </c>
      <c r="B4848" s="626">
        <v>0</v>
      </c>
      <c r="C4848" s="626">
        <v>1000000</v>
      </c>
      <c r="D4848" s="626">
        <v>0</v>
      </c>
    </row>
    <row r="4849" spans="1:4" x14ac:dyDescent="0.2">
      <c r="A4849">
        <v>4848</v>
      </c>
      <c r="B4849" s="626">
        <v>0</v>
      </c>
      <c r="C4849" s="626">
        <v>1000000</v>
      </c>
      <c r="D4849" s="626">
        <v>0</v>
      </c>
    </row>
    <row r="4850" spans="1:4" x14ac:dyDescent="0.2">
      <c r="A4850">
        <v>4849</v>
      </c>
      <c r="B4850" s="626">
        <v>0</v>
      </c>
      <c r="C4850" s="626">
        <v>1000000</v>
      </c>
      <c r="D4850" s="626">
        <v>0</v>
      </c>
    </row>
    <row r="4851" spans="1:4" x14ac:dyDescent="0.2">
      <c r="A4851">
        <v>4850</v>
      </c>
      <c r="B4851" s="626">
        <v>0</v>
      </c>
      <c r="C4851" s="626">
        <v>1000000</v>
      </c>
      <c r="D4851" s="626">
        <v>0</v>
      </c>
    </row>
    <row r="4852" spans="1:4" x14ac:dyDescent="0.2">
      <c r="A4852">
        <v>4851</v>
      </c>
      <c r="B4852" s="626">
        <v>0</v>
      </c>
      <c r="C4852" s="626">
        <v>1000000</v>
      </c>
      <c r="D4852" s="626">
        <v>0</v>
      </c>
    </row>
    <row r="4853" spans="1:4" x14ac:dyDescent="0.2">
      <c r="A4853">
        <v>4852</v>
      </c>
      <c r="B4853" s="626">
        <v>0</v>
      </c>
      <c r="C4853" s="626">
        <v>1000000</v>
      </c>
      <c r="D4853" s="626">
        <v>0</v>
      </c>
    </row>
    <row r="4854" spans="1:4" x14ac:dyDescent="0.2">
      <c r="A4854">
        <v>4853</v>
      </c>
      <c r="B4854" s="626">
        <v>0</v>
      </c>
      <c r="C4854" s="626">
        <v>1000000</v>
      </c>
      <c r="D4854" s="626">
        <v>0</v>
      </c>
    </row>
    <row r="4855" spans="1:4" x14ac:dyDescent="0.2">
      <c r="A4855">
        <v>4854</v>
      </c>
      <c r="B4855" s="626">
        <v>0</v>
      </c>
      <c r="C4855" s="626">
        <v>1000000</v>
      </c>
      <c r="D4855" s="626">
        <v>0</v>
      </c>
    </row>
    <row r="4856" spans="1:4" x14ac:dyDescent="0.2">
      <c r="A4856">
        <v>4855</v>
      </c>
      <c r="B4856" s="626">
        <v>0</v>
      </c>
      <c r="C4856" s="626">
        <v>1000000</v>
      </c>
      <c r="D4856" s="626">
        <v>0</v>
      </c>
    </row>
    <row r="4857" spans="1:4" x14ac:dyDescent="0.2">
      <c r="A4857">
        <v>4856</v>
      </c>
      <c r="B4857" s="626">
        <v>0</v>
      </c>
      <c r="C4857" s="626">
        <v>1000000</v>
      </c>
      <c r="D4857" s="626">
        <v>0</v>
      </c>
    </row>
    <row r="4858" spans="1:4" x14ac:dyDescent="0.2">
      <c r="A4858">
        <v>4857</v>
      </c>
      <c r="B4858" s="626">
        <v>0</v>
      </c>
      <c r="C4858" s="626">
        <v>1000000</v>
      </c>
      <c r="D4858" s="626">
        <v>0</v>
      </c>
    </row>
    <row r="4859" spans="1:4" x14ac:dyDescent="0.2">
      <c r="A4859">
        <v>4858</v>
      </c>
      <c r="B4859" s="626">
        <v>0</v>
      </c>
      <c r="C4859" s="626">
        <v>1000000</v>
      </c>
      <c r="D4859" s="626">
        <v>0</v>
      </c>
    </row>
    <row r="4860" spans="1:4" x14ac:dyDescent="0.2">
      <c r="A4860">
        <v>4859</v>
      </c>
      <c r="B4860" s="626">
        <v>0</v>
      </c>
      <c r="C4860" s="626">
        <v>1000000</v>
      </c>
      <c r="D4860" s="626">
        <v>0</v>
      </c>
    </row>
    <row r="4861" spans="1:4" x14ac:dyDescent="0.2">
      <c r="A4861">
        <v>4860</v>
      </c>
      <c r="B4861" s="626">
        <v>0</v>
      </c>
      <c r="C4861" s="626">
        <v>1000000</v>
      </c>
      <c r="D4861" s="626">
        <v>0</v>
      </c>
    </row>
    <row r="4862" spans="1:4" x14ac:dyDescent="0.2">
      <c r="A4862">
        <v>4861</v>
      </c>
      <c r="B4862" s="626">
        <v>0</v>
      </c>
      <c r="C4862" s="626">
        <v>1000000</v>
      </c>
      <c r="D4862" s="626">
        <v>0</v>
      </c>
    </row>
    <row r="4863" spans="1:4" x14ac:dyDescent="0.2">
      <c r="A4863">
        <v>4862</v>
      </c>
      <c r="B4863" s="626">
        <v>0</v>
      </c>
      <c r="C4863" s="626">
        <v>1000000</v>
      </c>
      <c r="D4863" s="626">
        <v>0</v>
      </c>
    </row>
    <row r="4864" spans="1:4" x14ac:dyDescent="0.2">
      <c r="A4864">
        <v>4863</v>
      </c>
      <c r="B4864" s="626">
        <v>0</v>
      </c>
      <c r="C4864" s="626">
        <v>1000000</v>
      </c>
      <c r="D4864" s="626">
        <v>0</v>
      </c>
    </row>
    <row r="4865" spans="1:4" x14ac:dyDescent="0.2">
      <c r="A4865">
        <v>4864</v>
      </c>
      <c r="B4865" s="626">
        <v>0</v>
      </c>
      <c r="C4865" s="626">
        <v>1000000</v>
      </c>
      <c r="D4865" s="626">
        <v>0</v>
      </c>
    </row>
    <row r="4866" spans="1:4" x14ac:dyDescent="0.2">
      <c r="A4866">
        <v>4865</v>
      </c>
      <c r="B4866" s="626">
        <v>0</v>
      </c>
      <c r="C4866" s="626">
        <v>1000000</v>
      </c>
      <c r="D4866" s="626">
        <v>0</v>
      </c>
    </row>
    <row r="4867" spans="1:4" x14ac:dyDescent="0.2">
      <c r="A4867">
        <v>4866</v>
      </c>
      <c r="B4867" s="626">
        <v>0</v>
      </c>
      <c r="C4867" s="626">
        <v>1000000</v>
      </c>
      <c r="D4867" s="626">
        <v>0</v>
      </c>
    </row>
    <row r="4868" spans="1:4" x14ac:dyDescent="0.2">
      <c r="A4868">
        <v>4867</v>
      </c>
      <c r="B4868" s="626">
        <v>0</v>
      </c>
      <c r="C4868" s="626">
        <v>1000000</v>
      </c>
      <c r="D4868" s="626">
        <v>0</v>
      </c>
    </row>
    <row r="4869" spans="1:4" x14ac:dyDescent="0.2">
      <c r="A4869">
        <v>4868</v>
      </c>
      <c r="B4869" s="626">
        <v>0</v>
      </c>
      <c r="C4869" s="626">
        <v>1000000</v>
      </c>
      <c r="D4869" s="626">
        <v>0</v>
      </c>
    </row>
    <row r="4870" spans="1:4" x14ac:dyDescent="0.2">
      <c r="A4870">
        <v>4869</v>
      </c>
      <c r="B4870" s="626">
        <v>0</v>
      </c>
      <c r="C4870" s="626">
        <v>1000000</v>
      </c>
      <c r="D4870" s="626">
        <v>0</v>
      </c>
    </row>
    <row r="4871" spans="1:4" x14ac:dyDescent="0.2">
      <c r="A4871">
        <v>4870</v>
      </c>
      <c r="B4871" s="626">
        <v>0</v>
      </c>
      <c r="C4871" s="626">
        <v>1000000</v>
      </c>
      <c r="D4871" s="626">
        <v>0</v>
      </c>
    </row>
    <row r="4872" spans="1:4" x14ac:dyDescent="0.2">
      <c r="A4872">
        <v>4871</v>
      </c>
      <c r="B4872" s="626">
        <v>0</v>
      </c>
      <c r="C4872" s="626">
        <v>1000000</v>
      </c>
      <c r="D4872" s="626">
        <v>0</v>
      </c>
    </row>
    <row r="4873" spans="1:4" x14ac:dyDescent="0.2">
      <c r="A4873">
        <v>4872</v>
      </c>
      <c r="B4873" s="626">
        <v>0</v>
      </c>
      <c r="C4873" s="626">
        <v>1000000</v>
      </c>
      <c r="D4873" s="626">
        <v>0</v>
      </c>
    </row>
    <row r="4874" spans="1:4" x14ac:dyDescent="0.2">
      <c r="A4874">
        <v>4873</v>
      </c>
      <c r="B4874" s="626">
        <v>0</v>
      </c>
      <c r="C4874" s="626">
        <v>1000000</v>
      </c>
      <c r="D4874" s="626">
        <v>0</v>
      </c>
    </row>
    <row r="4875" spans="1:4" x14ac:dyDescent="0.2">
      <c r="A4875">
        <v>4874</v>
      </c>
      <c r="B4875" s="626">
        <v>0</v>
      </c>
      <c r="C4875" s="626">
        <v>1000000</v>
      </c>
      <c r="D4875" s="626">
        <v>0</v>
      </c>
    </row>
    <row r="4876" spans="1:4" x14ac:dyDescent="0.2">
      <c r="A4876">
        <v>4875</v>
      </c>
      <c r="B4876" s="626">
        <v>0</v>
      </c>
      <c r="C4876" s="626">
        <v>1000000</v>
      </c>
      <c r="D4876" s="626">
        <v>0</v>
      </c>
    </row>
    <row r="4877" spans="1:4" x14ac:dyDescent="0.2">
      <c r="A4877">
        <v>4876</v>
      </c>
      <c r="B4877" s="626">
        <v>0</v>
      </c>
      <c r="C4877" s="626">
        <v>1000000</v>
      </c>
      <c r="D4877" s="626">
        <v>0</v>
      </c>
    </row>
    <row r="4878" spans="1:4" x14ac:dyDescent="0.2">
      <c r="A4878">
        <v>4877</v>
      </c>
      <c r="B4878" s="626">
        <v>0</v>
      </c>
      <c r="C4878" s="626">
        <v>1000000</v>
      </c>
      <c r="D4878" s="626">
        <v>0</v>
      </c>
    </row>
    <row r="4879" spans="1:4" x14ac:dyDescent="0.2">
      <c r="A4879">
        <v>4878</v>
      </c>
      <c r="B4879" s="626">
        <v>0</v>
      </c>
      <c r="C4879" s="626">
        <v>1000000</v>
      </c>
      <c r="D4879" s="626">
        <v>0</v>
      </c>
    </row>
    <row r="4880" spans="1:4" x14ac:dyDescent="0.2">
      <c r="A4880">
        <v>4879</v>
      </c>
      <c r="B4880" s="626">
        <v>0</v>
      </c>
      <c r="C4880" s="626">
        <v>1000000</v>
      </c>
      <c r="D4880" s="626">
        <v>0</v>
      </c>
    </row>
    <row r="4881" spans="1:4" x14ac:dyDescent="0.2">
      <c r="A4881">
        <v>4880</v>
      </c>
      <c r="B4881" s="626">
        <v>0</v>
      </c>
      <c r="C4881" s="626">
        <v>1000000</v>
      </c>
      <c r="D4881" s="626">
        <v>0</v>
      </c>
    </row>
    <row r="4882" spans="1:4" x14ac:dyDescent="0.2">
      <c r="A4882">
        <v>4881</v>
      </c>
      <c r="B4882" s="626">
        <v>0</v>
      </c>
      <c r="C4882" s="626">
        <v>1000000</v>
      </c>
      <c r="D4882" s="626">
        <v>0</v>
      </c>
    </row>
    <row r="4883" spans="1:4" x14ac:dyDescent="0.2">
      <c r="A4883">
        <v>4882</v>
      </c>
      <c r="B4883" s="626">
        <v>0</v>
      </c>
      <c r="C4883" s="626">
        <v>1000000</v>
      </c>
      <c r="D4883" s="626">
        <v>0</v>
      </c>
    </row>
    <row r="4884" spans="1:4" x14ac:dyDescent="0.2">
      <c r="A4884">
        <v>4883</v>
      </c>
      <c r="B4884" s="626">
        <v>0</v>
      </c>
      <c r="C4884" s="626">
        <v>1000000</v>
      </c>
      <c r="D4884" s="626">
        <v>0</v>
      </c>
    </row>
    <row r="4885" spans="1:4" x14ac:dyDescent="0.2">
      <c r="A4885">
        <v>4884</v>
      </c>
      <c r="B4885" s="626">
        <v>0</v>
      </c>
      <c r="C4885" s="626">
        <v>1000000</v>
      </c>
      <c r="D4885" s="626">
        <v>0</v>
      </c>
    </row>
    <row r="4886" spans="1:4" x14ac:dyDescent="0.2">
      <c r="A4886">
        <v>4885</v>
      </c>
      <c r="B4886" s="626">
        <v>0</v>
      </c>
      <c r="C4886" s="626">
        <v>1000000</v>
      </c>
      <c r="D4886" s="626">
        <v>0</v>
      </c>
    </row>
    <row r="4887" spans="1:4" x14ac:dyDescent="0.2">
      <c r="A4887">
        <v>4886</v>
      </c>
      <c r="B4887" s="626">
        <v>0</v>
      </c>
      <c r="C4887" s="626">
        <v>1000000</v>
      </c>
      <c r="D4887" s="626">
        <v>0</v>
      </c>
    </row>
    <row r="4888" spans="1:4" x14ac:dyDescent="0.2">
      <c r="A4888">
        <v>4887</v>
      </c>
      <c r="B4888" s="626">
        <v>0</v>
      </c>
      <c r="C4888" s="626">
        <v>1000000</v>
      </c>
      <c r="D4888" s="626">
        <v>0</v>
      </c>
    </row>
    <row r="4889" spans="1:4" x14ac:dyDescent="0.2">
      <c r="A4889">
        <v>4888</v>
      </c>
      <c r="B4889" s="626">
        <v>0</v>
      </c>
      <c r="C4889" s="626">
        <v>1000000</v>
      </c>
      <c r="D4889" s="626">
        <v>0</v>
      </c>
    </row>
    <row r="4890" spans="1:4" x14ac:dyDescent="0.2">
      <c r="A4890">
        <v>4889</v>
      </c>
      <c r="B4890" s="626">
        <v>0</v>
      </c>
      <c r="C4890" s="626">
        <v>1000000</v>
      </c>
      <c r="D4890" s="626">
        <v>0</v>
      </c>
    </row>
    <row r="4891" spans="1:4" x14ac:dyDescent="0.2">
      <c r="A4891">
        <v>4890</v>
      </c>
      <c r="B4891" s="626">
        <v>0</v>
      </c>
      <c r="C4891" s="626">
        <v>1000000</v>
      </c>
      <c r="D4891" s="626">
        <v>0</v>
      </c>
    </row>
    <row r="4892" spans="1:4" x14ac:dyDescent="0.2">
      <c r="A4892">
        <v>4891</v>
      </c>
      <c r="B4892" s="626">
        <v>0</v>
      </c>
      <c r="C4892" s="626">
        <v>1000000</v>
      </c>
      <c r="D4892" s="626">
        <v>0</v>
      </c>
    </row>
    <row r="4893" spans="1:4" x14ac:dyDescent="0.2">
      <c r="A4893">
        <v>4892</v>
      </c>
      <c r="B4893" s="626">
        <v>0</v>
      </c>
      <c r="C4893" s="626">
        <v>1000000</v>
      </c>
      <c r="D4893" s="626">
        <v>0</v>
      </c>
    </row>
    <row r="4894" spans="1:4" x14ac:dyDescent="0.2">
      <c r="A4894">
        <v>4893</v>
      </c>
      <c r="B4894" s="626">
        <v>0</v>
      </c>
      <c r="C4894" s="626">
        <v>1000000</v>
      </c>
      <c r="D4894" s="626">
        <v>0</v>
      </c>
    </row>
    <row r="4895" spans="1:4" x14ac:dyDescent="0.2">
      <c r="A4895">
        <v>4894</v>
      </c>
      <c r="B4895" s="626">
        <v>0</v>
      </c>
      <c r="C4895" s="626">
        <v>1000000</v>
      </c>
      <c r="D4895" s="626">
        <v>0</v>
      </c>
    </row>
    <row r="4896" spans="1:4" x14ac:dyDescent="0.2">
      <c r="A4896">
        <v>4895</v>
      </c>
      <c r="B4896" s="626">
        <v>0</v>
      </c>
      <c r="C4896" s="626">
        <v>1000000</v>
      </c>
      <c r="D4896" s="626">
        <v>0</v>
      </c>
    </row>
    <row r="4897" spans="1:4" x14ac:dyDescent="0.2">
      <c r="A4897">
        <v>4896</v>
      </c>
      <c r="B4897" s="626">
        <v>0</v>
      </c>
      <c r="C4897" s="626">
        <v>1000000</v>
      </c>
      <c r="D4897" s="626">
        <v>0</v>
      </c>
    </row>
    <row r="4898" spans="1:4" x14ac:dyDescent="0.2">
      <c r="A4898">
        <v>4897</v>
      </c>
      <c r="B4898" s="626">
        <v>0</v>
      </c>
      <c r="C4898" s="626">
        <v>1000000</v>
      </c>
      <c r="D4898" s="626">
        <v>0</v>
      </c>
    </row>
    <row r="4899" spans="1:4" x14ac:dyDescent="0.2">
      <c r="A4899">
        <v>4898</v>
      </c>
      <c r="B4899" s="626">
        <v>0</v>
      </c>
      <c r="C4899" s="626">
        <v>1000000</v>
      </c>
      <c r="D4899" s="626">
        <v>0</v>
      </c>
    </row>
    <row r="4900" spans="1:4" x14ac:dyDescent="0.2">
      <c r="A4900">
        <v>4899</v>
      </c>
      <c r="B4900" s="626">
        <v>0</v>
      </c>
      <c r="C4900" s="626">
        <v>1000000</v>
      </c>
      <c r="D4900" s="626">
        <v>0</v>
      </c>
    </row>
    <row r="4901" spans="1:4" x14ac:dyDescent="0.2">
      <c r="A4901">
        <v>4900</v>
      </c>
      <c r="B4901" s="626">
        <v>0</v>
      </c>
      <c r="C4901" s="626">
        <v>1000000</v>
      </c>
      <c r="D4901" s="626">
        <v>0</v>
      </c>
    </row>
    <row r="4902" spans="1:4" x14ac:dyDescent="0.2">
      <c r="A4902">
        <v>4901</v>
      </c>
      <c r="B4902" s="626">
        <v>0</v>
      </c>
      <c r="C4902" s="626">
        <v>1000000</v>
      </c>
      <c r="D4902" s="626">
        <v>0</v>
      </c>
    </row>
    <row r="4903" spans="1:4" x14ac:dyDescent="0.2">
      <c r="A4903">
        <v>4902</v>
      </c>
      <c r="B4903" s="626">
        <v>0</v>
      </c>
      <c r="C4903" s="626">
        <v>1000000</v>
      </c>
      <c r="D4903" s="626">
        <v>0</v>
      </c>
    </row>
    <row r="4904" spans="1:4" x14ac:dyDescent="0.2">
      <c r="A4904">
        <v>4903</v>
      </c>
      <c r="B4904" s="626">
        <v>0</v>
      </c>
      <c r="C4904" s="626">
        <v>1000000</v>
      </c>
      <c r="D4904" s="626">
        <v>0</v>
      </c>
    </row>
    <row r="4905" spans="1:4" x14ac:dyDescent="0.2">
      <c r="A4905">
        <v>4904</v>
      </c>
      <c r="B4905" s="626">
        <v>0</v>
      </c>
      <c r="C4905" s="626">
        <v>1000000</v>
      </c>
      <c r="D4905" s="626">
        <v>0</v>
      </c>
    </row>
    <row r="4906" spans="1:4" x14ac:dyDescent="0.2">
      <c r="A4906">
        <v>4905</v>
      </c>
      <c r="B4906" s="626">
        <v>0</v>
      </c>
      <c r="C4906" s="626">
        <v>1000000</v>
      </c>
      <c r="D4906" s="626">
        <v>0</v>
      </c>
    </row>
    <row r="4907" spans="1:4" x14ac:dyDescent="0.2">
      <c r="A4907">
        <v>4906</v>
      </c>
      <c r="B4907" s="626">
        <v>0</v>
      </c>
      <c r="C4907" s="626">
        <v>1000000</v>
      </c>
      <c r="D4907" s="626">
        <v>0</v>
      </c>
    </row>
    <row r="4908" spans="1:4" x14ac:dyDescent="0.2">
      <c r="A4908">
        <v>4907</v>
      </c>
      <c r="B4908" s="626">
        <v>0</v>
      </c>
      <c r="C4908" s="626">
        <v>1000000</v>
      </c>
      <c r="D4908" s="626">
        <v>0</v>
      </c>
    </row>
    <row r="4909" spans="1:4" x14ac:dyDescent="0.2">
      <c r="A4909">
        <v>4908</v>
      </c>
      <c r="B4909" s="626">
        <v>0</v>
      </c>
      <c r="C4909" s="626">
        <v>1000000</v>
      </c>
      <c r="D4909" s="626">
        <v>0</v>
      </c>
    </row>
    <row r="4910" spans="1:4" x14ac:dyDescent="0.2">
      <c r="A4910">
        <v>4909</v>
      </c>
      <c r="B4910" s="626">
        <v>0</v>
      </c>
      <c r="C4910" s="626">
        <v>1000000</v>
      </c>
      <c r="D4910" s="626">
        <v>0</v>
      </c>
    </row>
    <row r="4911" spans="1:4" x14ac:dyDescent="0.2">
      <c r="A4911">
        <v>4910</v>
      </c>
      <c r="B4911" s="626">
        <v>0</v>
      </c>
      <c r="C4911" s="626">
        <v>1000000</v>
      </c>
      <c r="D4911" s="626">
        <v>0</v>
      </c>
    </row>
    <row r="4912" spans="1:4" x14ac:dyDescent="0.2">
      <c r="A4912">
        <v>4911</v>
      </c>
      <c r="B4912" s="626">
        <v>0</v>
      </c>
      <c r="C4912" s="626">
        <v>1000000</v>
      </c>
      <c r="D4912" s="626">
        <v>0</v>
      </c>
    </row>
    <row r="4913" spans="1:4" x14ac:dyDescent="0.2">
      <c r="A4913">
        <v>4912</v>
      </c>
      <c r="B4913" s="626">
        <v>0</v>
      </c>
      <c r="C4913" s="626">
        <v>1000000</v>
      </c>
      <c r="D4913" s="626">
        <v>0</v>
      </c>
    </row>
    <row r="4914" spans="1:4" x14ac:dyDescent="0.2">
      <c r="A4914">
        <v>4913</v>
      </c>
      <c r="B4914" s="626">
        <v>0</v>
      </c>
      <c r="C4914" s="626">
        <v>1000000</v>
      </c>
      <c r="D4914" s="626">
        <v>0</v>
      </c>
    </row>
    <row r="4915" spans="1:4" x14ac:dyDescent="0.2">
      <c r="A4915">
        <v>4914</v>
      </c>
      <c r="B4915" s="626">
        <v>0</v>
      </c>
      <c r="C4915" s="626">
        <v>1000000</v>
      </c>
      <c r="D4915" s="626">
        <v>0</v>
      </c>
    </row>
    <row r="4916" spans="1:4" x14ac:dyDescent="0.2">
      <c r="A4916">
        <v>4915</v>
      </c>
      <c r="B4916" s="626">
        <v>0</v>
      </c>
      <c r="C4916" s="626">
        <v>1000000</v>
      </c>
      <c r="D4916" s="626">
        <v>0</v>
      </c>
    </row>
    <row r="4917" spans="1:4" x14ac:dyDescent="0.2">
      <c r="A4917">
        <v>4916</v>
      </c>
      <c r="B4917" s="626">
        <v>0</v>
      </c>
      <c r="C4917" s="626">
        <v>1000000</v>
      </c>
      <c r="D4917" s="626">
        <v>0</v>
      </c>
    </row>
    <row r="4918" spans="1:4" x14ac:dyDescent="0.2">
      <c r="A4918">
        <v>4917</v>
      </c>
      <c r="B4918" s="626">
        <v>0</v>
      </c>
      <c r="C4918" s="626">
        <v>1000000</v>
      </c>
      <c r="D4918" s="626">
        <v>0</v>
      </c>
    </row>
    <row r="4919" spans="1:4" x14ac:dyDescent="0.2">
      <c r="A4919">
        <v>4918</v>
      </c>
      <c r="B4919" s="626">
        <v>0</v>
      </c>
      <c r="C4919" s="626">
        <v>1000000</v>
      </c>
      <c r="D4919" s="626">
        <v>0</v>
      </c>
    </row>
    <row r="4920" spans="1:4" x14ac:dyDescent="0.2">
      <c r="A4920">
        <v>4919</v>
      </c>
      <c r="B4920" s="626">
        <v>0</v>
      </c>
      <c r="C4920" s="626">
        <v>1000000</v>
      </c>
      <c r="D4920" s="626">
        <v>0</v>
      </c>
    </row>
    <row r="4921" spans="1:4" x14ac:dyDescent="0.2">
      <c r="A4921">
        <v>4920</v>
      </c>
      <c r="B4921" s="626">
        <v>0</v>
      </c>
      <c r="C4921" s="626">
        <v>1000000</v>
      </c>
      <c r="D4921" s="626">
        <v>0</v>
      </c>
    </row>
    <row r="4922" spans="1:4" x14ac:dyDescent="0.2">
      <c r="A4922">
        <v>4921</v>
      </c>
      <c r="B4922" s="626">
        <v>0</v>
      </c>
      <c r="C4922" s="626">
        <v>1000000</v>
      </c>
      <c r="D4922" s="626">
        <v>0</v>
      </c>
    </row>
    <row r="4923" spans="1:4" x14ac:dyDescent="0.2">
      <c r="A4923">
        <v>4922</v>
      </c>
      <c r="B4923" s="626">
        <v>0</v>
      </c>
      <c r="C4923" s="626">
        <v>1000000</v>
      </c>
      <c r="D4923" s="626">
        <v>0</v>
      </c>
    </row>
    <row r="4924" spans="1:4" x14ac:dyDescent="0.2">
      <c r="A4924">
        <v>4923</v>
      </c>
      <c r="B4924" s="626">
        <v>0</v>
      </c>
      <c r="C4924" s="626">
        <v>1000000</v>
      </c>
      <c r="D4924" s="626">
        <v>0</v>
      </c>
    </row>
    <row r="4925" spans="1:4" x14ac:dyDescent="0.2">
      <c r="A4925">
        <v>4924</v>
      </c>
      <c r="B4925" s="626">
        <v>0</v>
      </c>
      <c r="C4925" s="626">
        <v>1000000</v>
      </c>
      <c r="D4925" s="626">
        <v>0</v>
      </c>
    </row>
    <row r="4926" spans="1:4" x14ac:dyDescent="0.2">
      <c r="A4926">
        <v>4925</v>
      </c>
      <c r="B4926" s="626">
        <v>0</v>
      </c>
      <c r="C4926" s="626">
        <v>1000000</v>
      </c>
      <c r="D4926" s="626">
        <v>0</v>
      </c>
    </row>
    <row r="4927" spans="1:4" x14ac:dyDescent="0.2">
      <c r="A4927">
        <v>4926</v>
      </c>
      <c r="B4927" s="626">
        <v>0</v>
      </c>
      <c r="C4927" s="626">
        <v>1000000</v>
      </c>
      <c r="D4927" s="626">
        <v>0</v>
      </c>
    </row>
    <row r="4928" spans="1:4" x14ac:dyDescent="0.2">
      <c r="A4928">
        <v>4927</v>
      </c>
      <c r="B4928" s="626">
        <v>0</v>
      </c>
      <c r="C4928" s="626">
        <v>1000000</v>
      </c>
      <c r="D4928" s="626">
        <v>0</v>
      </c>
    </row>
    <row r="4929" spans="1:4" x14ac:dyDescent="0.2">
      <c r="A4929">
        <v>4928</v>
      </c>
      <c r="B4929" s="626">
        <v>0</v>
      </c>
      <c r="C4929" s="626">
        <v>1000000</v>
      </c>
      <c r="D4929" s="626">
        <v>0</v>
      </c>
    </row>
    <row r="4930" spans="1:4" x14ac:dyDescent="0.2">
      <c r="A4930">
        <v>4929</v>
      </c>
      <c r="B4930" s="626">
        <v>0</v>
      </c>
      <c r="C4930" s="626">
        <v>1000000</v>
      </c>
      <c r="D4930" s="626">
        <v>0</v>
      </c>
    </row>
    <row r="4931" spans="1:4" x14ac:dyDescent="0.2">
      <c r="A4931">
        <v>4930</v>
      </c>
      <c r="B4931" s="626">
        <v>0</v>
      </c>
      <c r="C4931" s="626">
        <v>1000000</v>
      </c>
      <c r="D4931" s="626">
        <v>0</v>
      </c>
    </row>
    <row r="4932" spans="1:4" x14ac:dyDescent="0.2">
      <c r="A4932">
        <v>4931</v>
      </c>
      <c r="B4932" s="626">
        <v>0</v>
      </c>
      <c r="C4932" s="626">
        <v>1000000</v>
      </c>
      <c r="D4932" s="626">
        <v>0</v>
      </c>
    </row>
    <row r="4933" spans="1:4" x14ac:dyDescent="0.2">
      <c r="A4933">
        <v>4932</v>
      </c>
      <c r="B4933" s="626">
        <v>0</v>
      </c>
      <c r="C4933" s="626">
        <v>1000000</v>
      </c>
      <c r="D4933" s="626">
        <v>0</v>
      </c>
    </row>
    <row r="4934" spans="1:4" x14ac:dyDescent="0.2">
      <c r="A4934">
        <v>4933</v>
      </c>
      <c r="B4934" s="626">
        <v>0</v>
      </c>
      <c r="C4934" s="626">
        <v>1000000</v>
      </c>
      <c r="D4934" s="626">
        <v>0</v>
      </c>
    </row>
    <row r="4935" spans="1:4" x14ac:dyDescent="0.2">
      <c r="A4935">
        <v>4934</v>
      </c>
      <c r="B4935" s="626">
        <v>0</v>
      </c>
      <c r="C4935" s="626">
        <v>1000000</v>
      </c>
      <c r="D4935" s="626">
        <v>0</v>
      </c>
    </row>
    <row r="4936" spans="1:4" x14ac:dyDescent="0.2">
      <c r="A4936">
        <v>4935</v>
      </c>
      <c r="B4936" s="626">
        <v>0</v>
      </c>
      <c r="C4936" s="626">
        <v>1000000</v>
      </c>
      <c r="D4936" s="626">
        <v>0</v>
      </c>
    </row>
    <row r="4937" spans="1:4" x14ac:dyDescent="0.2">
      <c r="A4937">
        <v>4936</v>
      </c>
      <c r="B4937" s="626">
        <v>0</v>
      </c>
      <c r="C4937" s="626">
        <v>1000000</v>
      </c>
      <c r="D4937" s="626">
        <v>0</v>
      </c>
    </row>
    <row r="4938" spans="1:4" x14ac:dyDescent="0.2">
      <c r="A4938">
        <v>4937</v>
      </c>
      <c r="B4938" s="626">
        <v>0</v>
      </c>
      <c r="C4938" s="626">
        <v>1000000</v>
      </c>
      <c r="D4938" s="626">
        <v>0</v>
      </c>
    </row>
    <row r="4939" spans="1:4" x14ac:dyDescent="0.2">
      <c r="A4939">
        <v>4938</v>
      </c>
      <c r="B4939" s="626">
        <v>0</v>
      </c>
      <c r="C4939" s="626">
        <v>1000000</v>
      </c>
      <c r="D4939" s="626">
        <v>0</v>
      </c>
    </row>
    <row r="4940" spans="1:4" x14ac:dyDescent="0.2">
      <c r="A4940">
        <v>4939</v>
      </c>
      <c r="B4940" s="626">
        <v>0</v>
      </c>
      <c r="C4940" s="626">
        <v>1000000</v>
      </c>
      <c r="D4940" s="626">
        <v>0</v>
      </c>
    </row>
    <row r="4941" spans="1:4" x14ac:dyDescent="0.2">
      <c r="A4941">
        <v>4940</v>
      </c>
      <c r="B4941" s="626">
        <v>0</v>
      </c>
      <c r="C4941" s="626">
        <v>1000000</v>
      </c>
      <c r="D4941" s="626">
        <v>0</v>
      </c>
    </row>
    <row r="4942" spans="1:4" x14ac:dyDescent="0.2">
      <c r="A4942">
        <v>4941</v>
      </c>
      <c r="B4942" s="626">
        <v>0</v>
      </c>
      <c r="C4942" s="626">
        <v>1000000</v>
      </c>
      <c r="D4942" s="626">
        <v>0</v>
      </c>
    </row>
    <row r="4943" spans="1:4" x14ac:dyDescent="0.2">
      <c r="A4943">
        <v>4942</v>
      </c>
      <c r="B4943" s="626">
        <v>0</v>
      </c>
      <c r="C4943" s="626">
        <v>1000000</v>
      </c>
      <c r="D4943" s="626">
        <v>0</v>
      </c>
    </row>
    <row r="4944" spans="1:4" x14ac:dyDescent="0.2">
      <c r="A4944">
        <v>4943</v>
      </c>
      <c r="B4944" s="626">
        <v>0</v>
      </c>
      <c r="C4944" s="626">
        <v>1000000</v>
      </c>
      <c r="D4944" s="626">
        <v>0</v>
      </c>
    </row>
    <row r="4945" spans="1:4" x14ac:dyDescent="0.2">
      <c r="A4945">
        <v>4944</v>
      </c>
      <c r="B4945" s="626">
        <v>0</v>
      </c>
      <c r="C4945" s="626">
        <v>1000000</v>
      </c>
      <c r="D4945" s="626">
        <v>0</v>
      </c>
    </row>
    <row r="4946" spans="1:4" x14ac:dyDescent="0.2">
      <c r="A4946">
        <v>4945</v>
      </c>
      <c r="B4946" s="626">
        <v>0</v>
      </c>
      <c r="C4946" s="626">
        <v>1000000</v>
      </c>
      <c r="D4946" s="626">
        <v>0</v>
      </c>
    </row>
    <row r="4947" spans="1:4" x14ac:dyDescent="0.2">
      <c r="A4947">
        <v>4946</v>
      </c>
      <c r="B4947" s="626">
        <v>0</v>
      </c>
      <c r="C4947" s="626">
        <v>1000000</v>
      </c>
      <c r="D4947" s="626">
        <v>0</v>
      </c>
    </row>
    <row r="4948" spans="1:4" x14ac:dyDescent="0.2">
      <c r="A4948">
        <v>4947</v>
      </c>
      <c r="B4948" s="626">
        <v>0</v>
      </c>
      <c r="C4948" s="626">
        <v>1000000</v>
      </c>
      <c r="D4948" s="626">
        <v>0</v>
      </c>
    </row>
    <row r="4949" spans="1:4" x14ac:dyDescent="0.2">
      <c r="A4949">
        <v>4948</v>
      </c>
      <c r="B4949" s="626">
        <v>0</v>
      </c>
      <c r="C4949" s="626">
        <v>1000000</v>
      </c>
      <c r="D4949" s="626">
        <v>0</v>
      </c>
    </row>
    <row r="4950" spans="1:4" x14ac:dyDescent="0.2">
      <c r="A4950">
        <v>4949</v>
      </c>
      <c r="B4950" s="626">
        <v>0</v>
      </c>
      <c r="C4950" s="626">
        <v>1000000</v>
      </c>
      <c r="D4950" s="626">
        <v>0</v>
      </c>
    </row>
    <row r="4951" spans="1:4" x14ac:dyDescent="0.2">
      <c r="A4951">
        <v>4950</v>
      </c>
      <c r="B4951" s="626">
        <v>0</v>
      </c>
      <c r="C4951" s="626">
        <v>1000000</v>
      </c>
      <c r="D4951" s="626">
        <v>0</v>
      </c>
    </row>
    <row r="4952" spans="1:4" x14ac:dyDescent="0.2">
      <c r="A4952">
        <v>4951</v>
      </c>
      <c r="B4952" s="626">
        <v>0</v>
      </c>
      <c r="C4952" s="626">
        <v>1000000</v>
      </c>
      <c r="D4952" s="626">
        <v>0</v>
      </c>
    </row>
    <row r="4953" spans="1:4" x14ac:dyDescent="0.2">
      <c r="A4953">
        <v>4952</v>
      </c>
      <c r="B4953" s="626">
        <v>0</v>
      </c>
      <c r="C4953" s="626">
        <v>1000000</v>
      </c>
      <c r="D4953" s="626">
        <v>0</v>
      </c>
    </row>
    <row r="4954" spans="1:4" x14ac:dyDescent="0.2">
      <c r="A4954">
        <v>4953</v>
      </c>
      <c r="B4954" s="626">
        <v>0</v>
      </c>
      <c r="C4954" s="626">
        <v>1000000</v>
      </c>
      <c r="D4954" s="626">
        <v>0</v>
      </c>
    </row>
    <row r="4955" spans="1:4" x14ac:dyDescent="0.2">
      <c r="A4955">
        <v>4954</v>
      </c>
      <c r="B4955" s="626">
        <v>0</v>
      </c>
      <c r="C4955" s="626">
        <v>1000000</v>
      </c>
      <c r="D4955" s="626">
        <v>0</v>
      </c>
    </row>
    <row r="4956" spans="1:4" x14ac:dyDescent="0.2">
      <c r="A4956">
        <v>4955</v>
      </c>
      <c r="B4956" s="626">
        <v>0</v>
      </c>
      <c r="C4956" s="626">
        <v>1000000</v>
      </c>
      <c r="D4956" s="626">
        <v>0</v>
      </c>
    </row>
    <row r="4957" spans="1:4" x14ac:dyDescent="0.2">
      <c r="A4957">
        <v>4956</v>
      </c>
      <c r="B4957" s="626">
        <v>0</v>
      </c>
      <c r="C4957" s="626">
        <v>1000000</v>
      </c>
      <c r="D4957" s="626">
        <v>0</v>
      </c>
    </row>
    <row r="4958" spans="1:4" x14ac:dyDescent="0.2">
      <c r="A4958">
        <v>4957</v>
      </c>
      <c r="B4958" s="626">
        <v>0</v>
      </c>
      <c r="C4958" s="626">
        <v>1000000</v>
      </c>
      <c r="D4958" s="626">
        <v>0</v>
      </c>
    </row>
    <row r="4959" spans="1:4" x14ac:dyDescent="0.2">
      <c r="A4959">
        <v>4958</v>
      </c>
      <c r="B4959" s="626">
        <v>0</v>
      </c>
      <c r="C4959" s="626">
        <v>1000000</v>
      </c>
      <c r="D4959" s="626">
        <v>0</v>
      </c>
    </row>
    <row r="4960" spans="1:4" x14ac:dyDescent="0.2">
      <c r="A4960">
        <v>4959</v>
      </c>
      <c r="B4960" s="626">
        <v>0</v>
      </c>
      <c r="C4960" s="626">
        <v>1000000</v>
      </c>
      <c r="D4960" s="626">
        <v>0</v>
      </c>
    </row>
    <row r="4961" spans="1:4" x14ac:dyDescent="0.2">
      <c r="A4961">
        <v>4960</v>
      </c>
      <c r="B4961" s="626">
        <v>0</v>
      </c>
      <c r="C4961" s="626">
        <v>1000000</v>
      </c>
      <c r="D4961" s="626">
        <v>0</v>
      </c>
    </row>
    <row r="4962" spans="1:4" x14ac:dyDescent="0.2">
      <c r="A4962">
        <v>4961</v>
      </c>
      <c r="B4962" s="626">
        <v>0</v>
      </c>
      <c r="C4962" s="626">
        <v>1000000</v>
      </c>
      <c r="D4962" s="626">
        <v>0</v>
      </c>
    </row>
    <row r="4963" spans="1:4" x14ac:dyDescent="0.2">
      <c r="A4963">
        <v>4962</v>
      </c>
      <c r="B4963" s="626">
        <v>0</v>
      </c>
      <c r="C4963" s="626">
        <v>1000000</v>
      </c>
      <c r="D4963" s="626">
        <v>0</v>
      </c>
    </row>
    <row r="4964" spans="1:4" x14ac:dyDescent="0.2">
      <c r="A4964">
        <v>4963</v>
      </c>
      <c r="B4964" s="626">
        <v>0</v>
      </c>
      <c r="C4964" s="626">
        <v>1000000</v>
      </c>
      <c r="D4964" s="626">
        <v>0</v>
      </c>
    </row>
    <row r="4965" spans="1:4" x14ac:dyDescent="0.2">
      <c r="A4965">
        <v>4964</v>
      </c>
      <c r="B4965" s="626">
        <v>0</v>
      </c>
      <c r="C4965" s="626">
        <v>1000000</v>
      </c>
      <c r="D4965" s="626">
        <v>0</v>
      </c>
    </row>
    <row r="4966" spans="1:4" x14ac:dyDescent="0.2">
      <c r="A4966">
        <v>4965</v>
      </c>
      <c r="B4966" s="626">
        <v>0</v>
      </c>
      <c r="C4966" s="626">
        <v>1000000</v>
      </c>
      <c r="D4966" s="626">
        <v>0</v>
      </c>
    </row>
    <row r="4967" spans="1:4" x14ac:dyDescent="0.2">
      <c r="A4967">
        <v>4966</v>
      </c>
      <c r="B4967" s="626">
        <v>0</v>
      </c>
      <c r="C4967" s="626">
        <v>1000000</v>
      </c>
      <c r="D4967" s="626">
        <v>0</v>
      </c>
    </row>
    <row r="4968" spans="1:4" x14ac:dyDescent="0.2">
      <c r="A4968">
        <v>4967</v>
      </c>
      <c r="B4968" s="626">
        <v>0</v>
      </c>
      <c r="C4968" s="626">
        <v>1000000</v>
      </c>
      <c r="D4968" s="626">
        <v>0</v>
      </c>
    </row>
    <row r="4969" spans="1:4" x14ac:dyDescent="0.2">
      <c r="A4969">
        <v>4968</v>
      </c>
      <c r="B4969" s="626">
        <v>0</v>
      </c>
      <c r="C4969" s="626">
        <v>1000000</v>
      </c>
      <c r="D4969" s="626">
        <v>0</v>
      </c>
    </row>
    <row r="4970" spans="1:4" x14ac:dyDescent="0.2">
      <c r="A4970">
        <v>4969</v>
      </c>
      <c r="B4970" s="626">
        <v>0</v>
      </c>
      <c r="C4970" s="626">
        <v>1000000</v>
      </c>
      <c r="D4970" s="626">
        <v>0</v>
      </c>
    </row>
    <row r="4971" spans="1:4" x14ac:dyDescent="0.2">
      <c r="A4971">
        <v>4970</v>
      </c>
      <c r="B4971" s="626">
        <v>0</v>
      </c>
      <c r="C4971" s="626">
        <v>1000000</v>
      </c>
      <c r="D4971" s="626">
        <v>0</v>
      </c>
    </row>
    <row r="4972" spans="1:4" x14ac:dyDescent="0.2">
      <c r="A4972">
        <v>4971</v>
      </c>
      <c r="B4972" s="626">
        <v>0</v>
      </c>
      <c r="C4972" s="626">
        <v>1000000</v>
      </c>
      <c r="D4972" s="626">
        <v>0</v>
      </c>
    </row>
    <row r="4973" spans="1:4" x14ac:dyDescent="0.2">
      <c r="A4973">
        <v>4972</v>
      </c>
      <c r="B4973" s="626">
        <v>0</v>
      </c>
      <c r="C4973" s="626">
        <v>1000000</v>
      </c>
      <c r="D4973" s="626">
        <v>0</v>
      </c>
    </row>
    <row r="4974" spans="1:4" x14ac:dyDescent="0.2">
      <c r="A4974">
        <v>4973</v>
      </c>
      <c r="B4974" s="626">
        <v>0</v>
      </c>
      <c r="C4974" s="626">
        <v>1000000</v>
      </c>
      <c r="D4974" s="626">
        <v>0</v>
      </c>
    </row>
    <row r="4975" spans="1:4" x14ac:dyDescent="0.2">
      <c r="A4975">
        <v>4974</v>
      </c>
      <c r="B4975" s="626">
        <v>0</v>
      </c>
      <c r="C4975" s="626">
        <v>1000000</v>
      </c>
      <c r="D4975" s="626">
        <v>0</v>
      </c>
    </row>
    <row r="4976" spans="1:4" x14ac:dyDescent="0.2">
      <c r="A4976">
        <v>4975</v>
      </c>
      <c r="B4976" s="626">
        <v>0</v>
      </c>
      <c r="C4976" s="626">
        <v>1000000</v>
      </c>
      <c r="D4976" s="626">
        <v>0</v>
      </c>
    </row>
    <row r="4977" spans="1:4" x14ac:dyDescent="0.2">
      <c r="A4977">
        <v>4976</v>
      </c>
      <c r="B4977" s="626">
        <v>0</v>
      </c>
      <c r="C4977" s="626">
        <v>1000000</v>
      </c>
      <c r="D4977" s="626">
        <v>0</v>
      </c>
    </row>
    <row r="4978" spans="1:4" x14ac:dyDescent="0.2">
      <c r="A4978">
        <v>4977</v>
      </c>
      <c r="B4978" s="626">
        <v>0</v>
      </c>
      <c r="C4978" s="626">
        <v>1000000</v>
      </c>
      <c r="D4978" s="626">
        <v>0</v>
      </c>
    </row>
    <row r="4979" spans="1:4" x14ac:dyDescent="0.2">
      <c r="A4979">
        <v>4978</v>
      </c>
      <c r="B4979" s="626">
        <v>0</v>
      </c>
      <c r="C4979" s="626">
        <v>1000000</v>
      </c>
      <c r="D4979" s="626">
        <v>0</v>
      </c>
    </row>
    <row r="4980" spans="1:4" x14ac:dyDescent="0.2">
      <c r="A4980">
        <v>4979</v>
      </c>
      <c r="B4980" s="626">
        <v>0</v>
      </c>
      <c r="C4980" s="626">
        <v>1000000</v>
      </c>
      <c r="D4980" s="626">
        <v>0</v>
      </c>
    </row>
    <row r="4981" spans="1:4" x14ac:dyDescent="0.2">
      <c r="A4981">
        <v>4980</v>
      </c>
      <c r="B4981" s="626">
        <v>0</v>
      </c>
      <c r="C4981" s="626">
        <v>1000000</v>
      </c>
      <c r="D4981" s="626">
        <v>0</v>
      </c>
    </row>
    <row r="4982" spans="1:4" x14ac:dyDescent="0.2">
      <c r="A4982">
        <v>4981</v>
      </c>
      <c r="B4982" s="626">
        <v>0</v>
      </c>
      <c r="C4982" s="626">
        <v>1000000</v>
      </c>
      <c r="D4982" s="626">
        <v>0</v>
      </c>
    </row>
    <row r="4983" spans="1:4" x14ac:dyDescent="0.2">
      <c r="A4983">
        <v>4982</v>
      </c>
      <c r="B4983" s="626">
        <v>0</v>
      </c>
      <c r="C4983" s="626">
        <v>1000000</v>
      </c>
      <c r="D4983" s="626">
        <v>0</v>
      </c>
    </row>
    <row r="4984" spans="1:4" x14ac:dyDescent="0.2">
      <c r="A4984">
        <v>4983</v>
      </c>
      <c r="B4984" s="626">
        <v>0</v>
      </c>
      <c r="C4984" s="626">
        <v>1000000</v>
      </c>
      <c r="D4984" s="626">
        <v>0</v>
      </c>
    </row>
    <row r="4985" spans="1:4" x14ac:dyDescent="0.2">
      <c r="A4985">
        <v>4984</v>
      </c>
      <c r="B4985" s="626">
        <v>0</v>
      </c>
      <c r="C4985" s="626">
        <v>1000000</v>
      </c>
      <c r="D4985" s="626">
        <v>0</v>
      </c>
    </row>
    <row r="4986" spans="1:4" x14ac:dyDescent="0.2">
      <c r="A4986">
        <v>4985</v>
      </c>
      <c r="B4986" s="626">
        <v>0</v>
      </c>
      <c r="C4986" s="626">
        <v>1000000</v>
      </c>
      <c r="D4986" s="626">
        <v>0</v>
      </c>
    </row>
    <row r="4987" spans="1:4" x14ac:dyDescent="0.2">
      <c r="A4987">
        <v>4986</v>
      </c>
      <c r="B4987" s="626">
        <v>0</v>
      </c>
      <c r="C4987" s="626">
        <v>1000000</v>
      </c>
      <c r="D4987" s="626">
        <v>0</v>
      </c>
    </row>
    <row r="4988" spans="1:4" x14ac:dyDescent="0.2">
      <c r="A4988">
        <v>4987</v>
      </c>
      <c r="B4988" s="626">
        <v>0</v>
      </c>
      <c r="C4988" s="626">
        <v>1000000</v>
      </c>
      <c r="D4988" s="626">
        <v>0</v>
      </c>
    </row>
    <row r="4989" spans="1:4" x14ac:dyDescent="0.2">
      <c r="A4989">
        <v>4988</v>
      </c>
      <c r="B4989" s="626">
        <v>0</v>
      </c>
      <c r="C4989" s="626">
        <v>1000000</v>
      </c>
      <c r="D4989" s="626">
        <v>0</v>
      </c>
    </row>
    <row r="4990" spans="1:4" x14ac:dyDescent="0.2">
      <c r="A4990">
        <v>4989</v>
      </c>
      <c r="B4990" s="626">
        <v>0</v>
      </c>
      <c r="C4990" s="626">
        <v>1000000</v>
      </c>
      <c r="D4990" s="626">
        <v>0</v>
      </c>
    </row>
    <row r="4991" spans="1:4" x14ac:dyDescent="0.2">
      <c r="A4991">
        <v>4990</v>
      </c>
      <c r="B4991" s="626">
        <v>0</v>
      </c>
      <c r="C4991" s="626">
        <v>1000000</v>
      </c>
      <c r="D4991" s="626">
        <v>0</v>
      </c>
    </row>
    <row r="4992" spans="1:4" x14ac:dyDescent="0.2">
      <c r="A4992">
        <v>4991</v>
      </c>
      <c r="B4992" s="626">
        <v>0</v>
      </c>
      <c r="C4992" s="626">
        <v>1000000</v>
      </c>
      <c r="D4992" s="626">
        <v>0</v>
      </c>
    </row>
    <row r="4993" spans="1:4" x14ac:dyDescent="0.2">
      <c r="A4993">
        <v>4992</v>
      </c>
      <c r="B4993" s="626">
        <v>0</v>
      </c>
      <c r="C4993" s="626">
        <v>1000000</v>
      </c>
      <c r="D4993" s="626">
        <v>0</v>
      </c>
    </row>
    <row r="4994" spans="1:4" x14ac:dyDescent="0.2">
      <c r="A4994">
        <v>4993</v>
      </c>
      <c r="B4994" s="626">
        <v>0</v>
      </c>
      <c r="C4994" s="626">
        <v>1000000</v>
      </c>
      <c r="D4994" s="626">
        <v>0</v>
      </c>
    </row>
    <row r="4995" spans="1:4" x14ac:dyDescent="0.2">
      <c r="A4995">
        <v>4994</v>
      </c>
      <c r="B4995" s="626">
        <v>0</v>
      </c>
      <c r="C4995" s="626">
        <v>1000000</v>
      </c>
      <c r="D4995" s="626">
        <v>0</v>
      </c>
    </row>
    <row r="4996" spans="1:4" x14ac:dyDescent="0.2">
      <c r="A4996">
        <v>4995</v>
      </c>
      <c r="B4996" s="626">
        <v>0</v>
      </c>
      <c r="C4996" s="626">
        <v>1000000</v>
      </c>
      <c r="D4996" s="626">
        <v>0</v>
      </c>
    </row>
    <row r="4997" spans="1:4" x14ac:dyDescent="0.2">
      <c r="A4997">
        <v>4996</v>
      </c>
      <c r="B4997" s="626">
        <v>0</v>
      </c>
      <c r="C4997" s="626">
        <v>1000000</v>
      </c>
      <c r="D4997" s="626">
        <v>0</v>
      </c>
    </row>
    <row r="4998" spans="1:4" x14ac:dyDescent="0.2">
      <c r="A4998">
        <v>4997</v>
      </c>
      <c r="B4998" s="626">
        <v>0</v>
      </c>
      <c r="C4998" s="626">
        <v>1000000</v>
      </c>
      <c r="D4998" s="626">
        <v>0</v>
      </c>
    </row>
    <row r="4999" spans="1:4" x14ac:dyDescent="0.2">
      <c r="A4999">
        <v>4998</v>
      </c>
      <c r="B4999" s="626">
        <v>0</v>
      </c>
      <c r="C4999" s="626">
        <v>1000000</v>
      </c>
      <c r="D4999" s="626">
        <v>0</v>
      </c>
    </row>
    <row r="5000" spans="1:4" x14ac:dyDescent="0.2">
      <c r="A5000">
        <v>4999</v>
      </c>
      <c r="B5000" s="626">
        <v>0</v>
      </c>
      <c r="C5000" s="626">
        <v>1000000</v>
      </c>
      <c r="D5000" s="626">
        <v>0</v>
      </c>
    </row>
    <row r="5001" spans="1:4" x14ac:dyDescent="0.2">
      <c r="A5001">
        <v>5000</v>
      </c>
      <c r="B5001" s="626">
        <v>0</v>
      </c>
      <c r="C5001" s="626">
        <v>1000000</v>
      </c>
      <c r="D5001" s="62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Manuf - Route</vt:lpstr>
      <vt:lpstr>Manuf - BOM</vt:lpstr>
      <vt:lpstr>Packaging</vt:lpstr>
      <vt:lpstr>DataSheet</vt:lpstr>
      <vt:lpstr>Estimated Cost</vt:lpstr>
      <vt:lpstr>cost extract</vt:lpstr>
      <vt:lpstr>Split Cost</vt:lpstr>
      <vt:lpstr>Simulator</vt:lpstr>
      <vt:lpstr>Graphical Simulator</vt:lpstr>
      <vt:lpstr>Chart Data</vt:lpstr>
      <vt:lpstr>'Manuf - BOM'!Print_Area</vt:lpstr>
      <vt:lpstr>'Manuf - Route'!Print_Area</vt:lpstr>
      <vt:lpstr>Packaging!Print_Area</vt:lpstr>
    </vt:vector>
  </TitlesOfParts>
  <Company>Sigma Company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Sigma Company Ltd</dc:creator>
  <cp:lastModifiedBy>Santhosh Thiyagarajan</cp:lastModifiedBy>
  <cp:lastPrinted>2009-12-17T21:08:16Z</cp:lastPrinted>
  <dcterms:created xsi:type="dcterms:W3CDTF">2009-09-18T05:22:14Z</dcterms:created>
  <dcterms:modified xsi:type="dcterms:W3CDTF">2015-03-17T01:02:40Z</dcterms:modified>
</cp:coreProperties>
</file>